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user/Downloads/인력/"/>
    </mc:Choice>
  </mc:AlternateContent>
  <xr:revisionPtr revIDLastSave="0" documentId="13_ncr:1_{3FD4FDEB-D6E0-BA46-BD3F-8FC291664289}" xr6:coauthVersionLast="47" xr6:coauthVersionMax="47" xr10:uidLastSave="{00000000-0000-0000-0000-000000000000}"/>
  <bookViews>
    <workbookView xWindow="260" yWindow="-22160" windowWidth="34200" windowHeight="19660" tabRatio="805" activeTab="3" xr2:uid="{00000000-000D-0000-FFFF-FFFF00000000}"/>
  </bookViews>
  <sheets>
    <sheet name="250117 (제출본-최초)" sheetId="2" r:id="rId1"/>
    <sheet name="@250217 (제출본-최종)" sheetId="3" r:id="rId2"/>
    <sheet name="@250305" sheetId="4" r:id="rId3"/>
    <sheet name="250718_기획디자인변경(계약기준)" sheetId="21" r:id="rId4"/>
    <sheet name="history_@250326추가" sheetId="5" r:id="rId5"/>
    <sheet name="history_250425_디자인추가" sheetId="18" r:id="rId6"/>
    <sheet name="자리배치도" sheetId="1" r:id="rId7"/>
  </sheets>
  <externalReferences>
    <externalReference r:id="rId8"/>
  </externalReferences>
  <definedNames>
    <definedName name="프로젝트유형">[1]기준!$B$28:$B$34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0" roundtripDataChecksum="nTm5C4j3MGzs1buDs1ooUyskuHITmbBcQc1pPimAWKc="/>
    </ext>
  </extLst>
</workbook>
</file>

<file path=xl/calcChain.xml><?xml version="1.0" encoding="utf-8"?>
<calcChain xmlns="http://schemas.openxmlformats.org/spreadsheetml/2006/main">
  <c r="AE5" i="21" l="1"/>
  <c r="S46" i="21"/>
  <c r="U46" i="21" s="1"/>
  <c r="O46" i="21"/>
  <c r="O43" i="21"/>
  <c r="G42" i="21"/>
  <c r="Q40" i="21"/>
  <c r="AD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AA34" i="21"/>
  <c r="AE34" i="21" s="1"/>
  <c r="AA33" i="21"/>
  <c r="AE33" i="21" s="1"/>
  <c r="AA32" i="21"/>
  <c r="AE32" i="21" s="1"/>
  <c r="AA31" i="21"/>
  <c r="AE31" i="21" s="1"/>
  <c r="AA30" i="21"/>
  <c r="AE30" i="21" s="1"/>
  <c r="AA29" i="21"/>
  <c r="AE29" i="21" s="1"/>
  <c r="AA28" i="21"/>
  <c r="AE28" i="21" s="1"/>
  <c r="AA27" i="21"/>
  <c r="AE27" i="21" s="1"/>
  <c r="X51" i="21" s="1"/>
  <c r="AA26" i="21"/>
  <c r="AA25" i="21"/>
  <c r="AE25" i="21" s="1"/>
  <c r="AA24" i="21"/>
  <c r="S47" i="21" s="1"/>
  <c r="U47" i="21" s="1"/>
  <c r="AD22" i="21"/>
  <c r="Z22" i="21"/>
  <c r="Y22" i="21"/>
  <c r="Y37" i="21" s="1"/>
  <c r="X22" i="21"/>
  <c r="W22" i="21"/>
  <c r="V22" i="21"/>
  <c r="U22" i="21"/>
  <c r="T22" i="21"/>
  <c r="S22" i="21"/>
  <c r="S37" i="21" s="1"/>
  <c r="R22" i="21"/>
  <c r="Q22" i="21"/>
  <c r="Q37" i="21" s="1"/>
  <c r="P22" i="21"/>
  <c r="O22" i="21"/>
  <c r="N22" i="21"/>
  <c r="M22" i="21"/>
  <c r="L22" i="21"/>
  <c r="AA21" i="21"/>
  <c r="AE21" i="21" s="1"/>
  <c r="Y45" i="21" s="1"/>
  <c r="AA20" i="21"/>
  <c r="S45" i="21" s="1"/>
  <c r="U45" i="21" s="1"/>
  <c r="AA19" i="21"/>
  <c r="AE19" i="21" s="1"/>
  <c r="Y44" i="21" s="1"/>
  <c r="Y57" i="21" s="1"/>
  <c r="AA18" i="21"/>
  <c r="AE18" i="21" s="1"/>
  <c r="AA17" i="21"/>
  <c r="AE17" i="21" s="1"/>
  <c r="AA16" i="21"/>
  <c r="AE16" i="21" s="1"/>
  <c r="AA15" i="21"/>
  <c r="AE15" i="21" s="1"/>
  <c r="AA14" i="21"/>
  <c r="AE14" i="21" s="1"/>
  <c r="AA13" i="21"/>
  <c r="AE13" i="21" s="1"/>
  <c r="AA12" i="21"/>
  <c r="AE12" i="21" s="1"/>
  <c r="AA11" i="21"/>
  <c r="AE11" i="21" s="1"/>
  <c r="AA10" i="21"/>
  <c r="AE10" i="21" s="1"/>
  <c r="AA9" i="21"/>
  <c r="AE9" i="21" s="1"/>
  <c r="AA8" i="21"/>
  <c r="AE8" i="21" s="1"/>
  <c r="AA7" i="21"/>
  <c r="AE7" i="21" s="1"/>
  <c r="T37" i="21" l="1"/>
  <c r="L37" i="21"/>
  <c r="X43" i="21"/>
  <c r="X56" i="21" s="1"/>
  <c r="O37" i="21"/>
  <c r="W37" i="21"/>
  <c r="P37" i="21"/>
  <c r="X37" i="21"/>
  <c r="O49" i="21"/>
  <c r="M37" i="21"/>
  <c r="U37" i="21"/>
  <c r="N37" i="21"/>
  <c r="V37" i="21"/>
  <c r="AA35" i="21"/>
  <c r="AE26" i="21"/>
  <c r="X50" i="21" s="1"/>
  <c r="X52" i="21" s="1"/>
  <c r="R37" i="21"/>
  <c r="Z37" i="21"/>
  <c r="Y51" i="21"/>
  <c r="Y52" i="21" s="1"/>
  <c r="AD37" i="21"/>
  <c r="X44" i="21"/>
  <c r="Y43" i="21"/>
  <c r="W43" i="21" s="1"/>
  <c r="AA22" i="21"/>
  <c r="S44" i="21"/>
  <c r="U44" i="21" s="1"/>
  <c r="S48" i="21"/>
  <c r="U48" i="21" s="1"/>
  <c r="S43" i="21"/>
  <c r="U43" i="21" s="1"/>
  <c r="AE24" i="21"/>
  <c r="AE20" i="21"/>
  <c r="X45" i="21" s="1"/>
  <c r="W50" i="21" l="1"/>
  <c r="AE35" i="21"/>
  <c r="AA37" i="21"/>
  <c r="Y58" i="21"/>
  <c r="W51" i="21"/>
  <c r="W52" i="21"/>
  <c r="W44" i="21"/>
  <c r="X57" i="21"/>
  <c r="W57" i="21" s="1"/>
  <c r="AE22" i="21"/>
  <c r="T46" i="21"/>
  <c r="X58" i="21"/>
  <c r="W45" i="21"/>
  <c r="Y56" i="21"/>
  <c r="Y46" i="21"/>
  <c r="U49" i="21"/>
  <c r="T43" i="21"/>
  <c r="X46" i="21"/>
  <c r="AI12" i="18"/>
  <c r="AI13" i="18"/>
  <c r="AO55" i="18"/>
  <c r="U55" i="18"/>
  <c r="AS52" i="18"/>
  <c r="AO52" i="18"/>
  <c r="Z52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AI35" i="18"/>
  <c r="AI34" i="18"/>
  <c r="AI33" i="18"/>
  <c r="U57" i="18" s="1"/>
  <c r="AI32" i="18"/>
  <c r="AI31" i="18"/>
  <c r="AI30" i="18"/>
  <c r="AI29" i="18"/>
  <c r="AI28" i="18"/>
  <c r="AI27" i="18"/>
  <c r="Z25" i="18"/>
  <c r="Z47" i="18" s="1"/>
  <c r="Y25" i="18"/>
  <c r="X25" i="18"/>
  <c r="X47" i="18" s="1"/>
  <c r="W25" i="18"/>
  <c r="W47" i="18" s="1"/>
  <c r="V25" i="18"/>
  <c r="U25" i="18"/>
  <c r="U47" i="18" s="1"/>
  <c r="T25" i="18"/>
  <c r="T47" i="18" s="1"/>
  <c r="S25" i="18"/>
  <c r="R25" i="18"/>
  <c r="R47" i="18" s="1"/>
  <c r="Q25" i="18"/>
  <c r="P25" i="18"/>
  <c r="P47" i="18" s="1"/>
  <c r="O25" i="18"/>
  <c r="O47" i="18" s="1"/>
  <c r="N25" i="18"/>
  <c r="M25" i="18"/>
  <c r="M47" i="18" s="1"/>
  <c r="L25" i="18"/>
  <c r="L47" i="18" s="1"/>
  <c r="AI24" i="18"/>
  <c r="AI23" i="18"/>
  <c r="AI22" i="18"/>
  <c r="AI21" i="18"/>
  <c r="AI20" i="18"/>
  <c r="AI19" i="18"/>
  <c r="AI18" i="18"/>
  <c r="AI17" i="18"/>
  <c r="U54" i="18" s="1"/>
  <c r="AI16" i="18"/>
  <c r="AI15" i="18"/>
  <c r="U53" i="18" s="1"/>
  <c r="AI14" i="18"/>
  <c r="AI11" i="18"/>
  <c r="AI10" i="18"/>
  <c r="AI9" i="18"/>
  <c r="AI8" i="18"/>
  <c r="AI7" i="18"/>
  <c r="U52" i="18" s="1"/>
  <c r="Q47" i="18" l="1"/>
  <c r="Y47" i="18"/>
  <c r="AI45" i="18"/>
  <c r="AO58" i="18"/>
  <c r="AO59" i="18" s="1"/>
  <c r="N47" i="18"/>
  <c r="AE37" i="21"/>
  <c r="W58" i="21"/>
  <c r="Y59" i="21"/>
  <c r="W56" i="21"/>
  <c r="X59" i="21"/>
  <c r="T49" i="21"/>
  <c r="W46" i="21"/>
  <c r="V47" i="18"/>
  <c r="S47" i="18"/>
  <c r="V52" i="18"/>
  <c r="AI25" i="18"/>
  <c r="AI47" i="18" s="1"/>
  <c r="U56" i="18"/>
  <c r="W59" i="21" l="1"/>
  <c r="T51" i="21"/>
  <c r="T50" i="21"/>
  <c r="V55" i="18"/>
  <c r="V58" i="18" s="1"/>
  <c r="V59" i="18" s="1"/>
  <c r="U53" i="5" l="1"/>
  <c r="Z50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AI33" i="5"/>
  <c r="AI32" i="5"/>
  <c r="AI31" i="5"/>
  <c r="AI30" i="5"/>
  <c r="AI29" i="5"/>
  <c r="U54" i="5" s="1"/>
  <c r="AI28" i="5"/>
  <c r="AI27" i="5"/>
  <c r="Z25" i="5"/>
  <c r="Z45" i="5" s="1"/>
  <c r="Y25" i="5"/>
  <c r="X25" i="5"/>
  <c r="W25" i="5"/>
  <c r="V25" i="5"/>
  <c r="V45" i="5" s="1"/>
  <c r="U25" i="5"/>
  <c r="U45" i="5" s="1"/>
  <c r="T25" i="5"/>
  <c r="S25" i="5"/>
  <c r="R25" i="5"/>
  <c r="R45" i="5" s="1"/>
  <c r="Q25" i="5"/>
  <c r="P25" i="5"/>
  <c r="O25" i="5"/>
  <c r="N25" i="5"/>
  <c r="N45" i="5" s="1"/>
  <c r="M25" i="5"/>
  <c r="L25" i="5"/>
  <c r="AI24" i="5"/>
  <c r="AI23" i="5"/>
  <c r="AI22" i="5"/>
  <c r="AI21" i="5"/>
  <c r="AI20" i="5"/>
  <c r="AI19" i="5"/>
  <c r="AI18" i="5"/>
  <c r="U52" i="5" s="1"/>
  <c r="AI17" i="5"/>
  <c r="AI16" i="5"/>
  <c r="AI15" i="5"/>
  <c r="AI14" i="5"/>
  <c r="AI13" i="5"/>
  <c r="AI12" i="5"/>
  <c r="AI11" i="5"/>
  <c r="AI10" i="5"/>
  <c r="AI9" i="5"/>
  <c r="AI8" i="5"/>
  <c r="AI7" i="5"/>
  <c r="U52" i="4"/>
  <c r="Z49" i="4"/>
  <c r="W43" i="4"/>
  <c r="P43" i="4"/>
  <c r="Z41" i="4"/>
  <c r="Z43" i="4" s="1"/>
  <c r="Y41" i="4"/>
  <c r="X41" i="4"/>
  <c r="W41" i="4"/>
  <c r="V41" i="4"/>
  <c r="U41" i="4"/>
  <c r="T41" i="4"/>
  <c r="S41" i="4"/>
  <c r="R41" i="4"/>
  <c r="R43" i="4" s="1"/>
  <c r="Q41" i="4"/>
  <c r="P41" i="4"/>
  <c r="O41" i="4"/>
  <c r="N41" i="4"/>
  <c r="N43" i="4" s="1"/>
  <c r="M41" i="4"/>
  <c r="L41" i="4"/>
  <c r="AI31" i="4"/>
  <c r="AI30" i="4"/>
  <c r="AI29" i="4"/>
  <c r="AI28" i="4"/>
  <c r="AI27" i="4"/>
  <c r="AI26" i="4"/>
  <c r="U53" i="4" s="1"/>
  <c r="AI25" i="4"/>
  <c r="Z23" i="4"/>
  <c r="Y23" i="4"/>
  <c r="X23" i="4"/>
  <c r="W23" i="4"/>
  <c r="V23" i="4"/>
  <c r="V43" i="4" s="1"/>
  <c r="U23" i="4"/>
  <c r="U43" i="4" s="1"/>
  <c r="T23" i="4"/>
  <c r="T43" i="4" s="1"/>
  <c r="S23" i="4"/>
  <c r="R23" i="4"/>
  <c r="Q23" i="4"/>
  <c r="P23" i="4"/>
  <c r="O23" i="4"/>
  <c r="O43" i="4" s="1"/>
  <c r="N23" i="4"/>
  <c r="M23" i="4"/>
  <c r="M43" i="4" s="1"/>
  <c r="L23" i="4"/>
  <c r="L43" i="4" s="1"/>
  <c r="AI22" i="4"/>
  <c r="AI21" i="4"/>
  <c r="AI20" i="4"/>
  <c r="AI19" i="4"/>
  <c r="AI18" i="4"/>
  <c r="AI17" i="4"/>
  <c r="AI16" i="4"/>
  <c r="AI15" i="4"/>
  <c r="U51" i="4" s="1"/>
  <c r="AI14" i="4"/>
  <c r="AI13" i="4"/>
  <c r="AI12" i="4"/>
  <c r="U50" i="4" s="1"/>
  <c r="AI11" i="4"/>
  <c r="AI10" i="4"/>
  <c r="AI9" i="4"/>
  <c r="AI8" i="4"/>
  <c r="AI7" i="4"/>
  <c r="AI23" i="4" s="1"/>
  <c r="U52" i="3"/>
  <c r="U50" i="3"/>
  <c r="Z49" i="3"/>
  <c r="U49" i="3"/>
  <c r="Y43" i="3"/>
  <c r="M43" i="3"/>
  <c r="Z41" i="3"/>
  <c r="Z43" i="3" s="1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AI31" i="3"/>
  <c r="AI30" i="3"/>
  <c r="AI29" i="3"/>
  <c r="AI28" i="3"/>
  <c r="U54" i="3" s="1"/>
  <c r="AI27" i="3"/>
  <c r="AI26" i="3"/>
  <c r="AI25" i="3"/>
  <c r="Z23" i="3"/>
  <c r="Y23" i="3"/>
  <c r="X23" i="3"/>
  <c r="W23" i="3"/>
  <c r="W43" i="3" s="1"/>
  <c r="V23" i="3"/>
  <c r="U23" i="3"/>
  <c r="U43" i="3" s="1"/>
  <c r="T23" i="3"/>
  <c r="T43" i="3" s="1"/>
  <c r="S23" i="3"/>
  <c r="R23" i="3"/>
  <c r="Q23" i="3"/>
  <c r="P23" i="3"/>
  <c r="P43" i="3" s="1"/>
  <c r="O23" i="3"/>
  <c r="O43" i="3" s="1"/>
  <c r="N23" i="3"/>
  <c r="N43" i="3" s="1"/>
  <c r="M23" i="3"/>
  <c r="L23" i="3"/>
  <c r="AI22" i="3"/>
  <c r="AI21" i="3"/>
  <c r="AI20" i="3"/>
  <c r="AI19" i="3"/>
  <c r="AI18" i="3"/>
  <c r="AI17" i="3"/>
  <c r="AI16" i="3"/>
  <c r="AI15" i="3"/>
  <c r="U51" i="3" s="1"/>
  <c r="AI14" i="3"/>
  <c r="AI13" i="3"/>
  <c r="AI12" i="3"/>
  <c r="AI11" i="3"/>
  <c r="AI10" i="3"/>
  <c r="AI9" i="3"/>
  <c r="AI8" i="3"/>
  <c r="AI7" i="3"/>
  <c r="U49" i="2"/>
  <c r="U47" i="2"/>
  <c r="Z46" i="2"/>
  <c r="W41" i="2"/>
  <c r="P41" i="2"/>
  <c r="Z39" i="2"/>
  <c r="Y39" i="2"/>
  <c r="X39" i="2"/>
  <c r="W39" i="2"/>
  <c r="V39" i="2"/>
  <c r="U39" i="2"/>
  <c r="U41" i="2" s="1"/>
  <c r="T39" i="2"/>
  <c r="S39" i="2"/>
  <c r="R39" i="2"/>
  <c r="Q39" i="2"/>
  <c r="P39" i="2"/>
  <c r="O39" i="2"/>
  <c r="N39" i="2"/>
  <c r="M39" i="2"/>
  <c r="L39" i="2"/>
  <c r="AI29" i="2"/>
  <c r="AI28" i="2"/>
  <c r="AI27" i="2"/>
  <c r="AI26" i="2"/>
  <c r="U51" i="2" s="1"/>
  <c r="AI25" i="2"/>
  <c r="AI24" i="2"/>
  <c r="AI23" i="2"/>
  <c r="U50" i="2" s="1"/>
  <c r="Z21" i="2"/>
  <c r="Z41" i="2" s="1"/>
  <c r="Y21" i="2"/>
  <c r="Y41" i="2" s="1"/>
  <c r="X21" i="2"/>
  <c r="W21" i="2"/>
  <c r="V21" i="2"/>
  <c r="V41" i="2" s="1"/>
  <c r="U21" i="2"/>
  <c r="T21" i="2"/>
  <c r="T41" i="2" s="1"/>
  <c r="S21" i="2"/>
  <c r="R21" i="2"/>
  <c r="R41" i="2" s="1"/>
  <c r="Q21" i="2"/>
  <c r="Q41" i="2" s="1"/>
  <c r="P21" i="2"/>
  <c r="O21" i="2"/>
  <c r="N21" i="2"/>
  <c r="N41" i="2" s="1"/>
  <c r="M21" i="2"/>
  <c r="L21" i="2"/>
  <c r="L41" i="2" s="1"/>
  <c r="AI14" i="2"/>
  <c r="AI13" i="2"/>
  <c r="AI12" i="2"/>
  <c r="AI11" i="2"/>
  <c r="AI10" i="2"/>
  <c r="AI9" i="2"/>
  <c r="AI8" i="2"/>
  <c r="AI7" i="2"/>
  <c r="AP56" i="18" l="1"/>
  <c r="W56" i="18"/>
  <c r="AP57" i="18"/>
  <c r="W57" i="18"/>
  <c r="S41" i="2"/>
  <c r="V43" i="3"/>
  <c r="M41" i="2"/>
  <c r="W52" i="4"/>
  <c r="AP55" i="18"/>
  <c r="W55" i="18"/>
  <c r="Q43" i="3"/>
  <c r="U46" i="2"/>
  <c r="O41" i="2"/>
  <c r="AI39" i="2"/>
  <c r="R43" i="3"/>
  <c r="L43" i="3"/>
  <c r="X41" i="2"/>
  <c r="S43" i="3"/>
  <c r="AI41" i="3"/>
  <c r="U53" i="3"/>
  <c r="W53" i="3" s="1"/>
  <c r="S43" i="4"/>
  <c r="U48" i="2"/>
  <c r="U49" i="4"/>
  <c r="V49" i="4" s="1"/>
  <c r="V55" i="4" s="1"/>
  <c r="V49" i="3"/>
  <c r="U54" i="4"/>
  <c r="V52" i="4" s="1"/>
  <c r="O45" i="5"/>
  <c r="W45" i="5"/>
  <c r="X43" i="3"/>
  <c r="AI23" i="3"/>
  <c r="AI43" i="3" s="1"/>
  <c r="X43" i="4"/>
  <c r="AP53" i="18"/>
  <c r="W53" i="18"/>
  <c r="Q43" i="4"/>
  <c r="Y43" i="4"/>
  <c r="U50" i="5"/>
  <c r="M45" i="5"/>
  <c r="P45" i="5"/>
  <c r="X45" i="5"/>
  <c r="S45" i="5"/>
  <c r="L45" i="5"/>
  <c r="Q45" i="5"/>
  <c r="AI25" i="5"/>
  <c r="AI43" i="5"/>
  <c r="T45" i="5"/>
  <c r="U55" i="5"/>
  <c r="V53" i="5" s="1"/>
  <c r="U51" i="5"/>
  <c r="V50" i="5" s="1"/>
  <c r="Y45" i="5"/>
  <c r="W54" i="3"/>
  <c r="W51" i="4"/>
  <c r="W51" i="3"/>
  <c r="W52" i="5"/>
  <c r="AI45" i="5"/>
  <c r="W53" i="4"/>
  <c r="W50" i="3"/>
  <c r="W54" i="4"/>
  <c r="W53" i="5"/>
  <c r="V49" i="2"/>
  <c r="W50" i="4"/>
  <c r="W54" i="5"/>
  <c r="AI41" i="4"/>
  <c r="AI43" i="4" s="1"/>
  <c r="W52" i="3"/>
  <c r="AI21" i="2"/>
  <c r="AI41" i="2" s="1"/>
  <c r="AP54" i="18" l="1"/>
  <c r="W54" i="18"/>
  <c r="AP52" i="18"/>
  <c r="AP58" i="18" s="1"/>
  <c r="W52" i="18"/>
  <c r="W58" i="18" s="1"/>
  <c r="V46" i="2"/>
  <c r="W49" i="4"/>
  <c r="V52" i="3"/>
  <c r="V55" i="3" s="1"/>
  <c r="W50" i="5"/>
  <c r="W49" i="3"/>
  <c r="V56" i="5"/>
  <c r="V57" i="5" s="1"/>
  <c r="W55" i="5"/>
  <c r="W51" i="5"/>
  <c r="W55" i="3"/>
  <c r="V52" i="2"/>
  <c r="W55" i="4"/>
  <c r="W56" i="5" l="1"/>
</calcChain>
</file>

<file path=xl/sharedStrings.xml><?xml version="1.0" encoding="utf-8"?>
<sst xmlns="http://schemas.openxmlformats.org/spreadsheetml/2006/main" count="1102" uniqueCount="184">
  <si>
    <t>바이널씨 자리배치도</t>
  </si>
  <si>
    <t>4C</t>
  </si>
  <si>
    <t>4D</t>
  </si>
  <si>
    <t>커
머
스
웨
어</t>
  </si>
  <si>
    <t>고우정</t>
  </si>
  <si>
    <t>황세진</t>
  </si>
  <si>
    <t>배지효</t>
  </si>
  <si>
    <t>이경진</t>
  </si>
  <si>
    <t>정수정</t>
  </si>
  <si>
    <t>우미숙</t>
  </si>
  <si>
    <t>윤혜림</t>
  </si>
  <si>
    <t>박성호</t>
  </si>
  <si>
    <t>김강현</t>
  </si>
  <si>
    <t>김세진</t>
  </si>
  <si>
    <t>김민지</t>
  </si>
  <si>
    <t>조선자</t>
  </si>
  <si>
    <t>장익준</t>
  </si>
  <si>
    <t>이태림</t>
  </si>
  <si>
    <t>민수연</t>
  </si>
  <si>
    <t>안광훈</t>
  </si>
  <si>
    <t>김영근</t>
  </si>
  <si>
    <t>유경구</t>
  </si>
  <si>
    <t>박민정</t>
  </si>
  <si>
    <t>현대백화점 New 커머스 플랫폼 구축</t>
  </si>
  <si>
    <t>업무구분</t>
  </si>
  <si>
    <t>역할</t>
  </si>
  <si>
    <t>계약등급</t>
  </si>
  <si>
    <t>이름</t>
  </si>
  <si>
    <t>실등급</t>
  </si>
  <si>
    <t>계약투입일</t>
  </si>
  <si>
    <t>계약철수일</t>
  </si>
  <si>
    <t>실투입일</t>
  </si>
  <si>
    <t>실철수일</t>
  </si>
  <si>
    <t>M1
(2월)</t>
  </si>
  <si>
    <t>M2
(3월)</t>
  </si>
  <si>
    <t>M3
(4월)</t>
  </si>
  <si>
    <t>M4
(5월)</t>
  </si>
  <si>
    <t>M5
(6월)</t>
  </si>
  <si>
    <t>M6
(7월)</t>
  </si>
  <si>
    <t>M7
(8월)</t>
  </si>
  <si>
    <t>M8
(9월)</t>
  </si>
  <si>
    <t>M9
(10월)</t>
  </si>
  <si>
    <t>M10
(11월)</t>
  </si>
  <si>
    <t>M11
(12월)</t>
  </si>
  <si>
    <t>M12
(1월)</t>
  </si>
  <si>
    <t>M13
(2월)</t>
  </si>
  <si>
    <t>M14
(3월)</t>
  </si>
  <si>
    <t>M15
(4월)</t>
  </si>
  <si>
    <t>M/M계</t>
  </si>
  <si>
    <t>현장관리</t>
  </si>
  <si>
    <t>기획/디자인 총괄 (바이널씨 PM)</t>
  </si>
  <si>
    <t>고급</t>
  </si>
  <si>
    <t>특급</t>
  </si>
  <si>
    <t>기획</t>
  </si>
  <si>
    <t>PL (제작가이드, 산출물 검수)</t>
  </si>
  <si>
    <t xml:space="preserve">앱웹 Front UXUI 상세 화면설계
</t>
  </si>
  <si>
    <t>-</t>
  </si>
  <si>
    <t>중급</t>
  </si>
  <si>
    <t>최철원</t>
  </si>
  <si>
    <t>초급</t>
  </si>
  <si>
    <t>합계</t>
  </si>
  <si>
    <t>mm</t>
  </si>
  <si>
    <t>디자인</t>
  </si>
  <si>
    <t>앱웹 화면 UI 디자인</t>
  </si>
  <si>
    <t>인터렉션 디자인
(Interaction 설계 및 구현)</t>
  </si>
  <si>
    <t>MM</t>
  </si>
  <si>
    <t>등급별 계획공수</t>
  </si>
  <si>
    <t>계획공수</t>
  </si>
  <si>
    <t>부문</t>
  </si>
  <si>
    <t>등급</t>
  </si>
  <si>
    <t>공수</t>
  </si>
  <si>
    <t>계약공수</t>
  </si>
  <si>
    <t>본사 추가지원 공수</t>
  </si>
  <si>
    <t>총 가용 공수</t>
  </si>
  <si>
    <t>총계</t>
  </si>
  <si>
    <t xml:space="preserve">월별 인력 투입 계획 </t>
  </si>
  <si>
    <t>TBD</t>
  </si>
  <si>
    <t xml:space="preserve"> </t>
  </si>
  <si>
    <t>&gt; 최초 인력투입 계획 (1/17)에서는 정수정님, 김강현님이 2월까지로 되어 있었으나, 실제 두 분 계약은 각각 11월/10월로 되어있어서 수정</t>
  </si>
  <si>
    <t>&gt; 설계 범위가 당초 예상보다 매우 클 것으로 예상되어 설계단계까지 인력이 더 많이 필요할 것 같아 통테 지원을 줄이기로 PM과 합의하여 조정</t>
  </si>
  <si>
    <t>차이</t>
  </si>
  <si>
    <t>본사 추가지원 가능 공수</t>
  </si>
  <si>
    <t>잔여 가용 공수</t>
    <phoneticPr fontId="22" type="noConversion"/>
  </si>
  <si>
    <t>박지황</t>
    <phoneticPr fontId="22" type="noConversion"/>
  </si>
  <si>
    <t>김단비</t>
    <phoneticPr fontId="22" type="noConversion"/>
  </si>
  <si>
    <t>김원경</t>
    <phoneticPr fontId="22" type="noConversion"/>
  </si>
  <si>
    <t>`</t>
    <phoneticPr fontId="22" type="noConversion"/>
  </si>
  <si>
    <t>김단비,김원경 투입 시 박민정,김민지 뒷공수 활용분</t>
    <phoneticPr fontId="22" type="noConversion"/>
  </si>
  <si>
    <t>- 3.5MM(중급2.5, 초급1.0)</t>
    <phoneticPr fontId="22" type="noConversion"/>
  </si>
  <si>
    <t>추가4.5MM활용</t>
    <phoneticPr fontId="22" type="noConversion"/>
  </si>
  <si>
    <t>(등급 미고려)</t>
    <phoneticPr fontId="22" type="noConversion"/>
  </si>
  <si>
    <t>디자인변동검토</t>
    <phoneticPr fontId="22" type="noConversion"/>
  </si>
  <si>
    <t>계약 버전</t>
    <phoneticPr fontId="22" type="noConversion"/>
  </si>
  <si>
    <t>김단비</t>
    <phoneticPr fontId="22" type="noConversion"/>
  </si>
  <si>
    <t>김원형</t>
    <phoneticPr fontId="22" type="noConversion"/>
  </si>
  <si>
    <t>유지현</t>
    <phoneticPr fontId="22" type="noConversion"/>
  </si>
  <si>
    <t>유승용</t>
    <phoneticPr fontId="22" type="noConversion"/>
  </si>
  <si>
    <t>추가 기획 투입 건</t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</si>
  <si>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14.0MM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</si>
  <si>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r>
      <t>추가</t>
    </r>
    <r>
      <rPr>
        <b/>
        <sz val="11"/>
        <color rgb="FFFF0000"/>
        <rFont val="Calibri"/>
        <family val="2"/>
        <scheme val="minor"/>
      </rPr>
      <t xml:space="preserve"> 4.5MM </t>
    </r>
    <r>
      <rPr>
        <b/>
        <sz val="11"/>
        <color rgb="FFFF0000"/>
        <rFont val="Calibri"/>
        <family val="3"/>
        <charset val="129"/>
        <scheme val="minor"/>
      </rPr>
      <t>활용</t>
    </r>
    <phoneticPr fontId="22" type="noConversion"/>
  </si>
  <si>
    <t>김단비</t>
    <phoneticPr fontId="22" type="noConversion"/>
  </si>
  <si>
    <t>기획변동검토</t>
    <phoneticPr fontId="22" type="noConversion"/>
  </si>
  <si>
    <r>
      <t xml:space="preserve">25/04/11 </t>
    </r>
    <r>
      <rPr>
        <sz val="11"/>
        <color theme="1"/>
        <rFont val="Calibri"/>
        <family val="3"/>
        <charset val="129"/>
        <scheme val="minor"/>
      </rPr>
      <t>버전</t>
    </r>
    <phoneticPr fontId="22" type="noConversion"/>
  </si>
  <si>
    <r>
      <rPr>
        <b/>
        <sz val="12"/>
        <color theme="1"/>
        <rFont val="Malgun Gothic"/>
        <family val="2"/>
        <charset val="129"/>
      </rPr>
      <t xml:space="preserve">변경 내용 설명 </t>
    </r>
    <r>
      <rPr>
        <b/>
        <sz val="12"/>
        <color theme="1"/>
        <rFont val="맑은 고딕"/>
        <family val="3"/>
        <charset val="129"/>
      </rPr>
      <t>↓</t>
    </r>
    <phoneticPr fontId="22" type="noConversion"/>
  </si>
  <si>
    <t>8월 - 9월</t>
    <phoneticPr fontId="35" type="noConversion"/>
  </si>
  <si>
    <t>단위테스트케이스 산출물 관리 / 테스트 시행</t>
    <phoneticPr fontId="35" type="noConversion"/>
  </si>
  <si>
    <t>추가요건에 대한 설계</t>
    <phoneticPr fontId="35" type="noConversion"/>
  </si>
  <si>
    <t>산출물(설계) 품질관리 및 현행화</t>
    <phoneticPr fontId="35" type="noConversion"/>
  </si>
  <si>
    <t>요구사항 추적표 관리</t>
    <phoneticPr fontId="35" type="noConversion"/>
  </si>
  <si>
    <t>메뉴구조도 관리</t>
    <phoneticPr fontId="35" type="noConversion"/>
  </si>
  <si>
    <t>10월 ~ 12월</t>
    <phoneticPr fontId="35" type="noConversion"/>
  </si>
  <si>
    <t>요구사항 추적표 관리</t>
    <phoneticPr fontId="35" type="noConversion"/>
  </si>
  <si>
    <t>1월 ~ 3월</t>
    <phoneticPr fontId="35" type="noConversion"/>
  </si>
  <si>
    <t>통합테스트 (개발대응)</t>
    <phoneticPr fontId="35" type="noConversion"/>
  </si>
  <si>
    <t>로그인, 회원, 상품, 주문, 마이페이지 관리</t>
  </si>
  <si>
    <t>장바구니, 주문서, 주문완료</t>
  </si>
  <si>
    <t>구독, 마이페이지(주문관리)</t>
  </si>
  <si>
    <t>프로모션, 이벤트, 마이페이지(나의활동, 나의혜택)</t>
  </si>
  <si>
    <t>(김강현)</t>
  </si>
  <si>
    <t>로그인, 회원가입, 마이페이지(나의정보)</t>
  </si>
  <si>
    <t>(장익준)</t>
  </si>
  <si>
    <t>상품 (유형, 무형)</t>
  </si>
  <si>
    <t>모듈, 피드/샵메인, 전문관, 브랜드관, 콘텐츠, 신규기능(미스페이스, 잼/마이컬렉션) 고객센터, 공통</t>
  </si>
  <si>
    <t>모듈, 브랜드관, 콘텐츠</t>
  </si>
  <si>
    <t>신규기능(미스페이스, 잼/마이컬렉션), 고객센터, 공통, 전문관</t>
  </si>
  <si>
    <t>변경MM</t>
    <phoneticPr fontId="22" type="noConversion"/>
  </si>
  <si>
    <t>등급별 계약공수</t>
    <phoneticPr fontId="22" type="noConversion"/>
  </si>
  <si>
    <t>조기철수</t>
    <phoneticPr fontId="22" type="noConversion"/>
  </si>
  <si>
    <t>바이널씨 내부 계획 공수</t>
    <phoneticPr fontId="22" type="noConversion"/>
  </si>
  <si>
    <t>현재</t>
    <phoneticPr fontId="22" type="noConversion"/>
  </si>
  <si>
    <t>계약대비 MM 차이</t>
    <phoneticPr fontId="22" type="noConversion"/>
  </si>
  <si>
    <t>고</t>
    <phoneticPr fontId="22" type="noConversion"/>
  </si>
  <si>
    <t>중</t>
    <phoneticPr fontId="22" type="noConversion"/>
  </si>
  <si>
    <t>초</t>
    <phoneticPr fontId="22" type="noConversion"/>
  </si>
  <si>
    <t>TBD 1</t>
    <phoneticPr fontId="22" type="noConversion"/>
  </si>
  <si>
    <t>TBD 2</t>
    <phoneticPr fontId="22" type="noConversion"/>
  </si>
  <si>
    <t>연장</t>
    <phoneticPr fontId="22" type="noConversion"/>
  </si>
  <si>
    <t>연장</t>
    <phoneticPr fontId="22" type="noConversion"/>
  </si>
  <si>
    <t>추가투입</t>
    <phoneticPr fontId="22" type="noConversion"/>
  </si>
  <si>
    <t>Gap</t>
    <phoneticPr fontId="22" type="noConversion"/>
  </si>
  <si>
    <t>*추가지원 가능 공수는 내부적으로만 소통</t>
    <phoneticPr fontId="22" type="noConversion"/>
  </si>
  <si>
    <t xml:space="preserve">앱웹 Front UXUI 상세 화면설계
</t>
    <phoneticPr fontId="22" type="noConversion"/>
  </si>
  <si>
    <t>앱웹 Front UXUI 상세 화면설계</t>
  </si>
  <si>
    <t>앱웹 Front UXUI 상세 화면설계</t>
    <phoneticPr fontId="22" type="noConversion"/>
  </si>
  <si>
    <t>현장관리</t>
    <phoneticPr fontId="22" type="noConversion"/>
  </si>
  <si>
    <t>계약MM</t>
    <phoneticPr fontId="22" type="noConversion"/>
  </si>
  <si>
    <t>잔여 가용 공수</t>
  </si>
  <si>
    <t>추가연장</t>
    <phoneticPr fontId="22" type="noConversion"/>
  </si>
  <si>
    <t>추가연장</t>
    <phoneticPr fontId="22" type="noConversion"/>
  </si>
  <si>
    <t>통합(기획/디자인) 인력 변경</t>
    <phoneticPr fontId="22" type="noConversion"/>
  </si>
  <si>
    <t>황세진,우미숙 조기철수 ▶ 조선자,유경구,안광훈 연장, *유승용,유지현 추가</t>
    <phoneticPr fontId="22" type="noConversion"/>
  </si>
  <si>
    <t>김강현,장익준 조기철수 ▶ 김영근 연장</t>
    <phoneticPr fontId="22" type="noConversion"/>
  </si>
  <si>
    <t>김세진 조기철수 ▶ 이태림 연장</t>
    <phoneticPr fontId="22" type="noConversion"/>
  </si>
  <si>
    <t>김민지 조기철수 ▶ 민수연,김단비,김원경 연장, TBD1, TBD2 추가</t>
    <phoneticPr fontId="22" type="noConversion"/>
  </si>
  <si>
    <t>현대백화점 New 커머스 플랫폼 구축</t>
    <phoneticPr fontId="22" type="noConversion"/>
  </si>
  <si>
    <t>비고(KTDS 이번 공유사항)</t>
    <phoneticPr fontId="22" type="noConversion"/>
  </si>
  <si>
    <t>PL연장확정(전PM공수)</t>
    <phoneticPr fontId="22" type="noConversion"/>
  </si>
  <si>
    <t>조기철수</t>
    <phoneticPr fontId="22" type="noConversion"/>
  </si>
  <si>
    <t>25/02/17</t>
    <phoneticPr fontId="22" type="noConversion"/>
  </si>
  <si>
    <t>1. 기간별 TASK</t>
    <phoneticPr fontId="22" type="noConversion"/>
  </si>
  <si>
    <t>조기철수(확정)_특급아님(고급)</t>
    <phoneticPr fontId="22" type="noConversion"/>
  </si>
  <si>
    <t>PM교체</t>
    <phoneticPr fontId="22" type="noConversion"/>
  </si>
  <si>
    <t>조기철수(확정)</t>
    <phoneticPr fontId="22" type="noConversion"/>
  </si>
  <si>
    <t>추가투입(철수상태)</t>
    <phoneticPr fontId="22" type="noConversion"/>
  </si>
  <si>
    <t>추가투입</t>
    <phoneticPr fontId="22" type="noConversion"/>
  </si>
  <si>
    <t>추가투입(연장)</t>
    <phoneticPr fontId="22" type="noConversion"/>
  </si>
  <si>
    <t>조기철수(검토)</t>
    <phoneticPr fontId="22" type="noConversion"/>
  </si>
  <si>
    <t>2. 각 파트별 작업 영역</t>
    <phoneticPr fontId="22" type="noConversion"/>
  </si>
  <si>
    <t>연장확정</t>
    <phoneticPr fontId="22" type="noConversion"/>
  </si>
  <si>
    <t>조기철수(희망검토)</t>
    <phoneticPr fontId="22" type="noConversion"/>
  </si>
  <si>
    <t>연장검토</t>
    <phoneticPr fontId="22" type="noConversion"/>
  </si>
  <si>
    <t>조기철수</t>
    <phoneticPr fontId="22" type="noConversion"/>
  </si>
  <si>
    <t>25/02/17 시작 버전</t>
    <phoneticPr fontId="22" type="noConversion"/>
  </si>
  <si>
    <t>투입변경 상세 내용</t>
    <phoneticPr fontId="22" type="noConversion"/>
  </si>
  <si>
    <t>기획 부문 인력 변경</t>
    <phoneticPr fontId="22" type="noConversion"/>
  </si>
  <si>
    <t>*고객/협력사 노출 금지</t>
    <phoneticPr fontId="22" type="noConversion"/>
  </si>
  <si>
    <t>디자인 부문 인력 변경</t>
    <phoneticPr fontId="22" type="noConversion"/>
  </si>
  <si>
    <t>중</t>
    <phoneticPr fontId="22" type="noConversion"/>
  </si>
  <si>
    <t>박민경 조기철수</t>
    <phoneticPr fontId="22" type="noConversion"/>
  </si>
  <si>
    <t>초</t>
    <phoneticPr fontId="22" type="noConversion"/>
  </si>
  <si>
    <t>변경버전</t>
    <phoneticPr fontId="22" type="noConversion"/>
  </si>
  <si>
    <t>바이널씨 PM/기획,디자인 인력투입 변경 사항</t>
    <phoneticPr fontId="22" type="noConversion"/>
  </si>
  <si>
    <t>작성 : 25/07/18</t>
    <phoneticPr fontId="22" type="noConversion"/>
  </si>
  <si>
    <t>바이널씨 인력투입 추가 공수(계획)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</si>
</sst>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m&quot;/&quot;d"/>
    <numFmt numFmtId="177" formatCode="@\ \ &quot;인력투입계획&quot;"/>
    <numFmt numFmtId="178" formatCode="&quot;작성일 : &quot;m&quot;월&quot;\ d&quot;일&quot;"/>
    <numFmt numFmtId="179" formatCode="0.0_ "/>
    <numFmt numFmtId="180" formatCode="yy/mm/dd"/>
    <numFmt numFmtId="181" formatCode="0.00_);[Red]\(0.00\)"/>
    <numFmt numFmtId="182" formatCode="_-* #,##0_-;\-* #,##0_-;_-* &quot;-&quot;_-;_-@"/>
    <numFmt numFmtId="183" formatCode="#,##0.00_ "/>
    <numFmt numFmtId="184" formatCode="0.00_ ;[Red]\-0.00\ "/>
    <numFmt numFmtId="185" formatCode="yy\/mm\/dd"/>
  </numFmts>
  <fonts count="61">
    <font>
      <sz val="11"/>
      <color theme="1"/>
      <name val="Calibri"/>
      <scheme val="minor"/>
    </font>
    <font>
      <sz val="11"/>
      <color theme="1"/>
      <name val="Malgun Gothic"/>
      <family val="2"/>
      <charset val="129"/>
    </font>
    <font>
      <sz val="18"/>
      <color theme="1"/>
      <name val="Malgun Gothic"/>
      <family val="2"/>
      <charset val="129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Malgun Gothic"/>
      <family val="2"/>
      <charset val="129"/>
    </font>
    <font>
      <sz val="16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22"/>
      <color theme="1"/>
      <name val="Malgun Gothic"/>
      <family val="2"/>
      <charset val="129"/>
    </font>
    <font>
      <b/>
      <sz val="8"/>
      <color rgb="FFFF000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b/>
      <sz val="9"/>
      <color rgb="FFC00000"/>
      <name val="Malgun Gothic"/>
      <family val="2"/>
      <charset val="129"/>
    </font>
    <font>
      <sz val="9"/>
      <color rgb="FFC00000"/>
      <name val="Malgun Gothic"/>
      <family val="2"/>
      <charset val="129"/>
    </font>
    <font>
      <sz val="9"/>
      <color rgb="FFFF0000"/>
      <name val="Malgun Gothic"/>
      <family val="2"/>
      <charset val="129"/>
    </font>
    <font>
      <sz val="9"/>
      <color theme="0"/>
      <name val="Malgun Gothic"/>
      <family val="2"/>
      <charset val="129"/>
    </font>
    <font>
      <sz val="11"/>
      <color theme="1"/>
      <name val="Dotum"/>
      <family val="2"/>
      <charset val="129"/>
    </font>
    <font>
      <sz val="11"/>
      <color rgb="FFC00000"/>
      <name val="Dotum"/>
      <family val="2"/>
      <charset val="129"/>
    </font>
    <font>
      <b/>
      <sz val="12"/>
      <color rgb="FF00B0F0"/>
      <name val="Malgun Gothic"/>
      <family val="2"/>
      <charset val="129"/>
    </font>
    <font>
      <b/>
      <sz val="8"/>
      <color theme="1"/>
      <name val="Malgun Gothic"/>
      <family val="2"/>
      <charset val="129"/>
    </font>
    <font>
      <b/>
      <sz val="9"/>
      <color theme="0"/>
      <name val="Malgun Gothic"/>
      <family val="2"/>
      <charset val="129"/>
    </font>
    <font>
      <sz val="11"/>
      <color rgb="FFFF0000"/>
      <name val="Malgun Gothic"/>
      <family val="2"/>
      <charset val="129"/>
    </font>
    <font>
      <sz val="8"/>
      <name val="Calibri"/>
      <family val="3"/>
      <charset val="129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Calibri"/>
      <family val="3"/>
      <charset val="129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sz val="9"/>
      <color rgb="FFFF0000"/>
      <name val="Malgun Gothic"/>
      <family val="3"/>
      <charset val="129"/>
    </font>
    <font>
      <b/>
      <sz val="22"/>
      <color rgb="FFFF0000"/>
      <name val="Malgun Gothic"/>
      <family val="3"/>
      <charset val="129"/>
    </font>
    <font>
      <sz val="11"/>
      <name val="Malgun Gothic"/>
      <family val="2"/>
      <charset val="129"/>
    </font>
    <font>
      <b/>
      <sz val="9"/>
      <color rgb="FFFF0000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2"/>
      <charset val="129"/>
      <scheme val="minor"/>
    </font>
    <font>
      <sz val="9"/>
      <color theme="1"/>
      <name val="Noto Sans KR Medium"/>
      <family val="3"/>
      <charset val="129"/>
    </font>
    <font>
      <sz val="11"/>
      <color theme="1"/>
      <name val="Noto Sans KR Medium"/>
      <family val="3"/>
      <charset val="129"/>
    </font>
    <font>
      <b/>
      <sz val="22"/>
      <color theme="1"/>
      <name val="Noto Sans KR Medium"/>
      <family val="3"/>
      <charset val="129"/>
    </font>
    <font>
      <sz val="11"/>
      <name val="Noto Sans KR Medium"/>
      <family val="3"/>
      <charset val="129"/>
    </font>
    <font>
      <b/>
      <sz val="11"/>
      <color theme="1"/>
      <name val="Noto Sans KR Medium"/>
      <family val="3"/>
      <charset val="129"/>
    </font>
    <font>
      <b/>
      <sz val="10"/>
      <color theme="1"/>
      <name val="Noto Sans KR Medium"/>
      <family val="3"/>
      <charset val="129"/>
    </font>
    <font>
      <b/>
      <sz val="9"/>
      <color theme="0"/>
      <name val="Noto Sans KR Medium"/>
      <family val="3"/>
      <charset val="129"/>
    </font>
    <font>
      <b/>
      <sz val="9"/>
      <color theme="1"/>
      <name val="Noto Sans KR Medium"/>
      <family val="3"/>
      <charset val="129"/>
    </font>
    <font>
      <b/>
      <sz val="9"/>
      <color rgb="FFFF0000"/>
      <name val="Noto Sans KR Medium"/>
      <family val="3"/>
      <charset val="129"/>
    </font>
    <font>
      <sz val="9"/>
      <color rgb="FFFF0000"/>
      <name val="Noto Sans KR Medium"/>
      <family val="3"/>
      <charset val="129"/>
    </font>
    <font>
      <sz val="9"/>
      <name val="Noto Sans KR Medium"/>
      <family val="3"/>
      <charset val="129"/>
    </font>
    <font>
      <sz val="9"/>
      <color theme="1" tint="0.499984740745262"/>
      <name val="Noto Sans KR Medium"/>
      <family val="3"/>
      <charset val="129"/>
    </font>
    <font>
      <sz val="9"/>
      <color theme="0" tint="-0.34998626667073579"/>
      <name val="Noto Sans KR Medium"/>
      <family val="3"/>
      <charset val="129"/>
    </font>
    <font>
      <sz val="11"/>
      <color rgb="FFFF0000"/>
      <name val="Noto Sans KR Medium"/>
      <family val="3"/>
      <charset val="129"/>
    </font>
    <font>
      <sz val="9"/>
      <color theme="0"/>
      <name val="Noto Sans KR Medium"/>
      <family val="3"/>
      <charset val="129"/>
    </font>
    <font>
      <sz val="11"/>
      <color theme="1" tint="0.499984740745262"/>
      <name val="Noto Sans KR Medium"/>
      <family val="3"/>
      <charset val="129"/>
    </font>
    <font>
      <sz val="11"/>
      <color theme="0"/>
      <name val="Noto Sans KR Medium"/>
      <family val="3"/>
      <charset val="129"/>
    </font>
    <font>
      <b/>
      <sz val="12"/>
      <color theme="1" tint="0.499984740745262"/>
      <name val="Noto Sans KR Medium"/>
      <family val="3"/>
      <charset val="129"/>
    </font>
    <font>
      <b/>
      <sz val="12"/>
      <color theme="1"/>
      <name val="Noto Sans KR Medium"/>
      <family val="3"/>
      <charset val="129"/>
    </font>
    <font>
      <b/>
      <sz val="12"/>
      <color rgb="FF00B0F0"/>
      <name val="Noto Sans KR Medium"/>
      <family val="3"/>
      <charset val="129"/>
    </font>
    <font>
      <b/>
      <sz val="9"/>
      <color theme="0" tint="-4.9989318521683403E-2"/>
      <name val="Noto Sans KR Medium"/>
      <family val="3"/>
      <charset val="129"/>
    </font>
    <font>
      <b/>
      <sz val="9"/>
      <color theme="1" tint="0.499984740745262"/>
      <name val="Noto Sans KR Medium"/>
      <family val="3"/>
      <charset val="129"/>
    </font>
    <font>
      <b/>
      <sz val="11"/>
      <color theme="0" tint="-4.9989318521683403E-2"/>
      <name val="Noto Sans KR Medium"/>
      <family val="3"/>
      <charset val="129"/>
    </font>
    <font>
      <sz val="9"/>
      <color theme="0" tint="-4.9989318521683403E-2"/>
      <name val="Noto Sans KR Medium"/>
      <family val="3"/>
      <charset val="129"/>
    </font>
    <font>
      <b/>
      <u/>
      <sz val="11"/>
      <color theme="1"/>
      <name val="Noto Sans KR Medium"/>
      <family val="3"/>
      <charset val="129"/>
    </font>
  </fonts>
  <fills count="4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FFCCECFF"/>
        <bgColor rgb="FFCCEC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rgb="FFCCEC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CCEC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CCECFF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99CCFF"/>
      </patternFill>
    </fill>
    <fill>
      <patternFill patternType="solid">
        <fgColor theme="7" tint="0.79998168889431442"/>
        <bgColor rgb="FF99CCFF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2" tint="-0.14999847407452621"/>
        <bgColor rgb="FF9CC2E5"/>
      </patternFill>
    </fill>
    <fill>
      <patternFill patternType="solid">
        <fgColor theme="2" tint="-0.14999847407452621"/>
        <bgColor rgb="FFDEEAF6"/>
      </patternFill>
    </fill>
    <fill>
      <patternFill patternType="solid">
        <fgColor rgb="FF99CCFF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CCECFF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9CC2E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D8D8D8"/>
      </patternFill>
    </fill>
    <fill>
      <patternFill patternType="solid">
        <fgColor theme="1"/>
        <bgColor rgb="FFDEEAF6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rgb="FFA5A5A5"/>
      </patternFill>
    </fill>
    <fill>
      <patternFill patternType="solid">
        <fgColor theme="9"/>
        <bgColor indexed="64"/>
      </patternFill>
    </fill>
  </fills>
  <borders count="8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18"/>
  </cellStyleXfs>
  <cellXfs count="43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1" fillId="3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176" fontId="1" fillId="2" borderId="17" xfId="0" applyNumberFormat="1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23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/>
    </xf>
    <xf numFmtId="179" fontId="11" fillId="0" borderId="27" xfId="0" applyNumberFormat="1" applyFont="1" applyBorder="1" applyAlignment="1">
      <alignment horizontal="center" vertical="center" wrapText="1"/>
    </xf>
    <xf numFmtId="179" fontId="11" fillId="0" borderId="28" xfId="0" applyNumberFormat="1" applyFont="1" applyBorder="1" applyAlignment="1">
      <alignment vertical="center" wrapText="1"/>
    </xf>
    <xf numFmtId="179" fontId="7" fillId="8" borderId="25" xfId="0" applyNumberFormat="1" applyFont="1" applyFill="1" applyBorder="1" applyAlignment="1">
      <alignment horizontal="center" vertical="center"/>
    </xf>
    <xf numFmtId="179" fontId="13" fillId="8" borderId="25" xfId="0" applyNumberFormat="1" applyFont="1" applyFill="1" applyBorder="1" applyAlignment="1">
      <alignment horizontal="center" vertical="center"/>
    </xf>
    <xf numFmtId="180" fontId="7" fillId="8" borderId="25" xfId="0" applyNumberFormat="1" applyFont="1" applyFill="1" applyBorder="1" applyAlignment="1">
      <alignment vertical="center"/>
    </xf>
    <xf numFmtId="181" fontId="7" fillId="8" borderId="25" xfId="0" applyNumberFormat="1" applyFont="1" applyFill="1" applyBorder="1" applyAlignment="1">
      <alignment horizontal="center" vertical="center"/>
    </xf>
    <xf numFmtId="181" fontId="7" fillId="0" borderId="25" xfId="0" applyNumberFormat="1" applyFont="1" applyBorder="1" applyAlignment="1">
      <alignment horizontal="center" vertical="center"/>
    </xf>
    <xf numFmtId="181" fontId="7" fillId="7" borderId="26" xfId="0" applyNumberFormat="1" applyFont="1" applyFill="1" applyBorder="1" applyAlignment="1">
      <alignment horizontal="center" vertical="center"/>
    </xf>
    <xf numFmtId="181" fontId="14" fillId="8" borderId="25" xfId="0" applyNumberFormat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9" fontId="13" fillId="8" borderId="25" xfId="0" quotePrefix="1" applyNumberFormat="1" applyFont="1" applyFill="1" applyBorder="1" applyAlignment="1">
      <alignment horizontal="center" vertical="center"/>
    </xf>
    <xf numFmtId="180" fontId="14" fillId="8" borderId="25" xfId="0" applyNumberFormat="1" applyFont="1" applyFill="1" applyBorder="1" applyAlignment="1">
      <alignment vertical="center"/>
    </xf>
    <xf numFmtId="0" fontId="15" fillId="0" borderId="29" xfId="0" applyFont="1" applyBorder="1" applyAlignment="1">
      <alignment horizontal="center" vertical="center"/>
    </xf>
    <xf numFmtId="179" fontId="7" fillId="9" borderId="25" xfId="0" applyNumberFormat="1" applyFont="1" applyFill="1" applyBorder="1" applyAlignment="1">
      <alignment horizontal="center" vertical="center"/>
    </xf>
    <xf numFmtId="179" fontId="13" fillId="9" borderId="25" xfId="0" applyNumberFormat="1" applyFont="1" applyFill="1" applyBorder="1" applyAlignment="1">
      <alignment horizontal="center" vertical="center"/>
    </xf>
    <xf numFmtId="180" fontId="7" fillId="9" borderId="25" xfId="0" applyNumberFormat="1" applyFont="1" applyFill="1" applyBorder="1" applyAlignment="1">
      <alignment vertical="center"/>
    </xf>
    <xf numFmtId="181" fontId="14" fillId="9" borderId="25" xfId="0" applyNumberFormat="1" applyFont="1" applyFill="1" applyBorder="1" applyAlignment="1">
      <alignment horizontal="center" vertical="center"/>
    </xf>
    <xf numFmtId="181" fontId="7" fillId="9" borderId="25" xfId="0" applyNumberFormat="1" applyFont="1" applyFill="1" applyBorder="1" applyAlignment="1">
      <alignment horizontal="center" vertical="center"/>
    </xf>
    <xf numFmtId="180" fontId="14" fillId="9" borderId="25" xfId="0" applyNumberFormat="1" applyFont="1" applyFill="1" applyBorder="1" applyAlignment="1">
      <alignment vertical="center"/>
    </xf>
    <xf numFmtId="179" fontId="7" fillId="0" borderId="25" xfId="0" applyNumberFormat="1" applyFont="1" applyBorder="1" applyAlignment="1">
      <alignment horizontal="center" vertical="center"/>
    </xf>
    <xf numFmtId="179" fontId="13" fillId="0" borderId="25" xfId="0" quotePrefix="1" applyNumberFormat="1" applyFont="1" applyBorder="1" applyAlignment="1">
      <alignment horizontal="center" vertical="center"/>
    </xf>
    <xf numFmtId="180" fontId="7" fillId="0" borderId="25" xfId="0" applyNumberFormat="1" applyFont="1" applyBorder="1" applyAlignment="1">
      <alignment vertical="center"/>
    </xf>
    <xf numFmtId="179" fontId="13" fillId="0" borderId="25" xfId="0" applyNumberFormat="1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79" fontId="7" fillId="0" borderId="33" xfId="0" applyNumberFormat="1" applyFont="1" applyBorder="1" applyAlignment="1">
      <alignment vertical="center"/>
    </xf>
    <xf numFmtId="179" fontId="16" fillId="0" borderId="34" xfId="0" applyNumberFormat="1" applyFont="1" applyBorder="1" applyAlignment="1">
      <alignment vertical="center"/>
    </xf>
    <xf numFmtId="179" fontId="17" fillId="0" borderId="34" xfId="0" applyNumberFormat="1" applyFont="1" applyBorder="1" applyAlignment="1">
      <alignment vertical="center"/>
    </xf>
    <xf numFmtId="180" fontId="7" fillId="10" borderId="25" xfId="0" applyNumberFormat="1" applyFont="1" applyFill="1" applyBorder="1" applyAlignment="1">
      <alignment horizontal="center" vertical="center"/>
    </xf>
    <xf numFmtId="180" fontId="7" fillId="10" borderId="25" xfId="0" applyNumberFormat="1" applyFont="1" applyFill="1" applyBorder="1" applyAlignment="1">
      <alignment horizontal="right" vertical="center"/>
    </xf>
    <xf numFmtId="180" fontId="11" fillId="7" borderId="25" xfId="0" applyNumberFormat="1" applyFont="1" applyFill="1" applyBorder="1" applyAlignment="1">
      <alignment vertical="center"/>
    </xf>
    <xf numFmtId="181" fontId="11" fillId="7" borderId="25" xfId="0" applyNumberFormat="1" applyFont="1" applyFill="1" applyBorder="1" applyAlignment="1">
      <alignment horizontal="center" vertical="center"/>
    </xf>
    <xf numFmtId="181" fontId="11" fillId="7" borderId="2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6" xfId="0" applyFont="1" applyBorder="1" applyAlignment="1">
      <alignment vertical="center"/>
    </xf>
    <xf numFmtId="179" fontId="11" fillId="11" borderId="35" xfId="0" applyNumberFormat="1" applyFont="1" applyFill="1" applyBorder="1" applyAlignment="1">
      <alignment horizontal="center" vertical="center" wrapText="1"/>
    </xf>
    <xf numFmtId="179" fontId="11" fillId="11" borderId="35" xfId="0" applyNumberFormat="1" applyFont="1" applyFill="1" applyBorder="1" applyAlignment="1">
      <alignment vertical="center" wrapText="1"/>
    </xf>
    <xf numFmtId="0" fontId="16" fillId="11" borderId="35" xfId="0" applyFont="1" applyFill="1" applyBorder="1" applyAlignment="1">
      <alignment vertical="center"/>
    </xf>
    <xf numFmtId="0" fontId="17" fillId="11" borderId="35" xfId="0" applyFont="1" applyFill="1" applyBorder="1" applyAlignment="1">
      <alignment vertical="center"/>
    </xf>
    <xf numFmtId="180" fontId="16" fillId="11" borderId="35" xfId="0" applyNumberFormat="1" applyFont="1" applyFill="1" applyBorder="1" applyAlignment="1">
      <alignment vertical="center"/>
    </xf>
    <xf numFmtId="0" fontId="16" fillId="7" borderId="35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179" fontId="11" fillId="0" borderId="25" xfId="0" applyNumberFormat="1" applyFont="1" applyBorder="1" applyAlignment="1">
      <alignment vertical="center" wrapText="1"/>
    </xf>
    <xf numFmtId="179" fontId="13" fillId="9" borderId="25" xfId="0" quotePrefix="1" applyNumberFormat="1" applyFont="1" applyFill="1" applyBorder="1" applyAlignment="1">
      <alignment horizontal="center" vertical="center"/>
    </xf>
    <xf numFmtId="181" fontId="14" fillId="0" borderId="25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vertical="center"/>
    </xf>
    <xf numFmtId="0" fontId="17" fillId="0" borderId="34" xfId="0" applyFont="1" applyBorder="1" applyAlignment="1">
      <alignment vertical="center"/>
    </xf>
    <xf numFmtId="179" fontId="11" fillId="7" borderId="39" xfId="0" applyNumberFormat="1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right" vertical="center"/>
    </xf>
    <xf numFmtId="182" fontId="10" fillId="7" borderId="25" xfId="0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right" vertical="center"/>
    </xf>
    <xf numFmtId="0" fontId="7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5" fillId="12" borderId="4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181" fontId="11" fillId="0" borderId="40" xfId="0" applyNumberFormat="1" applyFont="1" applyBorder="1" applyAlignment="1">
      <alignment vertical="center"/>
    </xf>
    <xf numFmtId="0" fontId="11" fillId="0" borderId="40" xfId="0" applyFont="1" applyBorder="1" applyAlignment="1">
      <alignment horizontal="center" vertical="center"/>
    </xf>
    <xf numFmtId="181" fontId="11" fillId="0" borderId="40" xfId="0" applyNumberFormat="1" applyFont="1" applyBorder="1" applyAlignment="1">
      <alignment horizontal="right" vertical="center"/>
    </xf>
    <xf numFmtId="0" fontId="20" fillId="14" borderId="24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/>
    </xf>
    <xf numFmtId="0" fontId="20" fillId="14" borderId="25" xfId="0" applyFont="1" applyFill="1" applyBorder="1" applyAlignment="1">
      <alignment horizontal="center" vertical="center" wrapText="1"/>
    </xf>
    <xf numFmtId="0" fontId="20" fillId="14" borderId="26" xfId="0" applyFont="1" applyFill="1" applyBorder="1" applyAlignment="1">
      <alignment horizontal="center" vertical="center"/>
    </xf>
    <xf numFmtId="179" fontId="7" fillId="8" borderId="25" xfId="0" quotePrefix="1" applyNumberFormat="1" applyFont="1" applyFill="1" applyBorder="1" applyAlignment="1">
      <alignment horizontal="center" vertical="center"/>
    </xf>
    <xf numFmtId="179" fontId="7" fillId="0" borderId="25" xfId="0" quotePrefix="1" applyNumberFormat="1" applyFont="1" applyBorder="1" applyAlignment="1">
      <alignment horizontal="center" vertical="center"/>
    </xf>
    <xf numFmtId="180" fontId="7" fillId="10" borderId="25" xfId="0" applyNumberFormat="1" applyFont="1" applyFill="1" applyBorder="1" applyAlignment="1">
      <alignment horizontal="left" vertical="center"/>
    </xf>
    <xf numFmtId="179" fontId="7" fillId="9" borderId="25" xfId="0" quotePrefix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83" fontId="1" fillId="0" borderId="0" xfId="0" applyNumberFormat="1" applyFont="1" applyAlignment="1">
      <alignment horizontal="left" vertical="center"/>
    </xf>
    <xf numFmtId="0" fontId="20" fillId="12" borderId="40" xfId="0" applyFont="1" applyFill="1" applyBorder="1" applyAlignment="1">
      <alignment vertical="center"/>
    </xf>
    <xf numFmtId="0" fontId="7" fillId="0" borderId="40" xfId="0" applyFont="1" applyBorder="1" applyAlignment="1">
      <alignment vertical="center"/>
    </xf>
    <xf numFmtId="181" fontId="7" fillId="18" borderId="25" xfId="0" applyNumberFormat="1" applyFont="1" applyFill="1" applyBorder="1" applyAlignment="1">
      <alignment horizontal="center" vertical="center"/>
    </xf>
    <xf numFmtId="181" fontId="7" fillId="21" borderId="25" xfId="0" applyNumberFormat="1" applyFont="1" applyFill="1" applyBorder="1" applyAlignment="1">
      <alignment horizontal="center" vertical="center"/>
    </xf>
    <xf numFmtId="181" fontId="7" fillId="22" borderId="25" xfId="0" applyNumberFormat="1" applyFont="1" applyFill="1" applyBorder="1" applyAlignment="1">
      <alignment horizontal="center" vertical="center"/>
    </xf>
    <xf numFmtId="181" fontId="14" fillId="21" borderId="25" xfId="0" applyNumberFormat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vertical="center"/>
    </xf>
    <xf numFmtId="183" fontId="21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" fillId="23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right" vertical="center"/>
    </xf>
    <xf numFmtId="181" fontId="14" fillId="7" borderId="26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79" fontId="29" fillId="8" borderId="25" xfId="0" applyNumberFormat="1" applyFont="1" applyFill="1" applyBorder="1" applyAlignment="1">
      <alignment horizontal="center" vertical="center"/>
    </xf>
    <xf numFmtId="179" fontId="29" fillId="8" borderId="25" xfId="0" quotePrefix="1" applyNumberFormat="1" applyFont="1" applyFill="1" applyBorder="1" applyAlignment="1">
      <alignment horizontal="center" vertical="center"/>
    </xf>
    <xf numFmtId="179" fontId="14" fillId="9" borderId="25" xfId="0" applyNumberFormat="1" applyFont="1" applyFill="1" applyBorder="1" applyAlignment="1">
      <alignment horizontal="center" vertical="center"/>
    </xf>
    <xf numFmtId="179" fontId="29" fillId="9" borderId="25" xfId="0" applyNumberFormat="1" applyFont="1" applyFill="1" applyBorder="1" applyAlignment="1">
      <alignment horizontal="center" vertical="center"/>
    </xf>
    <xf numFmtId="0" fontId="30" fillId="19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19" borderId="0" xfId="0" applyFont="1" applyFill="1" applyAlignment="1">
      <alignment horizontal="center" vertical="center"/>
    </xf>
    <xf numFmtId="179" fontId="14" fillId="0" borderId="25" xfId="0" applyNumberFormat="1" applyFont="1" applyBorder="1" applyAlignment="1">
      <alignment horizontal="center" vertical="center"/>
    </xf>
    <xf numFmtId="179" fontId="29" fillId="0" borderId="25" xfId="0" applyNumberFormat="1" applyFont="1" applyBorder="1" applyAlignment="1">
      <alignment horizontal="center" vertical="center"/>
    </xf>
    <xf numFmtId="181" fontId="14" fillId="19" borderId="25" xfId="0" applyNumberFormat="1" applyFont="1" applyFill="1" applyBorder="1" applyAlignment="1">
      <alignment horizontal="center" vertical="center"/>
    </xf>
    <xf numFmtId="181" fontId="14" fillId="18" borderId="25" xfId="0" applyNumberFormat="1" applyFont="1" applyFill="1" applyBorder="1" applyAlignment="1">
      <alignment horizontal="center" vertical="center"/>
    </xf>
    <xf numFmtId="181" fontId="14" fillId="22" borderId="2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83" fontId="31" fillId="0" borderId="0" xfId="0" applyNumberFormat="1" applyFont="1" applyAlignment="1">
      <alignment horizontal="left" vertical="center"/>
    </xf>
    <xf numFmtId="0" fontId="1" fillId="23" borderId="1" xfId="0" applyFont="1" applyFill="1" applyBorder="1" applyAlignment="1">
      <alignment horizontal="right" vertical="center"/>
    </xf>
    <xf numFmtId="0" fontId="1" fillId="27" borderId="1" xfId="0" applyFont="1" applyFill="1" applyBorder="1" applyAlignment="1">
      <alignment vertical="center"/>
    </xf>
    <xf numFmtId="0" fontId="23" fillId="27" borderId="1" xfId="0" applyFont="1" applyFill="1" applyBorder="1" applyAlignment="1">
      <alignment vertical="center"/>
    </xf>
    <xf numFmtId="0" fontId="0" fillId="21" borderId="0" xfId="0" applyFill="1" applyAlignment="1">
      <alignment vertical="center"/>
    </xf>
    <xf numFmtId="0" fontId="7" fillId="21" borderId="0" xfId="0" applyFont="1" applyFill="1" applyAlignment="1">
      <alignment horizontal="center" vertical="center"/>
    </xf>
    <xf numFmtId="0" fontId="4" fillId="21" borderId="0" xfId="0" applyFont="1" applyFill="1" applyAlignment="1">
      <alignment vertical="center"/>
    </xf>
    <xf numFmtId="0" fontId="5" fillId="28" borderId="40" xfId="0" applyFont="1" applyFill="1" applyBorder="1" applyAlignment="1">
      <alignment horizontal="center" vertical="center"/>
    </xf>
    <xf numFmtId="0" fontId="5" fillId="28" borderId="41" xfId="0" applyFont="1" applyFill="1" applyBorder="1" applyAlignment="1">
      <alignment horizontal="center" vertical="center"/>
    </xf>
    <xf numFmtId="181" fontId="32" fillId="0" borderId="40" xfId="0" applyNumberFormat="1" applyFont="1" applyBorder="1" applyAlignment="1">
      <alignment vertical="center"/>
    </xf>
    <xf numFmtId="0" fontId="1" fillId="31" borderId="1" xfId="0" applyFont="1" applyFill="1" applyBorder="1" applyAlignment="1">
      <alignment vertical="center"/>
    </xf>
    <xf numFmtId="0" fontId="7" fillId="20" borderId="0" xfId="0" applyFont="1" applyFill="1" applyAlignment="1">
      <alignment vertical="center"/>
    </xf>
    <xf numFmtId="0" fontId="7" fillId="20" borderId="0" xfId="0" applyFont="1" applyFill="1" applyAlignment="1">
      <alignment horizontal="center" vertical="center"/>
    </xf>
    <xf numFmtId="0" fontId="33" fillId="31" borderId="1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6" fillId="0" borderId="3" xfId="0" applyFont="1" applyBorder="1" applyAlignment="1">
      <alignment vertical="center"/>
    </xf>
    <xf numFmtId="0" fontId="36" fillId="0" borderId="5" xfId="0" applyFont="1" applyBorder="1" applyAlignment="1">
      <alignment vertical="center"/>
    </xf>
    <xf numFmtId="0" fontId="36" fillId="0" borderId="5" xfId="0" applyFont="1" applyBorder="1" applyAlignment="1">
      <alignment horizontal="center" vertical="center"/>
    </xf>
    <xf numFmtId="0" fontId="36" fillId="0" borderId="4" xfId="0" applyFont="1" applyBorder="1" applyAlignment="1">
      <alignment vertical="center"/>
    </xf>
    <xf numFmtId="0" fontId="36" fillId="0" borderId="6" xfId="0" applyFont="1" applyBorder="1" applyAlignment="1">
      <alignment vertical="center"/>
    </xf>
    <xf numFmtId="0" fontId="36" fillId="0" borderId="7" xfId="0" applyFont="1" applyBorder="1" applyAlignment="1">
      <alignment vertical="center"/>
    </xf>
    <xf numFmtId="0" fontId="37" fillId="0" borderId="5" xfId="0" applyFont="1" applyBorder="1" applyAlignment="1">
      <alignment vertical="center"/>
    </xf>
    <xf numFmtId="0" fontId="37" fillId="0" borderId="5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37" fillId="0" borderId="23" xfId="0" applyFont="1" applyBorder="1" applyAlignment="1">
      <alignment vertical="center"/>
    </xf>
    <xf numFmtId="0" fontId="36" fillId="0" borderId="23" xfId="0" applyFont="1" applyBorder="1" applyAlignment="1">
      <alignment horizontal="center" vertical="center"/>
    </xf>
    <xf numFmtId="0" fontId="37" fillId="0" borderId="68" xfId="0" quotePrefix="1" applyFont="1" applyBorder="1" applyAlignment="1">
      <alignment vertical="center"/>
    </xf>
    <xf numFmtId="185" fontId="37" fillId="32" borderId="69" xfId="0" applyNumberFormat="1" applyFont="1" applyFill="1" applyBorder="1" applyAlignment="1">
      <alignment vertical="center"/>
    </xf>
    <xf numFmtId="0" fontId="37" fillId="0" borderId="70" xfId="0" applyFont="1" applyBorder="1" applyAlignment="1">
      <alignment vertical="center"/>
    </xf>
    <xf numFmtId="0" fontId="42" fillId="14" borderId="24" xfId="0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center" vertical="center"/>
    </xf>
    <xf numFmtId="0" fontId="42" fillId="14" borderId="25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40" fillId="0" borderId="18" xfId="1" applyFont="1" applyAlignment="1">
      <alignment vertical="center"/>
    </xf>
    <xf numFmtId="0" fontId="37" fillId="0" borderId="18" xfId="1" applyFont="1" applyAlignment="1">
      <alignment vertical="center"/>
    </xf>
    <xf numFmtId="179" fontId="43" fillId="0" borderId="38" xfId="0" applyNumberFormat="1" applyFont="1" applyBorder="1" applyAlignment="1">
      <alignment horizontal="center" vertical="center" wrapText="1"/>
    </xf>
    <xf numFmtId="179" fontId="44" fillId="0" borderId="28" xfId="0" applyNumberFormat="1" applyFont="1" applyBorder="1" applyAlignment="1">
      <alignment vertical="center" wrapText="1"/>
    </xf>
    <xf numFmtId="179" fontId="45" fillId="8" borderId="25" xfId="0" applyNumberFormat="1" applyFont="1" applyFill="1" applyBorder="1" applyAlignment="1">
      <alignment horizontal="center" vertical="center"/>
    </xf>
    <xf numFmtId="179" fontId="46" fillId="8" borderId="25" xfId="0" applyNumberFormat="1" applyFont="1" applyFill="1" applyBorder="1" applyAlignment="1">
      <alignment horizontal="center" vertical="center"/>
    </xf>
    <xf numFmtId="179" fontId="47" fillId="8" borderId="25" xfId="0" applyNumberFormat="1" applyFont="1" applyFill="1" applyBorder="1" applyAlignment="1">
      <alignment horizontal="center" vertical="center"/>
    </xf>
    <xf numFmtId="180" fontId="36" fillId="8" borderId="25" xfId="0" applyNumberFormat="1" applyFont="1" applyFill="1" applyBorder="1" applyAlignment="1">
      <alignment vertical="center"/>
    </xf>
    <xf numFmtId="180" fontId="45" fillId="8" borderId="25" xfId="0" applyNumberFormat="1" applyFont="1" applyFill="1" applyBorder="1" applyAlignment="1">
      <alignment vertical="center"/>
    </xf>
    <xf numFmtId="181" fontId="36" fillId="8" borderId="25" xfId="0" applyNumberFormat="1" applyFont="1" applyFill="1" applyBorder="1" applyAlignment="1">
      <alignment horizontal="center" vertical="center"/>
    </xf>
    <xf numFmtId="181" fontId="36" fillId="25" borderId="25" xfId="0" applyNumberFormat="1" applyFont="1" applyFill="1" applyBorder="1" applyAlignment="1">
      <alignment horizontal="center" vertical="center"/>
    </xf>
    <xf numFmtId="181" fontId="36" fillId="24" borderId="25" xfId="0" applyNumberFormat="1" applyFont="1" applyFill="1" applyBorder="1" applyAlignment="1">
      <alignment horizontal="center" vertical="center"/>
    </xf>
    <xf numFmtId="181" fontId="45" fillId="7" borderId="26" xfId="0" applyNumberFormat="1" applyFont="1" applyFill="1" applyBorder="1" applyAlignment="1">
      <alignment horizontal="center" vertical="center"/>
    </xf>
    <xf numFmtId="184" fontId="36" fillId="0" borderId="71" xfId="0" applyNumberFormat="1" applyFont="1" applyBorder="1" applyAlignment="1">
      <alignment horizontal="right" vertical="center"/>
    </xf>
    <xf numFmtId="184" fontId="36" fillId="26" borderId="72" xfId="0" applyNumberFormat="1" applyFont="1" applyFill="1" applyBorder="1" applyAlignment="1">
      <alignment horizontal="right" vertical="center"/>
    </xf>
    <xf numFmtId="0" fontId="39" fillId="0" borderId="70" xfId="0" applyFont="1" applyBorder="1" applyAlignment="1">
      <alignment vertical="center"/>
    </xf>
    <xf numFmtId="0" fontId="37" fillId="15" borderId="50" xfId="1" applyFont="1" applyFill="1" applyBorder="1" applyAlignment="1">
      <alignment vertical="center"/>
    </xf>
    <xf numFmtId="179" fontId="44" fillId="0" borderId="31" xfId="0" applyNumberFormat="1" applyFont="1" applyBorder="1" applyAlignment="1">
      <alignment vertical="center" wrapText="1"/>
    </xf>
    <xf numFmtId="181" fontId="36" fillId="7" borderId="26" xfId="0" applyNumberFormat="1" applyFont="1" applyFill="1" applyBorder="1" applyAlignment="1">
      <alignment horizontal="center" vertical="center"/>
    </xf>
    <xf numFmtId="184" fontId="36" fillId="0" borderId="68" xfId="0" applyNumberFormat="1" applyFont="1" applyBorder="1" applyAlignment="1">
      <alignment horizontal="right" vertical="center"/>
    </xf>
    <xf numFmtId="184" fontId="36" fillId="0" borderId="69" xfId="0" applyNumberFormat="1" applyFont="1" applyBorder="1" applyAlignment="1">
      <alignment horizontal="right" vertical="center"/>
    </xf>
    <xf numFmtId="179" fontId="47" fillId="8" borderId="25" xfId="0" quotePrefix="1" applyNumberFormat="1" applyFont="1" applyFill="1" applyBorder="1" applyAlignment="1">
      <alignment horizontal="center" vertical="center"/>
    </xf>
    <xf numFmtId="181" fontId="45" fillId="25" borderId="25" xfId="0" applyNumberFormat="1" applyFont="1" applyFill="1" applyBorder="1" applyAlignment="1">
      <alignment horizontal="center" vertical="center"/>
    </xf>
    <xf numFmtId="181" fontId="45" fillId="24" borderId="25" xfId="0" applyNumberFormat="1" applyFont="1" applyFill="1" applyBorder="1" applyAlignment="1">
      <alignment horizontal="center" vertical="center"/>
    </xf>
    <xf numFmtId="181" fontId="45" fillId="8" borderId="25" xfId="0" applyNumberFormat="1" applyFont="1" applyFill="1" applyBorder="1" applyAlignment="1">
      <alignment horizontal="center" vertical="center"/>
    </xf>
    <xf numFmtId="184" fontId="36" fillId="26" borderId="69" xfId="0" applyNumberFormat="1" applyFont="1" applyFill="1" applyBorder="1" applyAlignment="1">
      <alignment horizontal="right" vertical="center"/>
    </xf>
    <xf numFmtId="0" fontId="39" fillId="32" borderId="70" xfId="0" applyFont="1" applyFill="1" applyBorder="1" applyAlignment="1">
      <alignment vertical="center"/>
    </xf>
    <xf numFmtId="179" fontId="43" fillId="0" borderId="29" xfId="0" applyNumberFormat="1" applyFont="1" applyBorder="1" applyAlignment="1">
      <alignment vertical="center" wrapText="1"/>
    </xf>
    <xf numFmtId="179" fontId="42" fillId="0" borderId="31" xfId="0" applyNumberFormat="1" applyFont="1" applyBorder="1" applyAlignment="1">
      <alignment vertical="center" wrapText="1"/>
    </xf>
    <xf numFmtId="181" fontId="45" fillId="19" borderId="25" xfId="0" applyNumberFormat="1" applyFont="1" applyFill="1" applyBorder="1" applyAlignment="1">
      <alignment horizontal="center" vertical="center"/>
    </xf>
    <xf numFmtId="184" fontId="48" fillId="0" borderId="68" xfId="0" applyNumberFormat="1" applyFont="1" applyBorder="1" applyAlignment="1">
      <alignment horizontal="right" vertical="center"/>
    </xf>
    <xf numFmtId="179" fontId="43" fillId="0" borderId="30" xfId="0" applyNumberFormat="1" applyFont="1" applyBorder="1" applyAlignment="1">
      <alignment vertical="center" wrapText="1"/>
    </xf>
    <xf numFmtId="179" fontId="42" fillId="0" borderId="30" xfId="0" applyNumberFormat="1" applyFont="1" applyBorder="1" applyAlignment="1">
      <alignment vertical="center" wrapText="1"/>
    </xf>
    <xf numFmtId="184" fontId="36" fillId="32" borderId="69" xfId="0" applyNumberFormat="1" applyFont="1" applyFill="1" applyBorder="1" applyAlignment="1">
      <alignment horizontal="right" vertical="center"/>
    </xf>
    <xf numFmtId="0" fontId="49" fillId="0" borderId="70" xfId="0" applyFont="1" applyBorder="1" applyAlignment="1">
      <alignment vertical="center"/>
    </xf>
    <xf numFmtId="0" fontId="50" fillId="0" borderId="29" xfId="0" applyFont="1" applyBorder="1" applyAlignment="1">
      <alignment horizontal="center" vertical="center"/>
    </xf>
    <xf numFmtId="180" fontId="46" fillId="8" borderId="25" xfId="0" applyNumberFormat="1" applyFont="1" applyFill="1" applyBorder="1" applyAlignment="1">
      <alignment vertical="center"/>
    </xf>
    <xf numFmtId="0" fontId="51" fillId="0" borderId="70" xfId="0" applyFont="1" applyBorder="1" applyAlignment="1">
      <alignment vertical="center"/>
    </xf>
    <xf numFmtId="181" fontId="46" fillId="7" borderId="26" xfId="0" applyNumberFormat="1" applyFont="1" applyFill="1" applyBorder="1" applyAlignment="1">
      <alignment horizontal="center" vertical="center"/>
    </xf>
    <xf numFmtId="0" fontId="37" fillId="15" borderId="18" xfId="1" applyFont="1" applyFill="1" applyAlignment="1">
      <alignment horizontal="center" vertical="center"/>
    </xf>
    <xf numFmtId="179" fontId="46" fillId="9" borderId="25" xfId="0" applyNumberFormat="1" applyFont="1" applyFill="1" applyBorder="1" applyAlignment="1">
      <alignment horizontal="center" vertical="center"/>
    </xf>
    <xf numFmtId="179" fontId="47" fillId="9" borderId="25" xfId="0" applyNumberFormat="1" applyFont="1" applyFill="1" applyBorder="1" applyAlignment="1">
      <alignment horizontal="center" vertical="center"/>
    </xf>
    <xf numFmtId="180" fontId="46" fillId="9" borderId="25" xfId="0" applyNumberFormat="1" applyFont="1" applyFill="1" applyBorder="1" applyAlignment="1">
      <alignment vertical="center"/>
    </xf>
    <xf numFmtId="180" fontId="45" fillId="9" borderId="25" xfId="0" applyNumberFormat="1" applyFont="1" applyFill="1" applyBorder="1" applyAlignment="1">
      <alignment vertical="center"/>
    </xf>
    <xf numFmtId="180" fontId="36" fillId="9" borderId="25" xfId="0" applyNumberFormat="1" applyFont="1" applyFill="1" applyBorder="1" applyAlignment="1">
      <alignment vertical="center"/>
    </xf>
    <xf numFmtId="181" fontId="36" fillId="9" borderId="25" xfId="0" applyNumberFormat="1" applyFont="1" applyFill="1" applyBorder="1" applyAlignment="1">
      <alignment horizontal="center" vertical="center"/>
    </xf>
    <xf numFmtId="181" fontId="36" fillId="34" borderId="25" xfId="0" applyNumberFormat="1" applyFont="1" applyFill="1" applyBorder="1" applyAlignment="1">
      <alignment horizontal="center" vertical="center"/>
    </xf>
    <xf numFmtId="0" fontId="37" fillId="32" borderId="50" xfId="1" applyFont="1" applyFill="1" applyBorder="1" applyAlignment="1">
      <alignment horizontal="center" vertical="center"/>
    </xf>
    <xf numFmtId="181" fontId="45" fillId="34" borderId="25" xfId="0" applyNumberFormat="1" applyFont="1" applyFill="1" applyBorder="1" applyAlignment="1">
      <alignment horizontal="center" vertical="center"/>
    </xf>
    <xf numFmtId="0" fontId="37" fillId="15" borderId="18" xfId="1" applyFont="1" applyFill="1" applyAlignment="1">
      <alignment vertical="center"/>
    </xf>
    <xf numFmtId="179" fontId="46" fillId="0" borderId="25" xfId="0" applyNumberFormat="1" applyFont="1" applyBorder="1" applyAlignment="1">
      <alignment horizontal="center" vertical="center"/>
    </xf>
    <xf numFmtId="179" fontId="47" fillId="0" borderId="25" xfId="0" applyNumberFormat="1" applyFont="1" applyBorder="1" applyAlignment="1">
      <alignment horizontal="center" vertical="center"/>
    </xf>
    <xf numFmtId="180" fontId="46" fillId="0" borderId="25" xfId="0" applyNumberFormat="1" applyFont="1" applyBorder="1" applyAlignment="1">
      <alignment vertical="center"/>
    </xf>
    <xf numFmtId="180" fontId="45" fillId="0" borderId="25" xfId="0" applyNumberFormat="1" applyFont="1" applyBorder="1" applyAlignment="1">
      <alignment vertical="center"/>
    </xf>
    <xf numFmtId="180" fontId="36" fillId="0" borderId="25" xfId="0" applyNumberFormat="1" applyFont="1" applyBorder="1" applyAlignment="1">
      <alignment vertical="center"/>
    </xf>
    <xf numFmtId="181" fontId="36" fillId="0" borderId="25" xfId="0" applyNumberFormat="1" applyFont="1" applyBorder="1" applyAlignment="1">
      <alignment horizontal="center" vertical="center"/>
    </xf>
    <xf numFmtId="181" fontId="36" fillId="33" borderId="25" xfId="0" applyNumberFormat="1" applyFont="1" applyFill="1" applyBorder="1" applyAlignment="1">
      <alignment horizontal="center" vertical="center"/>
    </xf>
    <xf numFmtId="179" fontId="47" fillId="0" borderId="25" xfId="0" quotePrefix="1" applyNumberFormat="1" applyFont="1" applyBorder="1" applyAlignment="1">
      <alignment horizontal="center" vertical="center"/>
    </xf>
    <xf numFmtId="181" fontId="45" fillId="33" borderId="25" xfId="0" applyNumberFormat="1" applyFont="1" applyFill="1" applyBorder="1" applyAlignment="1">
      <alignment horizontal="center" vertical="center"/>
    </xf>
    <xf numFmtId="184" fontId="36" fillId="0" borderId="73" xfId="0" applyNumberFormat="1" applyFont="1" applyBorder="1" applyAlignment="1">
      <alignment horizontal="right" vertical="center"/>
    </xf>
    <xf numFmtId="184" fontId="36" fillId="32" borderId="74" xfId="0" applyNumberFormat="1" applyFont="1" applyFill="1" applyBorder="1" applyAlignment="1">
      <alignment horizontal="right" vertical="center"/>
    </xf>
    <xf numFmtId="0" fontId="49" fillId="32" borderId="70" xfId="0" applyFont="1" applyFill="1" applyBorder="1" applyAlignment="1">
      <alignment vertical="center"/>
    </xf>
    <xf numFmtId="0" fontId="50" fillId="0" borderId="32" xfId="0" applyFont="1" applyBorder="1" applyAlignment="1">
      <alignment horizontal="center" vertical="center"/>
    </xf>
    <xf numFmtId="180" fontId="36" fillId="10" borderId="25" xfId="0" applyNumberFormat="1" applyFont="1" applyFill="1" applyBorder="1" applyAlignment="1">
      <alignment horizontal="left" vertical="center"/>
    </xf>
    <xf numFmtId="180" fontId="36" fillId="10" borderId="25" xfId="0" applyNumberFormat="1" applyFont="1" applyFill="1" applyBorder="1" applyAlignment="1">
      <alignment horizontal="right" vertical="center"/>
    </xf>
    <xf numFmtId="180" fontId="43" fillId="7" borderId="25" xfId="0" applyNumberFormat="1" applyFont="1" applyFill="1" applyBorder="1" applyAlignment="1">
      <alignment vertical="center"/>
    </xf>
    <xf numFmtId="181" fontId="43" fillId="7" borderId="25" xfId="0" applyNumberFormat="1" applyFont="1" applyFill="1" applyBorder="1" applyAlignment="1">
      <alignment horizontal="center" vertical="center"/>
    </xf>
    <xf numFmtId="181" fontId="43" fillId="40" borderId="26" xfId="0" applyNumberFormat="1" applyFont="1" applyFill="1" applyBorder="1" applyAlignment="1">
      <alignment horizontal="center" vertical="center"/>
    </xf>
    <xf numFmtId="184" fontId="43" fillId="32" borderId="68" xfId="0" applyNumberFormat="1" applyFont="1" applyFill="1" applyBorder="1" applyAlignment="1">
      <alignment horizontal="right" vertical="center"/>
    </xf>
    <xf numFmtId="184" fontId="43" fillId="39" borderId="69" xfId="0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0" fontId="43" fillId="0" borderId="6" xfId="0" applyFont="1" applyBorder="1" applyAlignment="1">
      <alignment vertical="center"/>
    </xf>
    <xf numFmtId="179" fontId="43" fillId="11" borderId="35" xfId="0" applyNumberFormat="1" applyFont="1" applyFill="1" applyBorder="1" applyAlignment="1">
      <alignment horizontal="center" vertical="center" wrapText="1"/>
    </xf>
    <xf numFmtId="179" fontId="43" fillId="11" borderId="35" xfId="0" applyNumberFormat="1" applyFont="1" applyFill="1" applyBorder="1" applyAlignment="1">
      <alignment vertical="center" wrapText="1"/>
    </xf>
    <xf numFmtId="0" fontId="37" fillId="11" borderId="35" xfId="0" applyFont="1" applyFill="1" applyBorder="1" applyAlignment="1">
      <alignment vertical="center"/>
    </xf>
    <xf numFmtId="180" fontId="37" fillId="11" borderId="35" xfId="0" applyNumberFormat="1" applyFont="1" applyFill="1" applyBorder="1" applyAlignment="1">
      <alignment vertical="center"/>
    </xf>
    <xf numFmtId="0" fontId="43" fillId="0" borderId="7" xfId="0" applyFont="1" applyBorder="1" applyAlignment="1">
      <alignment vertical="center"/>
    </xf>
    <xf numFmtId="0" fontId="37" fillId="0" borderId="68" xfId="0" applyFont="1" applyBorder="1" applyAlignment="1">
      <alignment vertical="center"/>
    </xf>
    <xf numFmtId="0" fontId="37" fillId="0" borderId="69" xfId="0" applyFont="1" applyBorder="1" applyAlignment="1">
      <alignment vertical="center"/>
    </xf>
    <xf numFmtId="179" fontId="43" fillId="0" borderId="27" xfId="0" applyNumberFormat="1" applyFont="1" applyBorder="1" applyAlignment="1">
      <alignment horizontal="center" vertical="center" wrapText="1"/>
    </xf>
    <xf numFmtId="179" fontId="43" fillId="0" borderId="25" xfId="0" applyNumberFormat="1" applyFont="1" applyBorder="1" applyAlignment="1">
      <alignment vertical="center" wrapText="1"/>
    </xf>
    <xf numFmtId="179" fontId="36" fillId="9" borderId="25" xfId="0" applyNumberFormat="1" applyFont="1" applyFill="1" applyBorder="1" applyAlignment="1">
      <alignment horizontal="center" vertical="center"/>
    </xf>
    <xf numFmtId="179" fontId="36" fillId="9" borderId="25" xfId="0" quotePrefix="1" applyNumberFormat="1" applyFont="1" applyFill="1" applyBorder="1" applyAlignment="1">
      <alignment horizontal="center" vertical="center"/>
    </xf>
    <xf numFmtId="184" fontId="36" fillId="0" borderId="71" xfId="0" applyNumberFormat="1" applyFont="1" applyBorder="1" applyAlignment="1">
      <alignment vertical="center"/>
    </xf>
    <xf numFmtId="184" fontId="36" fillId="0" borderId="72" xfId="0" applyNumberFormat="1" applyFont="1" applyBorder="1" applyAlignment="1">
      <alignment horizontal="right" vertical="center"/>
    </xf>
    <xf numFmtId="0" fontId="43" fillId="0" borderId="29" xfId="0" applyFont="1" applyBorder="1" applyAlignment="1">
      <alignment horizontal="center" vertical="center"/>
    </xf>
    <xf numFmtId="184" fontId="36" fillId="0" borderId="68" xfId="0" applyNumberFormat="1" applyFont="1" applyBorder="1" applyAlignment="1">
      <alignment vertical="center"/>
    </xf>
    <xf numFmtId="181" fontId="45" fillId="16" borderId="25" xfId="0" applyNumberFormat="1" applyFont="1" applyFill="1" applyBorder="1" applyAlignment="1">
      <alignment horizontal="center" vertical="center"/>
    </xf>
    <xf numFmtId="181" fontId="36" fillId="16" borderId="25" xfId="0" applyNumberFormat="1" applyFont="1" applyFill="1" applyBorder="1" applyAlignment="1">
      <alignment horizontal="center" vertical="center"/>
    </xf>
    <xf numFmtId="181" fontId="36" fillId="18" borderId="25" xfId="0" applyNumberFormat="1" applyFont="1" applyFill="1" applyBorder="1" applyAlignment="1">
      <alignment horizontal="center" vertical="center"/>
    </xf>
    <xf numFmtId="181" fontId="36" fillId="22" borderId="25" xfId="0" applyNumberFormat="1" applyFont="1" applyFill="1" applyBorder="1" applyAlignment="1">
      <alignment horizontal="center" vertical="center"/>
    </xf>
    <xf numFmtId="179" fontId="36" fillId="0" borderId="25" xfId="0" applyNumberFormat="1" applyFont="1" applyBorder="1" applyAlignment="1">
      <alignment horizontal="center" vertical="center"/>
    </xf>
    <xf numFmtId="179" fontId="36" fillId="0" borderId="25" xfId="0" quotePrefix="1" applyNumberFormat="1" applyFont="1" applyBorder="1" applyAlignment="1">
      <alignment horizontal="center" vertical="center"/>
    </xf>
    <xf numFmtId="181" fontId="45" fillId="17" borderId="25" xfId="0" applyNumberFormat="1" applyFont="1" applyFill="1" applyBorder="1" applyAlignment="1">
      <alignment horizontal="center" vertical="center"/>
    </xf>
    <xf numFmtId="181" fontId="36" fillId="17" borderId="25" xfId="0" applyNumberFormat="1" applyFont="1" applyFill="1" applyBorder="1" applyAlignment="1">
      <alignment horizontal="center" vertical="center"/>
    </xf>
    <xf numFmtId="181" fontId="36" fillId="19" borderId="25" xfId="0" applyNumberFormat="1" applyFont="1" applyFill="1" applyBorder="1" applyAlignment="1">
      <alignment horizontal="center" vertical="center"/>
    </xf>
    <xf numFmtId="0" fontId="37" fillId="32" borderId="70" xfId="0" applyFont="1" applyFill="1" applyBorder="1" applyAlignment="1">
      <alignment vertical="center"/>
    </xf>
    <xf numFmtId="181" fontId="46" fillId="19" borderId="25" xfId="0" applyNumberFormat="1" applyFont="1" applyFill="1" applyBorder="1" applyAlignment="1">
      <alignment horizontal="center" vertical="center"/>
    </xf>
    <xf numFmtId="181" fontId="46" fillId="0" borderId="25" xfId="0" applyNumberFormat="1" applyFont="1" applyBorder="1" applyAlignment="1">
      <alignment horizontal="center" vertical="center"/>
    </xf>
    <xf numFmtId="184" fontId="48" fillId="0" borderId="68" xfId="0" applyNumberFormat="1" applyFont="1" applyBorder="1" applyAlignment="1">
      <alignment vertical="center"/>
    </xf>
    <xf numFmtId="181" fontId="46" fillId="21" borderId="25" xfId="0" applyNumberFormat="1" applyFont="1" applyFill="1" applyBorder="1" applyAlignment="1">
      <alignment horizontal="center" vertical="center"/>
    </xf>
    <xf numFmtId="179" fontId="36" fillId="17" borderId="25" xfId="0" applyNumberFormat="1" applyFont="1" applyFill="1" applyBorder="1" applyAlignment="1">
      <alignment horizontal="center" vertical="center"/>
    </xf>
    <xf numFmtId="0" fontId="52" fillId="0" borderId="31" xfId="0" applyFont="1" applyBorder="1" applyAlignment="1">
      <alignment vertical="center"/>
    </xf>
    <xf numFmtId="181" fontId="45" fillId="0" borderId="25" xfId="0" applyNumberFormat="1" applyFont="1" applyBorder="1" applyAlignment="1">
      <alignment horizontal="center" vertical="center"/>
    </xf>
    <xf numFmtId="184" fontId="36" fillId="0" borderId="73" xfId="0" applyNumberFormat="1" applyFont="1" applyBorder="1" applyAlignment="1">
      <alignment vertical="center"/>
    </xf>
    <xf numFmtId="184" fontId="36" fillId="0" borderId="74" xfId="0" applyNumberFormat="1" applyFont="1" applyBorder="1" applyAlignment="1">
      <alignment horizontal="right" vertical="center"/>
    </xf>
    <xf numFmtId="181" fontId="37" fillId="0" borderId="0" xfId="0" applyNumberFormat="1" applyFont="1" applyAlignment="1">
      <alignment horizontal="left" vertical="center"/>
    </xf>
    <xf numFmtId="184" fontId="40" fillId="32" borderId="68" xfId="0" applyNumberFormat="1" applyFont="1" applyFill="1" applyBorder="1" applyAlignment="1">
      <alignment vertical="center"/>
    </xf>
    <xf numFmtId="184" fontId="40" fillId="39" borderId="69" xfId="0" applyNumberFormat="1" applyFont="1" applyFill="1" applyBorder="1" applyAlignment="1">
      <alignment vertical="center"/>
    </xf>
    <xf numFmtId="0" fontId="37" fillId="0" borderId="75" xfId="0" applyFont="1" applyBorder="1" applyAlignment="1">
      <alignment vertical="center"/>
    </xf>
    <xf numFmtId="0" fontId="37" fillId="0" borderId="48" xfId="0" applyFont="1" applyBorder="1" applyAlignment="1">
      <alignment vertical="center"/>
    </xf>
    <xf numFmtId="179" fontId="43" fillId="7" borderId="39" xfId="0" applyNumberFormat="1" applyFont="1" applyFill="1" applyBorder="1" applyAlignment="1">
      <alignment horizontal="center" vertical="center"/>
    </xf>
    <xf numFmtId="0" fontId="37" fillId="7" borderId="26" xfId="0" applyFont="1" applyFill="1" applyBorder="1" applyAlignment="1">
      <alignment horizontal="right" vertical="center"/>
    </xf>
    <xf numFmtId="182" fontId="41" fillId="7" borderId="25" xfId="0" applyNumberFormat="1" applyFont="1" applyFill="1" applyBorder="1" applyAlignment="1">
      <alignment vertical="center"/>
    </xf>
    <xf numFmtId="0" fontId="37" fillId="39" borderId="0" xfId="0" applyFont="1" applyFill="1" applyAlignment="1">
      <alignment vertical="center"/>
    </xf>
    <xf numFmtId="0" fontId="36" fillId="0" borderId="8" xfId="0" applyFont="1" applyBorder="1" applyAlignment="1">
      <alignment vertical="center"/>
    </xf>
    <xf numFmtId="0" fontId="36" fillId="0" borderId="10" xfId="0" applyFont="1" applyBorder="1" applyAlignment="1">
      <alignment vertical="center"/>
    </xf>
    <xf numFmtId="0" fontId="36" fillId="0" borderId="10" xfId="0" applyFont="1" applyBorder="1" applyAlignment="1">
      <alignment horizontal="center" vertical="center"/>
    </xf>
    <xf numFmtId="0" fontId="36" fillId="0" borderId="10" xfId="0" applyFont="1" applyBorder="1" applyAlignment="1">
      <alignment horizontal="right" vertical="center"/>
    </xf>
    <xf numFmtId="0" fontId="36" fillId="0" borderId="9" xfId="0" applyFont="1" applyBorder="1" applyAlignment="1">
      <alignment vertical="center"/>
    </xf>
    <xf numFmtId="0" fontId="36" fillId="0" borderId="18" xfId="0" applyFont="1" applyBorder="1" applyAlignment="1">
      <alignment vertical="center"/>
    </xf>
    <xf numFmtId="0" fontId="36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right" vertical="center"/>
    </xf>
    <xf numFmtId="0" fontId="49" fillId="0" borderId="0" xfId="0" applyFont="1" applyAlignment="1">
      <alignment vertical="center"/>
    </xf>
    <xf numFmtId="0" fontId="36" fillId="39" borderId="0" xfId="0" applyFont="1" applyFill="1" applyAlignment="1">
      <alignment vertical="center"/>
    </xf>
    <xf numFmtId="0" fontId="43" fillId="39" borderId="0" xfId="0" applyFont="1" applyFill="1" applyAlignment="1">
      <alignment vertical="center"/>
    </xf>
    <xf numFmtId="0" fontId="53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37" fillId="2" borderId="1" xfId="0" applyFont="1" applyFill="1" applyBorder="1" applyAlignment="1">
      <alignment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36" borderId="42" xfId="0" applyFont="1" applyFill="1" applyBorder="1" applyAlignment="1">
      <alignment vertical="center"/>
    </xf>
    <xf numFmtId="0" fontId="57" fillId="36" borderId="43" xfId="0" applyFont="1" applyFill="1" applyBorder="1" applyAlignment="1">
      <alignment vertical="center"/>
    </xf>
    <xf numFmtId="181" fontId="57" fillId="0" borderId="40" xfId="0" applyNumberFormat="1" applyFont="1" applyBorder="1" applyAlignment="1">
      <alignment horizontal="right" vertical="center"/>
    </xf>
    <xf numFmtId="0" fontId="58" fillId="36" borderId="40" xfId="0" applyFont="1" applyFill="1" applyBorder="1" applyAlignment="1">
      <alignment horizontal="center" vertical="center"/>
    </xf>
    <xf numFmtId="0" fontId="58" fillId="36" borderId="41" xfId="0" applyFont="1" applyFill="1" applyBorder="1" applyAlignment="1">
      <alignment horizontal="center" vertical="center"/>
    </xf>
    <xf numFmtId="0" fontId="43" fillId="12" borderId="40" xfId="0" applyFont="1" applyFill="1" applyBorder="1" applyAlignment="1">
      <alignment horizontal="center" vertical="center"/>
    </xf>
    <xf numFmtId="0" fontId="43" fillId="12" borderId="41" xfId="0" applyFont="1" applyFill="1" applyBorder="1" applyAlignment="1">
      <alignment horizontal="center" vertical="center"/>
    </xf>
    <xf numFmtId="183" fontId="47" fillId="0" borderId="0" xfId="0" applyNumberFormat="1" applyFont="1" applyAlignment="1">
      <alignment horizontal="left" vertical="center"/>
    </xf>
    <xf numFmtId="0" fontId="44" fillId="41" borderId="42" xfId="0" applyFont="1" applyFill="1" applyBorder="1" applyAlignment="1">
      <alignment vertical="center"/>
    </xf>
    <xf numFmtId="0" fontId="44" fillId="41" borderId="43" xfId="0" applyFont="1" applyFill="1" applyBorder="1" applyAlignment="1">
      <alignment vertical="center"/>
    </xf>
    <xf numFmtId="181" fontId="44" fillId="0" borderId="40" xfId="0" applyNumberFormat="1" applyFont="1" applyBorder="1" applyAlignment="1">
      <alignment horizontal="right" vertical="center"/>
    </xf>
    <xf numFmtId="0" fontId="57" fillId="0" borderId="40" xfId="0" applyFont="1" applyBorder="1" applyAlignment="1">
      <alignment horizontal="center" vertical="center"/>
    </xf>
    <xf numFmtId="181" fontId="57" fillId="0" borderId="40" xfId="0" applyNumberFormat="1" applyFont="1" applyBorder="1" applyAlignment="1">
      <alignment vertical="center"/>
    </xf>
    <xf numFmtId="181" fontId="57" fillId="0" borderId="44" xfId="0" applyNumberFormat="1" applyFont="1" applyBorder="1" applyAlignment="1">
      <alignment vertical="center"/>
    </xf>
    <xf numFmtId="0" fontId="43" fillId="0" borderId="44" xfId="0" applyFont="1" applyBorder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181" fontId="43" fillId="0" borderId="40" xfId="0" applyNumberFormat="1" applyFont="1" applyBorder="1" applyAlignment="1">
      <alignment vertical="center"/>
    </xf>
    <xf numFmtId="181" fontId="43" fillId="0" borderId="44" xfId="0" applyNumberFormat="1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0" fontId="56" fillId="41" borderId="42" xfId="0" applyFont="1" applyFill="1" applyBorder="1" applyAlignment="1">
      <alignment vertical="center"/>
    </xf>
    <xf numFmtId="0" fontId="57" fillId="41" borderId="43" xfId="0" applyFont="1" applyFill="1" applyBorder="1" applyAlignment="1">
      <alignment vertical="center"/>
    </xf>
    <xf numFmtId="0" fontId="51" fillId="0" borderId="45" xfId="0" applyFont="1" applyBorder="1" applyAlignment="1">
      <alignment vertical="center"/>
    </xf>
    <xf numFmtId="0" fontId="46" fillId="0" borderId="45" xfId="0" applyFont="1" applyBorder="1" applyAlignment="1">
      <alignment vertical="center"/>
    </xf>
    <xf numFmtId="0" fontId="51" fillId="0" borderId="46" xfId="0" applyFont="1" applyBorder="1" applyAlignment="1">
      <alignment vertical="center"/>
    </xf>
    <xf numFmtId="0" fontId="46" fillId="0" borderId="46" xfId="0" applyFont="1" applyBorder="1" applyAlignment="1">
      <alignment vertical="center"/>
    </xf>
    <xf numFmtId="0" fontId="36" fillId="0" borderId="42" xfId="0" applyFont="1" applyBorder="1" applyAlignment="1">
      <alignment horizontal="left" vertical="center"/>
    </xf>
    <xf numFmtId="0" fontId="46" fillId="0" borderId="47" xfId="0" applyFont="1" applyBorder="1" applyAlignment="1">
      <alignment vertical="center"/>
    </xf>
    <xf numFmtId="0" fontId="46" fillId="0" borderId="43" xfId="0" applyFont="1" applyBorder="1" applyAlignment="1">
      <alignment vertical="center"/>
    </xf>
    <xf numFmtId="181" fontId="43" fillId="0" borderId="40" xfId="0" applyNumberFormat="1" applyFont="1" applyBorder="1" applyAlignment="1">
      <alignment horizontal="right" vertical="center"/>
    </xf>
    <xf numFmtId="0" fontId="36" fillId="37" borderId="42" xfId="0" applyFont="1" applyFill="1" applyBorder="1" applyAlignment="1">
      <alignment vertical="center"/>
    </xf>
    <xf numFmtId="0" fontId="46" fillId="37" borderId="47" xfId="0" applyFont="1" applyFill="1" applyBorder="1" applyAlignment="1">
      <alignment vertical="center"/>
    </xf>
    <xf numFmtId="0" fontId="46" fillId="37" borderId="43" xfId="0" applyFont="1" applyFill="1" applyBorder="1" applyAlignment="1">
      <alignment vertical="center"/>
    </xf>
    <xf numFmtId="181" fontId="43" fillId="37" borderId="40" xfId="0" applyNumberFormat="1" applyFont="1" applyFill="1" applyBorder="1" applyAlignment="1">
      <alignment horizontal="right" vertical="center"/>
    </xf>
    <xf numFmtId="0" fontId="45" fillId="0" borderId="42" xfId="0" applyFont="1" applyBorder="1" applyAlignment="1">
      <alignment horizontal="left" vertical="center"/>
    </xf>
    <xf numFmtId="0" fontId="45" fillId="0" borderId="47" xfId="0" applyFont="1" applyBorder="1" applyAlignment="1">
      <alignment vertical="center"/>
    </xf>
    <xf numFmtId="0" fontId="45" fillId="0" borderId="43" xfId="0" applyFont="1" applyBorder="1" applyAlignment="1">
      <alignment horizontal="right" vertical="center"/>
    </xf>
    <xf numFmtId="0" fontId="36" fillId="30" borderId="0" xfId="0" applyFont="1" applyFill="1" applyAlignment="1">
      <alignment horizontal="right" vertical="center"/>
    </xf>
    <xf numFmtId="185" fontId="36" fillId="39" borderId="0" xfId="0" applyNumberFormat="1" applyFont="1" applyFill="1" applyAlignment="1">
      <alignment vertical="center"/>
    </xf>
    <xf numFmtId="0" fontId="59" fillId="42" borderId="0" xfId="0" applyFont="1" applyFill="1" applyAlignment="1">
      <alignment vertical="center"/>
    </xf>
    <xf numFmtId="0" fontId="58" fillId="42" borderId="78" xfId="0" applyFont="1" applyFill="1" applyBorder="1" applyAlignment="1">
      <alignment horizontal="center" vertical="center"/>
    </xf>
    <xf numFmtId="2" fontId="40" fillId="32" borderId="79" xfId="0" applyNumberFormat="1" applyFont="1" applyFill="1" applyBorder="1" applyAlignment="1">
      <alignment vertical="center"/>
    </xf>
    <xf numFmtId="184" fontId="58" fillId="42" borderId="76" xfId="0" applyNumberFormat="1" applyFont="1" applyFill="1" applyBorder="1" applyAlignment="1">
      <alignment horizontal="center" vertical="center"/>
    </xf>
    <xf numFmtId="184" fontId="58" fillId="42" borderId="77" xfId="0" applyNumberFormat="1" applyFont="1" applyFill="1" applyBorder="1" applyAlignment="1">
      <alignment horizontal="center" vertical="center"/>
    </xf>
    <xf numFmtId="0" fontId="36" fillId="30" borderId="23" xfId="0" applyFont="1" applyFill="1" applyBorder="1" applyAlignment="1">
      <alignment horizontal="center" vertical="center"/>
    </xf>
    <xf numFmtId="0" fontId="43" fillId="43" borderId="26" xfId="0" applyFont="1" applyFill="1" applyBorder="1" applyAlignment="1">
      <alignment horizontal="center" vertical="center"/>
    </xf>
    <xf numFmtId="0" fontId="37" fillId="38" borderId="82" xfId="0" applyFont="1" applyFill="1" applyBorder="1" applyAlignment="1">
      <alignment horizontal="left" vertical="center" indent="1"/>
    </xf>
    <xf numFmtId="0" fontId="37" fillId="38" borderId="83" xfId="0" applyFont="1" applyFill="1" applyBorder="1" applyAlignment="1">
      <alignment horizontal="left" vertical="center" indent="1"/>
    </xf>
    <xf numFmtId="0" fontId="37" fillId="38" borderId="84" xfId="0" applyFont="1" applyFill="1" applyBorder="1" applyAlignment="1">
      <alignment horizontal="left" vertical="center" indent="1"/>
    </xf>
    <xf numFmtId="0" fontId="37" fillId="0" borderId="70" xfId="0" applyFont="1" applyBorder="1" applyAlignment="1">
      <alignment horizontal="right" vertical="center"/>
    </xf>
    <xf numFmtId="2" fontId="60" fillId="39" borderId="80" xfId="0" applyNumberFormat="1" applyFont="1" applyFill="1" applyBorder="1" applyAlignment="1">
      <alignment vertical="center"/>
    </xf>
    <xf numFmtId="0" fontId="60" fillId="39" borderId="81" xfId="0" applyFont="1" applyFill="1" applyBorder="1" applyAlignment="1">
      <alignment vertical="center"/>
    </xf>
    <xf numFmtId="0" fontId="43" fillId="0" borderId="56" xfId="0" applyFont="1" applyBorder="1" applyAlignment="1">
      <alignment horizontal="center" vertical="center"/>
    </xf>
    <xf numFmtId="0" fontId="43" fillId="0" borderId="57" xfId="0" applyFont="1" applyBorder="1" applyAlignment="1">
      <alignment horizontal="center" vertical="center" wrapText="1"/>
    </xf>
    <xf numFmtId="0" fontId="43" fillId="0" borderId="58" xfId="0" applyFont="1" applyBorder="1" applyAlignment="1">
      <alignment horizontal="center" vertical="center"/>
    </xf>
    <xf numFmtId="184" fontId="36" fillId="19" borderId="59" xfId="0" applyNumberFormat="1" applyFont="1" applyFill="1" applyBorder="1" applyAlignment="1">
      <alignment vertical="center"/>
    </xf>
    <xf numFmtId="184" fontId="36" fillId="19" borderId="54" xfId="0" applyNumberFormat="1" applyFont="1" applyFill="1" applyBorder="1" applyAlignment="1">
      <alignment vertical="center"/>
    </xf>
    <xf numFmtId="184" fontId="36" fillId="19" borderId="60" xfId="0" applyNumberFormat="1" applyFont="1" applyFill="1" applyBorder="1" applyAlignment="1">
      <alignment vertical="center"/>
    </xf>
    <xf numFmtId="184" fontId="36" fillId="35" borderId="61" xfId="0" applyNumberFormat="1" applyFont="1" applyFill="1" applyBorder="1" applyAlignment="1">
      <alignment vertical="center"/>
    </xf>
    <xf numFmtId="184" fontId="36" fillId="35" borderId="53" xfId="0" applyNumberFormat="1" applyFont="1" applyFill="1" applyBorder="1" applyAlignment="1">
      <alignment vertical="center"/>
    </xf>
    <xf numFmtId="184" fontId="36" fillId="35" borderId="62" xfId="0" applyNumberFormat="1" applyFont="1" applyFill="1" applyBorder="1" applyAlignment="1">
      <alignment vertical="center"/>
    </xf>
    <xf numFmtId="184" fontId="36" fillId="33" borderId="63" xfId="0" applyNumberFormat="1" applyFont="1" applyFill="1" applyBorder="1" applyAlignment="1">
      <alignment vertical="center"/>
    </xf>
    <xf numFmtId="184" fontId="36" fillId="33" borderId="55" xfId="0" applyNumberFormat="1" applyFont="1" applyFill="1" applyBorder="1" applyAlignment="1">
      <alignment vertical="center"/>
    </xf>
    <xf numFmtId="184" fontId="36" fillId="33" borderId="64" xfId="0" applyNumberFormat="1" applyFont="1" applyFill="1" applyBorder="1" applyAlignment="1">
      <alignment vertical="center"/>
    </xf>
    <xf numFmtId="184" fontId="43" fillId="0" borderId="65" xfId="0" applyNumberFormat="1" applyFont="1" applyBorder="1" applyAlignment="1">
      <alignment vertical="center"/>
    </xf>
    <xf numFmtId="184" fontId="43" fillId="0" borderId="66" xfId="0" applyNumberFormat="1" applyFont="1" applyBorder="1" applyAlignment="1">
      <alignment vertical="center"/>
    </xf>
    <xf numFmtId="184" fontId="43" fillId="0" borderId="67" xfId="0" applyNumberFormat="1" applyFont="1" applyBorder="1" applyAlignment="1">
      <alignment vertical="center"/>
    </xf>
    <xf numFmtId="0" fontId="43" fillId="30" borderId="0" xfId="0" applyFont="1" applyFill="1" applyAlignment="1">
      <alignment vertical="center"/>
    </xf>
    <xf numFmtId="0" fontId="36" fillId="30" borderId="0" xfId="0" applyFont="1" applyFill="1" applyAlignment="1">
      <alignment vertical="center"/>
    </xf>
    <xf numFmtId="184" fontId="43" fillId="30" borderId="65" xfId="0" applyNumberFormat="1" applyFont="1" applyFill="1" applyBorder="1" applyAlignment="1">
      <alignment vertical="center"/>
    </xf>
    <xf numFmtId="177" fontId="8" fillId="2" borderId="20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178" fontId="9" fillId="0" borderId="5" xfId="0" applyNumberFormat="1" applyFont="1" applyBorder="1" applyAlignment="1">
      <alignment horizontal="left" vertical="top" wrapText="1"/>
    </xf>
    <xf numFmtId="0" fontId="3" fillId="0" borderId="5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179" fontId="11" fillId="0" borderId="28" xfId="0" applyNumberFormat="1" applyFont="1" applyBorder="1" applyAlignment="1">
      <alignment vertical="center" wrapText="1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5" fillId="12" borderId="42" xfId="0" applyFont="1" applyFill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5" fillId="13" borderId="42" xfId="0" applyFont="1" applyFill="1" applyBorder="1" applyAlignment="1">
      <alignment vertical="center"/>
    </xf>
    <xf numFmtId="0" fontId="11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181" fontId="11" fillId="0" borderId="44" xfId="0" applyNumberFormat="1" applyFont="1" applyBorder="1" applyAlignment="1">
      <alignment horizontal="right" vertical="center"/>
    </xf>
    <xf numFmtId="0" fontId="1" fillId="0" borderId="42" xfId="0" applyFont="1" applyBorder="1" applyAlignment="1">
      <alignment horizontal="center" vertical="center"/>
    </xf>
    <xf numFmtId="0" fontId="3" fillId="0" borderId="47" xfId="0" applyFont="1" applyBorder="1" applyAlignment="1">
      <alignment vertical="center"/>
    </xf>
    <xf numFmtId="179" fontId="11" fillId="0" borderId="30" xfId="0" applyNumberFormat="1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179" fontId="11" fillId="7" borderId="36" xfId="0" applyNumberFormat="1" applyFont="1" applyFill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178" fontId="19" fillId="19" borderId="5" xfId="0" applyNumberFormat="1" applyFont="1" applyFill="1" applyBorder="1" applyAlignment="1">
      <alignment horizontal="left" vertical="top" wrapText="1"/>
    </xf>
    <xf numFmtId="0" fontId="3" fillId="19" borderId="5" xfId="0" applyFont="1" applyFill="1" applyBorder="1" applyAlignment="1">
      <alignment vertical="center"/>
    </xf>
    <xf numFmtId="179" fontId="11" fillId="0" borderId="28" xfId="0" applyNumberFormat="1" applyFont="1" applyBorder="1" applyAlignment="1">
      <alignment horizontal="center" vertical="center" wrapText="1"/>
    </xf>
    <xf numFmtId="0" fontId="10" fillId="13" borderId="42" xfId="0" applyFont="1" applyFill="1" applyBorder="1" applyAlignment="1">
      <alignment vertical="center"/>
    </xf>
    <xf numFmtId="0" fontId="10" fillId="12" borderId="42" xfId="0" applyFont="1" applyFill="1" applyBorder="1" applyAlignment="1">
      <alignment vertical="center"/>
    </xf>
    <xf numFmtId="178" fontId="19" fillId="0" borderId="5" xfId="0" applyNumberFormat="1" applyFont="1" applyBorder="1" applyAlignment="1">
      <alignment horizontal="left" vertical="top" wrapText="1"/>
    </xf>
    <xf numFmtId="0" fontId="37" fillId="15" borderId="49" xfId="1" applyFont="1" applyFill="1" applyBorder="1" applyAlignment="1">
      <alignment horizontal="center" vertical="center"/>
    </xf>
    <xf numFmtId="0" fontId="37" fillId="15" borderId="51" xfId="1" applyFont="1" applyFill="1" applyBorder="1" applyAlignment="1">
      <alignment horizontal="center" vertical="center"/>
    </xf>
    <xf numFmtId="0" fontId="37" fillId="15" borderId="52" xfId="1" applyFont="1" applyFill="1" applyBorder="1" applyAlignment="1">
      <alignment horizontal="center" vertical="center"/>
    </xf>
    <xf numFmtId="0" fontId="57" fillId="0" borderId="44" xfId="0" applyFont="1" applyBorder="1" applyAlignment="1">
      <alignment horizontal="center" vertical="center"/>
    </xf>
    <xf numFmtId="0" fontId="51" fillId="0" borderId="45" xfId="0" applyFont="1" applyBorder="1" applyAlignment="1">
      <alignment vertical="center"/>
    </xf>
    <xf numFmtId="0" fontId="51" fillId="0" borderId="46" xfId="0" applyFont="1" applyBorder="1" applyAlignment="1">
      <alignment vertical="center"/>
    </xf>
    <xf numFmtId="0" fontId="51" fillId="0" borderId="42" xfId="0" applyFont="1" applyBorder="1" applyAlignment="1">
      <alignment horizontal="center" vertical="center"/>
    </xf>
    <xf numFmtId="0" fontId="51" fillId="0" borderId="47" xfId="0" applyFont="1" applyBorder="1" applyAlignment="1">
      <alignment vertical="center"/>
    </xf>
    <xf numFmtId="0" fontId="51" fillId="0" borderId="43" xfId="0" applyFont="1" applyBorder="1" applyAlignment="1">
      <alignment vertical="center"/>
    </xf>
    <xf numFmtId="179" fontId="43" fillId="7" borderId="36" xfId="0" applyNumberFormat="1" applyFont="1" applyFill="1" applyBorder="1" applyAlignment="1">
      <alignment horizontal="center" vertical="center"/>
    </xf>
    <xf numFmtId="0" fontId="39" fillId="0" borderId="37" xfId="0" applyFont="1" applyBorder="1" applyAlignment="1">
      <alignment vertical="center"/>
    </xf>
    <xf numFmtId="0" fontId="39" fillId="0" borderId="38" xfId="0" applyFont="1" applyBorder="1" applyAlignment="1">
      <alignment vertical="center"/>
    </xf>
    <xf numFmtId="177" fontId="38" fillId="2" borderId="20" xfId="0" applyNumberFormat="1" applyFont="1" applyFill="1" applyBorder="1" applyAlignment="1">
      <alignment horizontal="center" vertical="center"/>
    </xf>
    <xf numFmtId="0" fontId="39" fillId="0" borderId="21" xfId="0" applyFont="1" applyBorder="1" applyAlignment="1">
      <alignment vertical="center"/>
    </xf>
    <xf numFmtId="0" fontId="39" fillId="0" borderId="22" xfId="0" applyFont="1" applyBorder="1" applyAlignment="1">
      <alignment vertical="center"/>
    </xf>
    <xf numFmtId="178" fontId="40" fillId="39" borderId="5" xfId="0" applyNumberFormat="1" applyFont="1" applyFill="1" applyBorder="1" applyAlignment="1">
      <alignment horizontal="left" vertical="top" wrapText="1"/>
    </xf>
    <xf numFmtId="0" fontId="39" fillId="39" borderId="5" xfId="0" applyFont="1" applyFill="1" applyBorder="1" applyAlignment="1">
      <alignment vertical="center"/>
    </xf>
    <xf numFmtId="0" fontId="36" fillId="0" borderId="23" xfId="0" applyFont="1" applyBorder="1" applyAlignment="1">
      <alignment horizontal="center" vertical="center"/>
    </xf>
    <xf numFmtId="0" fontId="39" fillId="0" borderId="23" xfId="0" applyFont="1" applyBorder="1" applyAlignment="1">
      <alignment vertical="center"/>
    </xf>
    <xf numFmtId="179" fontId="43" fillId="0" borderId="38" xfId="0" applyNumberFormat="1" applyFont="1" applyBorder="1" applyAlignment="1">
      <alignment horizontal="center" vertical="center" wrapText="1"/>
    </xf>
    <xf numFmtId="179" fontId="43" fillId="0" borderId="32" xfId="0" applyNumberFormat="1" applyFont="1" applyBorder="1" applyAlignment="1">
      <alignment horizontal="center" vertical="center" wrapText="1"/>
    </xf>
    <xf numFmtId="0" fontId="10" fillId="28" borderId="42" xfId="0" applyFont="1" applyFill="1" applyBorder="1" applyAlignment="1">
      <alignment vertical="center"/>
    </xf>
    <xf numFmtId="0" fontId="3" fillId="26" borderId="43" xfId="0" applyFont="1" applyFill="1" applyBorder="1" applyAlignment="1">
      <alignment vertical="center"/>
    </xf>
    <xf numFmtId="0" fontId="10" fillId="29" borderId="4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0" xfId="0" applyFont="1" applyBorder="1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181" fontId="36" fillId="44" borderId="25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561975</xdr:colOff>
      <xdr:row>3</xdr:row>
      <xdr:rowOff>419100</xdr:rowOff>
    </xdr:from>
    <xdr:ext cx="1076325" cy="295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9431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rot="-5400000">
          <a:off x="5188838" y="2817975"/>
          <a:ext cx="314325" cy="19240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18</xdr:col>
      <xdr:colOff>76200</xdr:colOff>
      <xdr:row>3</xdr:row>
      <xdr:rowOff>714375</xdr:rowOff>
    </xdr:from>
    <xdr:ext cx="2571750" cy="2857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rot="-5400000">
          <a:off x="5212650" y="2503650"/>
          <a:ext cx="266700" cy="25527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419100</xdr:colOff>
      <xdr:row>3</xdr:row>
      <xdr:rowOff>438150</xdr:rowOff>
    </xdr:from>
    <xdr:ext cx="676275" cy="2952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280740</xdr:colOff>
      <xdr:row>3</xdr:row>
      <xdr:rowOff>448789</xdr:rowOff>
    </xdr:from>
    <xdr:ext cx="1723123" cy="1440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7480627" y="516477"/>
          <a:ext cx="144000" cy="1723123"/>
        </a:xfrm>
        <a:prstGeom prst="rightBrace">
          <a:avLst>
            <a:gd name="adj1" fmla="val 68031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437695</xdr:colOff>
      <xdr:row>3</xdr:row>
      <xdr:rowOff>149785</xdr:rowOff>
    </xdr:from>
    <xdr:ext cx="1076325" cy="291834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8819695" y="1007035"/>
          <a:ext cx="1076325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/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endParaRPr sz="1400"/>
        </a:p>
      </xdr:txBody>
    </xdr:sp>
    <xdr:clientData fLocksWithSheet="0"/>
  </xdr:oneCellAnchor>
  <xdr:oneCellAnchor>
    <xdr:from>
      <xdr:col>12</xdr:col>
      <xdr:colOff>498935</xdr:colOff>
      <xdr:row>2</xdr:row>
      <xdr:rowOff>390713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6909260" y="809813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설계</a:t>
          </a:r>
          <a:endParaRPr sz="900" b="1"/>
        </a:p>
      </xdr:txBody>
    </xdr:sp>
    <xdr:clientData fLocksWithSheet="0"/>
  </xdr:oneCellAnchor>
  <xdr:oneCellAnchor>
    <xdr:from>
      <xdr:col>14</xdr:col>
      <xdr:colOff>355937</xdr:colOff>
      <xdr:row>3</xdr:row>
      <xdr:rowOff>448789</xdr:rowOff>
    </xdr:from>
    <xdr:ext cx="2587725" cy="144000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9302575" y="84176"/>
          <a:ext cx="144000" cy="2587725"/>
        </a:xfrm>
        <a:prstGeom prst="rightBrace">
          <a:avLst>
            <a:gd name="adj1" fmla="val 49996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25067</xdr:colOff>
      <xdr:row>3</xdr:row>
      <xdr:rowOff>448231</xdr:rowOff>
    </xdr:from>
    <xdr:ext cx="1007647" cy="144000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4753916" y="873657"/>
          <a:ext cx="144000" cy="1007647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116100</xdr:colOff>
      <xdr:row>3</xdr:row>
      <xdr:rowOff>149785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4413125" y="1007035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21</xdr:col>
      <xdr:colOff>31406</xdr:colOff>
      <xdr:row>3</xdr:row>
      <xdr:rowOff>452151</xdr:rowOff>
    </xdr:from>
    <xdr:ext cx="1933575" cy="144000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3251544" y="414613"/>
          <a:ext cx="144000" cy="1933575"/>
        </a:xfrm>
        <a:prstGeom prst="rightBrace">
          <a:avLst>
            <a:gd name="adj1" fmla="val 59154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228228</xdr:colOff>
      <xdr:row>3</xdr:row>
      <xdr:rowOff>153226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2553578" y="1010476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365964</xdr:colOff>
      <xdr:row>3</xdr:row>
      <xdr:rowOff>456075</xdr:rowOff>
    </xdr:from>
    <xdr:ext cx="2436394" cy="144000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1208611" y="167128"/>
          <a:ext cx="144000" cy="2436394"/>
        </a:xfrm>
        <a:prstGeom prst="rightBrace">
          <a:avLst>
            <a:gd name="adj1" fmla="val 49658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255800</xdr:colOff>
      <xdr:row>3</xdr:row>
      <xdr:rowOff>153226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0609475" y="1010476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539380</xdr:colOff>
      <xdr:row>2</xdr:row>
      <xdr:rowOff>390713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5701930" y="809813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31132</xdr:colOff>
      <xdr:row>3</xdr:row>
      <xdr:rowOff>448790</xdr:rowOff>
    </xdr:from>
    <xdr:ext cx="1277302" cy="14400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6350883" y="739389"/>
          <a:ext cx="144000" cy="1277302"/>
        </a:xfrm>
        <a:prstGeom prst="rightBrace">
          <a:avLst>
            <a:gd name="adj1" fmla="val 64549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95250</xdr:colOff>
      <xdr:row>3</xdr:row>
      <xdr:rowOff>723900</xdr:rowOff>
    </xdr:from>
    <xdr:ext cx="25336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rot="-5400000">
          <a:off x="5188838" y="2522700"/>
          <a:ext cx="314325" cy="251460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238125</xdr:colOff>
      <xdr:row>3</xdr:row>
      <xdr:rowOff>419100</xdr:rowOff>
    </xdr:from>
    <xdr:ext cx="1076325" cy="29527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4811880" y="3634063"/>
          <a:ext cx="1068241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설게/디자인</a:t>
          </a:r>
          <a:endParaRPr sz="1400"/>
        </a:p>
      </xdr:txBody>
    </xdr:sp>
    <xdr:clientData fLocksWithSheet="0"/>
  </xdr:oneCellAnchor>
  <xdr:oneCellAnchor>
    <xdr:from>
      <xdr:col>11</xdr:col>
      <xdr:colOff>285750</xdr:colOff>
      <xdr:row>3</xdr:row>
      <xdr:rowOff>238125</xdr:rowOff>
    </xdr:from>
    <xdr:ext cx="2381250" cy="49530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4158207" y="3534292"/>
          <a:ext cx="2375587" cy="49141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서비스 기획 및 IA설계</a:t>
          </a:r>
          <a:endParaRPr sz="900" b="1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디자인 프로토타입(시안), 가이드 정의</a:t>
          </a:r>
          <a:endParaRPr sz="900" b="1"/>
        </a:p>
      </xdr:txBody>
    </xdr:sp>
    <xdr:clientData fLocksWithSheet="0"/>
  </xdr:oneCellAnchor>
  <xdr:oneCellAnchor>
    <xdr:from>
      <xdr:col>15</xdr:col>
      <xdr:colOff>66675</xdr:colOff>
      <xdr:row>3</xdr:row>
      <xdr:rowOff>723900</xdr:rowOff>
    </xdr:from>
    <xdr:ext cx="13335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rot="-5400000">
          <a:off x="5188838" y="3122775"/>
          <a:ext cx="314325" cy="13144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752475</xdr:rowOff>
    </xdr:from>
    <xdr:ext cx="647700" cy="238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rot="-5400000">
          <a:off x="5236463" y="3465675"/>
          <a:ext cx="219075" cy="628650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4940344" y="3634063"/>
          <a:ext cx="811312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733425</xdr:rowOff>
    </xdr:from>
    <xdr:ext cx="1933575" cy="25717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rot="-5400000">
          <a:off x="5226938" y="2822738"/>
          <a:ext cx="238125" cy="1914525"/>
        </a:xfrm>
        <a:prstGeom prst="rightBrace">
          <a:avLst>
            <a:gd name="adj1" fmla="val 833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704850</xdr:colOff>
      <xdr:row>3</xdr:row>
      <xdr:rowOff>438150</xdr:rowOff>
    </xdr:from>
    <xdr:ext cx="762000" cy="2952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4965127" y="3634063"/>
          <a:ext cx="761747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endParaRPr sz="1400"/>
        </a:p>
      </xdr:txBody>
    </xdr:sp>
    <xdr:clientData fLocksWithSheet="0"/>
  </xdr:oneCellAnchor>
  <xdr:oneCellAnchor>
    <xdr:from>
      <xdr:col>17</xdr:col>
      <xdr:colOff>47625</xdr:colOff>
      <xdr:row>3</xdr:row>
      <xdr:rowOff>781050</xdr:rowOff>
    </xdr:from>
    <xdr:ext cx="3257550" cy="2762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rot="-5400000">
          <a:off x="5217413" y="2160750"/>
          <a:ext cx="257175" cy="3238500"/>
        </a:xfrm>
        <a:prstGeom prst="rightBrace">
          <a:avLst>
            <a:gd name="adj1" fmla="val 833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95250</xdr:colOff>
      <xdr:row>3</xdr:row>
      <xdr:rowOff>438150</xdr:rowOff>
    </xdr:from>
    <xdr:ext cx="676275" cy="29527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5009786" y="3634063"/>
          <a:ext cx="672428" cy="291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637BC4A-815B-714F-AEFC-59FDD1CC9A5F}"/>
            </a:ext>
          </a:extLst>
        </xdr:cNvPr>
        <xdr:cNvSpPr/>
      </xdr:nvSpPr>
      <xdr:spPr>
        <a:xfrm rot="-5400000">
          <a:off x="7497763" y="97736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452438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F4E91C5-52C9-D246-B78A-7BB70E6B300E}"/>
            </a:ext>
          </a:extLst>
        </xdr:cNvPr>
        <xdr:cNvSpPr txBox="1"/>
      </xdr:nvSpPr>
      <xdr:spPr>
        <a:xfrm>
          <a:off x="8843963" y="132080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93B237AB-FB05-CE4A-976E-8072BE6B7E29}"/>
            </a:ext>
          </a:extLst>
        </xdr:cNvPr>
        <xdr:cNvSpPr txBox="1"/>
      </xdr:nvSpPr>
      <xdr:spPr>
        <a:xfrm>
          <a:off x="6978647" y="112469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723899</xdr:rowOff>
    </xdr:from>
    <xdr:ext cx="2421465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8010EDCB-7C99-9E43-BC67-B6A877A71393}"/>
            </a:ext>
          </a:extLst>
        </xdr:cNvPr>
        <xdr:cNvSpPr/>
      </xdr:nvSpPr>
      <xdr:spPr>
        <a:xfrm rot="-5400000">
          <a:off x="9311747" y="537104"/>
          <a:ext cx="333375" cy="2421465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2A094B2D-BAFF-9840-90AB-71D8CE930C96}"/>
            </a:ext>
          </a:extLst>
        </xdr:cNvPr>
        <xdr:cNvSpPr/>
      </xdr:nvSpPr>
      <xdr:spPr>
        <a:xfrm rot="-5400000">
          <a:off x="15206662" y="147161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42D68BD3-295E-A54E-A8FA-4AD9E7C8D5DE}"/>
            </a:ext>
          </a:extLst>
        </xdr:cNvPr>
        <xdr:cNvSpPr txBox="1"/>
      </xdr:nvSpPr>
      <xdr:spPr>
        <a:xfrm>
          <a:off x="14963775" y="129540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BC361CFB-5ECA-5048-B5C0-ACC8488104A8}"/>
            </a:ext>
          </a:extLst>
        </xdr:cNvPr>
        <xdr:cNvSpPr/>
      </xdr:nvSpPr>
      <xdr:spPr>
        <a:xfrm rot="-5400000">
          <a:off x="13877925" y="81915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C83685A3-9647-A242-A99C-F2FB69A01CAF}"/>
            </a:ext>
          </a:extLst>
        </xdr:cNvPr>
        <xdr:cNvSpPr txBox="1"/>
      </xdr:nvSpPr>
      <xdr:spPr>
        <a:xfrm>
          <a:off x="13169900" y="129884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17</xdr:col>
      <xdr:colOff>736603</xdr:colOff>
      <xdr:row>3</xdr:row>
      <xdr:rowOff>781050</xdr:rowOff>
    </xdr:from>
    <xdr:ext cx="2568572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8C138C9B-676C-9847-BFC7-EB85D32624C8}"/>
            </a:ext>
          </a:extLst>
        </xdr:cNvPr>
        <xdr:cNvSpPr/>
      </xdr:nvSpPr>
      <xdr:spPr>
        <a:xfrm rot="-5400000">
          <a:off x="11512551" y="492127"/>
          <a:ext cx="276225" cy="2568572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606425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4C98EFB9-81E5-4440-B447-71670BE621A9}"/>
            </a:ext>
          </a:extLst>
        </xdr:cNvPr>
        <xdr:cNvSpPr txBox="1"/>
      </xdr:nvSpPr>
      <xdr:spPr>
        <a:xfrm>
          <a:off x="10969625" y="1298841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04EBA63C-6B9E-2E4C-AA60-2B06C0C64DE1}"/>
            </a:ext>
          </a:extLst>
        </xdr:cNvPr>
        <xdr:cNvSpPr txBox="1"/>
      </xdr:nvSpPr>
      <xdr:spPr>
        <a:xfrm>
          <a:off x="5756277" y="112469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BCA07D50-8301-D04A-B808-4B882CBF486C}"/>
            </a:ext>
          </a:extLst>
        </xdr:cNvPr>
        <xdr:cNvSpPr/>
      </xdr:nvSpPr>
      <xdr:spPr>
        <a:xfrm rot="-5400000">
          <a:off x="6205540" y="118057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2572;&#49849;&#51068;/Desktop/work_240122/241017_&#54788;&#45824;&#48177;&#54868;&#51216;_&#51228;&#50504;/@&#44204;&#51201;&#49436;/250102_&#49688;&#51221;&#48260;&#51204;/&#45908;&#54788;&#45824;&#45815;&#52980;%20NEW%20&#52964;&#47672;&#49828;%20&#54540;&#47019;&#54268;%20&#44396;&#52629;%20&#44204;&#51201;&#49436;_V0.4_250102_&#48148;&#51060;&#45328;&#50472;(&#51064;&#47141;&#48324;&#48516;&#47532;)_25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인건비"/>
      <sheetName val="3_인건비외"/>
      <sheetName val="1_총견적"/>
      <sheetName val="2_투입계획"/>
      <sheetName val="기준"/>
      <sheetName val="개정내역"/>
    </sheetNames>
    <sheetDataSet>
      <sheetData sheetId="0"/>
      <sheetData sheetId="1"/>
      <sheetData sheetId="2"/>
      <sheetData sheetId="3"/>
      <sheetData sheetId="4">
        <row r="28">
          <cell r="B28" t="str">
            <v>임금조사연도</v>
          </cell>
        </row>
        <row r="29">
          <cell r="B29" t="str">
            <v>인상율</v>
          </cell>
        </row>
        <row r="30">
          <cell r="B30" t="str">
            <v>기술사</v>
          </cell>
        </row>
        <row r="31">
          <cell r="B31" t="str">
            <v>특급</v>
          </cell>
        </row>
        <row r="32">
          <cell r="B32" t="str">
            <v>고급</v>
          </cell>
        </row>
        <row r="33">
          <cell r="B33" t="str">
            <v>중급</v>
          </cell>
        </row>
        <row r="34">
          <cell r="B34" t="str">
            <v>초급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showGridLines="0" zoomScale="80" zoomScaleNormal="80" workbookViewId="0">
      <pane xSplit="11" ySplit="6" topLeftCell="L7" activePane="bottomRight" state="frozen"/>
      <selection pane="topRight"/>
      <selection pane="bottomLeft"/>
      <selection pane="bottomRight" activeCell="A46" sqref="A46:XFD46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8.83203125" customWidth="1"/>
  </cols>
  <sheetData>
    <row r="1" spans="1:37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7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7" ht="32">
      <c r="A3" s="19"/>
      <c r="B3" s="25"/>
      <c r="C3" s="371" t="s">
        <v>23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3"/>
      <c r="AJ3" s="26"/>
      <c r="AK3" s="19"/>
    </row>
    <row r="4" spans="1:37" ht="80.25" customHeight="1">
      <c r="A4" s="19"/>
      <c r="B4" s="25"/>
      <c r="C4" s="374">
        <v>45674</v>
      </c>
      <c r="D4" s="375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7" ht="16.5" customHeight="1">
      <c r="A5" s="19"/>
      <c r="B5" s="25"/>
      <c r="C5" s="29"/>
      <c r="D5" s="29"/>
      <c r="E5" s="30"/>
      <c r="F5" s="30"/>
      <c r="G5" s="30"/>
      <c r="H5" s="30"/>
      <c r="I5" s="30"/>
      <c r="J5" s="30"/>
      <c r="K5" s="31"/>
      <c r="L5" s="376"/>
      <c r="M5" s="377"/>
      <c r="N5" s="376"/>
      <c r="O5" s="377"/>
      <c r="P5" s="377"/>
      <c r="Q5" s="377"/>
      <c r="R5" s="377"/>
      <c r="S5" s="377"/>
      <c r="T5" s="377"/>
      <c r="U5" s="377"/>
      <c r="V5" s="377"/>
      <c r="W5" s="377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7" ht="30">
      <c r="A6" s="19"/>
      <c r="B6" s="25"/>
      <c r="C6" s="33" t="s">
        <v>24</v>
      </c>
      <c r="D6" s="33" t="s">
        <v>25</v>
      </c>
      <c r="E6" s="34" t="s">
        <v>26</v>
      </c>
      <c r="F6" s="34" t="s">
        <v>27</v>
      </c>
      <c r="G6" s="35" t="s">
        <v>28</v>
      </c>
      <c r="H6" s="34" t="s">
        <v>29</v>
      </c>
      <c r="I6" s="34" t="s">
        <v>30</v>
      </c>
      <c r="J6" s="34" t="s">
        <v>31</v>
      </c>
      <c r="K6" s="34" t="s">
        <v>32</v>
      </c>
      <c r="L6" s="36" t="s">
        <v>33</v>
      </c>
      <c r="M6" s="36" t="s">
        <v>34</v>
      </c>
      <c r="N6" s="36" t="s">
        <v>35</v>
      </c>
      <c r="O6" s="36" t="s">
        <v>36</v>
      </c>
      <c r="P6" s="36" t="s">
        <v>37</v>
      </c>
      <c r="Q6" s="36" t="s">
        <v>38</v>
      </c>
      <c r="R6" s="36" t="s">
        <v>39</v>
      </c>
      <c r="S6" s="36" t="s">
        <v>40</v>
      </c>
      <c r="T6" s="36" t="s">
        <v>41</v>
      </c>
      <c r="U6" s="36" t="s">
        <v>42</v>
      </c>
      <c r="V6" s="36" t="s">
        <v>43</v>
      </c>
      <c r="W6" s="36" t="s">
        <v>44</v>
      </c>
      <c r="X6" s="36" t="s">
        <v>45</v>
      </c>
      <c r="Y6" s="36" t="s">
        <v>46</v>
      </c>
      <c r="Z6" s="36" t="s">
        <v>47</v>
      </c>
      <c r="AA6" s="36"/>
      <c r="AB6" s="36"/>
      <c r="AC6" s="36"/>
      <c r="AD6" s="36"/>
      <c r="AE6" s="36"/>
      <c r="AF6" s="36"/>
      <c r="AG6" s="36"/>
      <c r="AH6" s="36"/>
      <c r="AI6" s="37" t="s">
        <v>48</v>
      </c>
      <c r="AJ6" s="26"/>
      <c r="AK6" s="19"/>
    </row>
    <row r="7" spans="1:37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1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4" si="0">SUM(L7:AH7)</f>
        <v>14.5</v>
      </c>
      <c r="AJ7" s="26"/>
      <c r="AK7" s="19"/>
    </row>
    <row r="8" spans="1:37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1" t="s">
        <v>52</v>
      </c>
      <c r="H8" s="42">
        <v>45705</v>
      </c>
      <c r="I8" s="42">
        <v>46127</v>
      </c>
      <c r="J8" s="42"/>
      <c r="K8" s="42"/>
      <c r="L8" s="46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7" ht="16.5" customHeight="1">
      <c r="A9" s="19"/>
      <c r="B9" s="25"/>
      <c r="C9" s="47"/>
      <c r="D9" s="378" t="s">
        <v>55</v>
      </c>
      <c r="E9" s="40" t="s">
        <v>51</v>
      </c>
      <c r="F9" s="40" t="s">
        <v>9</v>
      </c>
      <c r="G9" s="41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0.5</v>
      </c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13.5</v>
      </c>
      <c r="AJ9" s="26"/>
      <c r="AK9" s="19"/>
    </row>
    <row r="10" spans="1:37" ht="16.5" customHeight="1">
      <c r="A10" s="19"/>
      <c r="B10" s="25"/>
      <c r="C10" s="47"/>
      <c r="D10" s="379"/>
      <c r="E10" s="40" t="s">
        <v>51</v>
      </c>
      <c r="F10" s="40" t="s">
        <v>8</v>
      </c>
      <c r="G10" s="48" t="s">
        <v>56</v>
      </c>
      <c r="H10" s="42">
        <v>45691</v>
      </c>
      <c r="I10" s="49">
        <v>46081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6">
        <v>1</v>
      </c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13</v>
      </c>
      <c r="AJ10" s="26"/>
      <c r="AK10" s="19"/>
    </row>
    <row r="11" spans="1:37" ht="16.5" customHeight="1">
      <c r="A11" s="19"/>
      <c r="B11" s="25"/>
      <c r="C11" s="50" t="s">
        <v>49</v>
      </c>
      <c r="D11" s="379"/>
      <c r="E11" s="51" t="s">
        <v>57</v>
      </c>
      <c r="F11" s="51" t="s">
        <v>58</v>
      </c>
      <c r="G11" s="52" t="s">
        <v>51</v>
      </c>
      <c r="H11" s="53">
        <v>45719</v>
      </c>
      <c r="I11" s="53">
        <v>46096</v>
      </c>
      <c r="J11" s="53"/>
      <c r="K11" s="53"/>
      <c r="L11" s="54">
        <v>0</v>
      </c>
      <c r="M11" s="55">
        <v>1</v>
      </c>
      <c r="N11" s="55">
        <v>1</v>
      </c>
      <c r="O11" s="55">
        <v>1</v>
      </c>
      <c r="P11" s="55">
        <v>1</v>
      </c>
      <c r="Q11" s="55">
        <v>1</v>
      </c>
      <c r="R11" s="55">
        <v>1</v>
      </c>
      <c r="S11" s="55">
        <v>1</v>
      </c>
      <c r="T11" s="55">
        <v>1</v>
      </c>
      <c r="U11" s="55">
        <v>1</v>
      </c>
      <c r="V11" s="55">
        <v>1</v>
      </c>
      <c r="W11" s="55">
        <v>1</v>
      </c>
      <c r="X11" s="55">
        <v>1</v>
      </c>
      <c r="Y11" s="55">
        <v>0.5</v>
      </c>
      <c r="Z11" s="55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12.5</v>
      </c>
      <c r="AJ11" s="26"/>
      <c r="AK11" s="19"/>
    </row>
    <row r="12" spans="1:37" ht="16.5" customHeight="1">
      <c r="A12" s="19"/>
      <c r="B12" s="25"/>
      <c r="C12" s="50" t="s">
        <v>49</v>
      </c>
      <c r="D12" s="379"/>
      <c r="E12" s="51" t="s">
        <v>57</v>
      </c>
      <c r="F12" s="51" t="s">
        <v>12</v>
      </c>
      <c r="G12" s="52" t="s">
        <v>51</v>
      </c>
      <c r="H12" s="53">
        <v>45691</v>
      </c>
      <c r="I12" s="56">
        <v>46068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>
        <v>1</v>
      </c>
      <c r="V12" s="55">
        <v>1</v>
      </c>
      <c r="W12" s="55">
        <v>1</v>
      </c>
      <c r="X12" s="55">
        <v>0.5</v>
      </c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12.5</v>
      </c>
      <c r="AJ12" s="26"/>
      <c r="AK12" s="19"/>
    </row>
    <row r="13" spans="1:37" ht="16.5" customHeight="1">
      <c r="A13" s="19"/>
      <c r="B13" s="25"/>
      <c r="C13" s="50" t="s">
        <v>49</v>
      </c>
      <c r="D13" s="379"/>
      <c r="E13" s="57" t="s">
        <v>59</v>
      </c>
      <c r="F13" s="57" t="s">
        <v>13</v>
      </c>
      <c r="G13" s="58" t="s">
        <v>56</v>
      </c>
      <c r="H13" s="59">
        <v>45691</v>
      </c>
      <c r="I13" s="59">
        <v>46022</v>
      </c>
      <c r="J13" s="59"/>
      <c r="K13" s="59"/>
      <c r="L13" s="44">
        <v>1</v>
      </c>
      <c r="M13" s="44">
        <v>1</v>
      </c>
      <c r="N13" s="44">
        <v>1</v>
      </c>
      <c r="O13" s="44">
        <v>1</v>
      </c>
      <c r="P13" s="44">
        <v>1</v>
      </c>
      <c r="Q13" s="44">
        <v>1</v>
      </c>
      <c r="R13" s="44">
        <v>1</v>
      </c>
      <c r="S13" s="44">
        <v>1</v>
      </c>
      <c r="T13" s="44">
        <v>1</v>
      </c>
      <c r="U13" s="44">
        <v>1</v>
      </c>
      <c r="V13" s="44">
        <v>1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11</v>
      </c>
      <c r="AJ13" s="26"/>
      <c r="AK13" s="19"/>
    </row>
    <row r="14" spans="1:37" ht="16.5" customHeight="1">
      <c r="A14" s="19"/>
      <c r="B14" s="25"/>
      <c r="C14" s="50" t="s">
        <v>49</v>
      </c>
      <c r="D14" s="380"/>
      <c r="E14" s="57" t="s">
        <v>59</v>
      </c>
      <c r="F14" s="57" t="s">
        <v>17</v>
      </c>
      <c r="G14" s="58" t="s">
        <v>56</v>
      </c>
      <c r="H14" s="59">
        <v>45691</v>
      </c>
      <c r="I14" s="59">
        <v>45930</v>
      </c>
      <c r="J14" s="59"/>
      <c r="K14" s="59"/>
      <c r="L14" s="44">
        <v>1</v>
      </c>
      <c r="M14" s="44">
        <v>1</v>
      </c>
      <c r="N14" s="44">
        <v>1</v>
      </c>
      <c r="O14" s="44">
        <v>1</v>
      </c>
      <c r="P14" s="44">
        <v>1</v>
      </c>
      <c r="Q14" s="44">
        <v>1</v>
      </c>
      <c r="R14" s="44">
        <v>1</v>
      </c>
      <c r="S14" s="44">
        <v>1</v>
      </c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8</v>
      </c>
      <c r="AJ14" s="26"/>
      <c r="AK14" s="19"/>
    </row>
    <row r="15" spans="1:37" ht="16.5" hidden="1" customHeight="1">
      <c r="A15" s="19"/>
      <c r="B15" s="25"/>
      <c r="C15" s="50" t="s">
        <v>49</v>
      </c>
      <c r="D15" s="378"/>
      <c r="E15" s="57" t="s">
        <v>51</v>
      </c>
      <c r="F15" s="57"/>
      <c r="G15" s="60"/>
      <c r="H15" s="59"/>
      <c r="I15" s="59"/>
      <c r="J15" s="59"/>
      <c r="K15" s="59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v>0</v>
      </c>
      <c r="AJ15" s="26"/>
      <c r="AK15" s="19"/>
    </row>
    <row r="16" spans="1:37" ht="16.5" hidden="1" customHeight="1">
      <c r="A16" s="19"/>
      <c r="B16" s="25"/>
      <c r="C16" s="50" t="s">
        <v>49</v>
      </c>
      <c r="D16" s="379"/>
      <c r="E16" s="57" t="s">
        <v>57</v>
      </c>
      <c r="F16" s="57"/>
      <c r="G16" s="60"/>
      <c r="H16" s="59"/>
      <c r="I16" s="59"/>
      <c r="J16" s="59"/>
      <c r="K16" s="59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v>0</v>
      </c>
      <c r="AJ16" s="26"/>
      <c r="AK16" s="19"/>
    </row>
    <row r="17" spans="1:37" ht="16.5" hidden="1" customHeight="1">
      <c r="A17" s="19"/>
      <c r="B17" s="25"/>
      <c r="C17" s="50" t="s">
        <v>49</v>
      </c>
      <c r="D17" s="380"/>
      <c r="E17" s="57" t="s">
        <v>59</v>
      </c>
      <c r="F17" s="57"/>
      <c r="G17" s="60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v>0</v>
      </c>
      <c r="AJ17" s="26"/>
      <c r="AK17" s="19"/>
    </row>
    <row r="18" spans="1:37" ht="16.5" hidden="1" customHeight="1">
      <c r="A18" s="19"/>
      <c r="B18" s="25"/>
      <c r="C18" s="50" t="s">
        <v>49</v>
      </c>
      <c r="D18" s="378"/>
      <c r="E18" s="57" t="s">
        <v>51</v>
      </c>
      <c r="F18" s="57"/>
      <c r="G18" s="60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v>0</v>
      </c>
      <c r="AJ18" s="26"/>
      <c r="AK18" s="19"/>
    </row>
    <row r="19" spans="1:37" ht="16.5" hidden="1" customHeight="1">
      <c r="A19" s="19"/>
      <c r="B19" s="25"/>
      <c r="C19" s="50" t="s">
        <v>49</v>
      </c>
      <c r="D19" s="379"/>
      <c r="E19" s="57" t="s">
        <v>57</v>
      </c>
      <c r="F19" s="57"/>
      <c r="G19" s="60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v>0</v>
      </c>
      <c r="AJ19" s="26"/>
      <c r="AK19" s="19"/>
    </row>
    <row r="20" spans="1:37" ht="16.5" hidden="1" customHeight="1">
      <c r="A20" s="19"/>
      <c r="B20" s="25"/>
      <c r="C20" s="50" t="s">
        <v>49</v>
      </c>
      <c r="D20" s="380"/>
      <c r="E20" s="57" t="s">
        <v>59</v>
      </c>
      <c r="F20" s="57"/>
      <c r="G20" s="60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v>0</v>
      </c>
      <c r="AJ20" s="26"/>
      <c r="AK20" s="19"/>
    </row>
    <row r="21" spans="1:37" ht="16.5" customHeight="1">
      <c r="A21" s="19"/>
      <c r="B21" s="25"/>
      <c r="C21" s="61" t="s">
        <v>49</v>
      </c>
      <c r="D21" s="62" t="s">
        <v>60</v>
      </c>
      <c r="E21" s="63"/>
      <c r="F21" s="63"/>
      <c r="G21" s="64"/>
      <c r="H21" s="65"/>
      <c r="I21" s="66" t="s">
        <v>61</v>
      </c>
      <c r="J21" s="67"/>
      <c r="K21" s="67"/>
      <c r="L21" s="68">
        <f t="shared" ref="L21:Z21" si="1">SUM(L7:L20)</f>
        <v>6.5</v>
      </c>
      <c r="M21" s="68">
        <f t="shared" si="1"/>
        <v>8</v>
      </c>
      <c r="N21" s="68">
        <f t="shared" si="1"/>
        <v>8</v>
      </c>
      <c r="O21" s="68">
        <f t="shared" si="1"/>
        <v>8</v>
      </c>
      <c r="P21" s="68">
        <f t="shared" si="1"/>
        <v>8</v>
      </c>
      <c r="Q21" s="68">
        <f t="shared" si="1"/>
        <v>8</v>
      </c>
      <c r="R21" s="68">
        <f t="shared" si="1"/>
        <v>8</v>
      </c>
      <c r="S21" s="68">
        <f t="shared" si="1"/>
        <v>8</v>
      </c>
      <c r="T21" s="68">
        <f t="shared" si="1"/>
        <v>7</v>
      </c>
      <c r="U21" s="68">
        <f t="shared" si="1"/>
        <v>7</v>
      </c>
      <c r="V21" s="68">
        <f t="shared" si="1"/>
        <v>7</v>
      </c>
      <c r="W21" s="68">
        <f t="shared" si="1"/>
        <v>6</v>
      </c>
      <c r="X21" s="68">
        <f t="shared" si="1"/>
        <v>5.5</v>
      </c>
      <c r="Y21" s="68">
        <f t="shared" si="1"/>
        <v>3</v>
      </c>
      <c r="Z21" s="68">
        <f t="shared" si="1"/>
        <v>1</v>
      </c>
      <c r="AA21" s="68"/>
      <c r="AB21" s="68"/>
      <c r="AC21" s="68"/>
      <c r="AD21" s="68"/>
      <c r="AE21" s="68"/>
      <c r="AF21" s="68"/>
      <c r="AG21" s="68"/>
      <c r="AH21" s="68"/>
      <c r="AI21" s="69">
        <f>SUM(AI7:AI20)</f>
        <v>99</v>
      </c>
      <c r="AJ21" s="26"/>
      <c r="AK21" s="19"/>
    </row>
    <row r="22" spans="1:37" ht="4.5" customHeight="1">
      <c r="A22" s="70"/>
      <c r="B22" s="71"/>
      <c r="C22" s="72"/>
      <c r="D22" s="73"/>
      <c r="E22" s="74"/>
      <c r="F22" s="74"/>
      <c r="G22" s="75"/>
      <c r="H22" s="76"/>
      <c r="I22" s="76"/>
      <c r="J22" s="76"/>
      <c r="K22" s="76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7"/>
      <c r="AJ22" s="78"/>
      <c r="AK22" s="70"/>
    </row>
    <row r="23" spans="1:37" ht="16.5" customHeight="1">
      <c r="A23" s="19"/>
      <c r="B23" s="25"/>
      <c r="C23" s="38" t="s">
        <v>62</v>
      </c>
      <c r="D23" s="79" t="s">
        <v>54</v>
      </c>
      <c r="E23" s="51" t="s">
        <v>57</v>
      </c>
      <c r="F23" s="51" t="s">
        <v>6</v>
      </c>
      <c r="G23" s="80" t="s">
        <v>56</v>
      </c>
      <c r="H23" s="53">
        <v>45740</v>
      </c>
      <c r="I23" s="53">
        <v>46127</v>
      </c>
      <c r="J23" s="53"/>
      <c r="K23" s="53"/>
      <c r="L23" s="55"/>
      <c r="M23" s="54">
        <v>0.25</v>
      </c>
      <c r="N23" s="55">
        <v>1</v>
      </c>
      <c r="O23" s="55">
        <v>1</v>
      </c>
      <c r="P23" s="55">
        <v>1</v>
      </c>
      <c r="Q23" s="55">
        <v>1</v>
      </c>
      <c r="R23" s="55">
        <v>1</v>
      </c>
      <c r="S23" s="55">
        <v>1</v>
      </c>
      <c r="T23" s="55">
        <v>1</v>
      </c>
      <c r="U23" s="55">
        <v>1</v>
      </c>
      <c r="V23" s="55">
        <v>1</v>
      </c>
      <c r="W23" s="55">
        <v>1</v>
      </c>
      <c r="X23" s="55">
        <v>1</v>
      </c>
      <c r="Y23" s="55">
        <v>1</v>
      </c>
      <c r="Z23" s="55">
        <v>0.5</v>
      </c>
      <c r="AA23" s="44"/>
      <c r="AB23" s="44"/>
      <c r="AC23" s="44"/>
      <c r="AD23" s="44"/>
      <c r="AE23" s="44"/>
      <c r="AF23" s="44"/>
      <c r="AG23" s="44"/>
      <c r="AH23" s="44"/>
      <c r="AI23" s="45">
        <f t="shared" ref="AI23:AI29" si="2">SUM(M23:AH23)</f>
        <v>12.75</v>
      </c>
      <c r="AJ23" s="26"/>
      <c r="AK23" s="19"/>
    </row>
    <row r="24" spans="1:37" ht="16.5" customHeight="1">
      <c r="A24" s="19"/>
      <c r="B24" s="25"/>
      <c r="C24" s="47"/>
      <c r="D24" s="390" t="s">
        <v>63</v>
      </c>
      <c r="E24" s="51" t="s">
        <v>57</v>
      </c>
      <c r="F24" s="51" t="s">
        <v>10</v>
      </c>
      <c r="G24" s="80" t="s">
        <v>56</v>
      </c>
      <c r="H24" s="53">
        <v>45740</v>
      </c>
      <c r="I24" s="53">
        <v>46112</v>
      </c>
      <c r="J24" s="53"/>
      <c r="K24" s="53"/>
      <c r="L24" s="55"/>
      <c r="M24" s="54">
        <v>0.25</v>
      </c>
      <c r="N24" s="55">
        <v>1</v>
      </c>
      <c r="O24" s="55">
        <v>1</v>
      </c>
      <c r="P24" s="55">
        <v>1</v>
      </c>
      <c r="Q24" s="55">
        <v>1</v>
      </c>
      <c r="R24" s="55">
        <v>1</v>
      </c>
      <c r="S24" s="55">
        <v>1</v>
      </c>
      <c r="T24" s="55">
        <v>1</v>
      </c>
      <c r="U24" s="55">
        <v>1</v>
      </c>
      <c r="V24" s="55">
        <v>1</v>
      </c>
      <c r="W24" s="55">
        <v>1</v>
      </c>
      <c r="X24" s="54">
        <v>1</v>
      </c>
      <c r="Y24" s="54">
        <v>1</v>
      </c>
      <c r="Z24" s="55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12.25</v>
      </c>
      <c r="AJ24" s="26"/>
      <c r="AK24" s="19"/>
    </row>
    <row r="25" spans="1:37" ht="16.5" customHeight="1">
      <c r="A25" s="19"/>
      <c r="B25" s="25"/>
      <c r="C25" s="47"/>
      <c r="D25" s="379"/>
      <c r="E25" s="51" t="s">
        <v>57</v>
      </c>
      <c r="F25" s="51" t="s">
        <v>22</v>
      </c>
      <c r="G25" s="52" t="s">
        <v>51</v>
      </c>
      <c r="H25" s="53">
        <v>45748</v>
      </c>
      <c r="I25" s="53">
        <v>46112</v>
      </c>
      <c r="J25" s="53"/>
      <c r="K25" s="53"/>
      <c r="L25" s="55"/>
      <c r="M25" s="54"/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4">
        <v>1</v>
      </c>
      <c r="X25" s="54">
        <v>1</v>
      </c>
      <c r="Y25" s="54">
        <v>1</v>
      </c>
      <c r="Z25" s="55"/>
      <c r="AA25" s="44"/>
      <c r="AB25" s="44"/>
      <c r="AC25" s="44"/>
      <c r="AD25" s="44"/>
      <c r="AE25" s="44"/>
      <c r="AF25" s="44"/>
      <c r="AG25" s="44"/>
      <c r="AH25" s="44"/>
      <c r="AI25" s="45">
        <f t="shared" si="2"/>
        <v>12</v>
      </c>
      <c r="AJ25" s="26"/>
      <c r="AK25" s="19"/>
    </row>
    <row r="26" spans="1:37" ht="16.5" customHeight="1">
      <c r="A26" s="19"/>
      <c r="B26" s="25"/>
      <c r="C26" s="50" t="s">
        <v>62</v>
      </c>
      <c r="D26" s="379"/>
      <c r="E26" s="57" t="s">
        <v>59</v>
      </c>
      <c r="F26" s="57" t="s">
        <v>14</v>
      </c>
      <c r="G26" s="58" t="s">
        <v>56</v>
      </c>
      <c r="H26" s="59">
        <v>45740</v>
      </c>
      <c r="I26" s="59">
        <v>46112</v>
      </c>
      <c r="J26" s="59"/>
      <c r="K26" s="59"/>
      <c r="L26" s="44"/>
      <c r="M26" s="81">
        <v>0.25</v>
      </c>
      <c r="N26" s="44">
        <v>1</v>
      </c>
      <c r="O26" s="44">
        <v>1</v>
      </c>
      <c r="P26" s="44">
        <v>1</v>
      </c>
      <c r="Q26" s="44">
        <v>1</v>
      </c>
      <c r="R26" s="44">
        <v>1</v>
      </c>
      <c r="S26" s="44">
        <v>1</v>
      </c>
      <c r="T26" s="44">
        <v>1</v>
      </c>
      <c r="U26" s="44">
        <v>1</v>
      </c>
      <c r="V26" s="44">
        <v>1</v>
      </c>
      <c r="W26" s="44">
        <v>1</v>
      </c>
      <c r="X26" s="44">
        <v>1</v>
      </c>
      <c r="Y26" s="44">
        <v>1</v>
      </c>
      <c r="Z26" s="44"/>
      <c r="AA26" s="44"/>
      <c r="AB26" s="44"/>
      <c r="AC26" s="44"/>
      <c r="AD26" s="44"/>
      <c r="AE26" s="44"/>
      <c r="AF26" s="44"/>
      <c r="AG26" s="44"/>
      <c r="AH26" s="44"/>
      <c r="AI26" s="45">
        <f t="shared" si="2"/>
        <v>12.25</v>
      </c>
      <c r="AJ26" s="26"/>
      <c r="AK26" s="19"/>
    </row>
    <row r="27" spans="1:37" ht="16.5" customHeight="1">
      <c r="A27" s="19"/>
      <c r="B27" s="25"/>
      <c r="C27" s="50" t="s">
        <v>62</v>
      </c>
      <c r="D27" s="379"/>
      <c r="E27" s="57" t="s">
        <v>59</v>
      </c>
      <c r="F27" s="57" t="s">
        <v>7</v>
      </c>
      <c r="G27" s="58" t="s">
        <v>56</v>
      </c>
      <c r="H27" s="59">
        <v>45740</v>
      </c>
      <c r="I27" s="59">
        <v>45991</v>
      </c>
      <c r="J27" s="59"/>
      <c r="K27" s="59"/>
      <c r="L27" s="44"/>
      <c r="M27" s="81">
        <v>0.25</v>
      </c>
      <c r="N27" s="44">
        <v>1</v>
      </c>
      <c r="O27" s="44">
        <v>1</v>
      </c>
      <c r="P27" s="44">
        <v>1</v>
      </c>
      <c r="Q27" s="44">
        <v>1</v>
      </c>
      <c r="R27" s="44">
        <v>1</v>
      </c>
      <c r="S27" s="44">
        <v>1</v>
      </c>
      <c r="T27" s="44">
        <v>1</v>
      </c>
      <c r="U27" s="44">
        <v>1</v>
      </c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5">
        <f t="shared" si="2"/>
        <v>8.25</v>
      </c>
      <c r="AJ27" s="26"/>
      <c r="AK27" s="19"/>
    </row>
    <row r="28" spans="1:37" ht="16.5" customHeight="1">
      <c r="A28" s="19"/>
      <c r="B28" s="25"/>
      <c r="C28" s="50" t="s">
        <v>62</v>
      </c>
      <c r="D28" s="379"/>
      <c r="E28" s="57" t="s">
        <v>59</v>
      </c>
      <c r="F28" s="57" t="s">
        <v>18</v>
      </c>
      <c r="G28" s="58" t="s">
        <v>56</v>
      </c>
      <c r="H28" s="59">
        <v>45748</v>
      </c>
      <c r="I28" s="59">
        <v>45991</v>
      </c>
      <c r="J28" s="59"/>
      <c r="K28" s="59"/>
      <c r="L28" s="44"/>
      <c r="M28" s="44"/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81">
        <v>1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5">
        <f t="shared" si="2"/>
        <v>8</v>
      </c>
      <c r="AJ28" s="26"/>
      <c r="AK28" s="19"/>
    </row>
    <row r="29" spans="1:37" ht="16.5" customHeight="1">
      <c r="A29" s="19"/>
      <c r="B29" s="25"/>
      <c r="C29" s="50" t="s">
        <v>62</v>
      </c>
      <c r="D29" s="380"/>
      <c r="E29" s="57" t="s">
        <v>59</v>
      </c>
      <c r="F29" s="57" t="s">
        <v>11</v>
      </c>
      <c r="G29" s="60" t="s">
        <v>51</v>
      </c>
      <c r="H29" s="59">
        <v>45748</v>
      </c>
      <c r="I29" s="59">
        <v>45976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81">
        <v>0.5</v>
      </c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2"/>
        <v>7.5</v>
      </c>
      <c r="AJ29" s="26"/>
      <c r="AK29" s="19"/>
    </row>
    <row r="30" spans="1:37" ht="16.5" hidden="1" customHeight="1">
      <c r="A30" s="19"/>
      <c r="B30" s="25"/>
      <c r="C30" s="50" t="s">
        <v>62</v>
      </c>
      <c r="D30" s="378"/>
      <c r="E30" s="57" t="s">
        <v>51</v>
      </c>
      <c r="F30" s="57"/>
      <c r="G30" s="60"/>
      <c r="H30" s="59"/>
      <c r="I30" s="59"/>
      <c r="J30" s="59"/>
      <c r="K30" s="59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v>0</v>
      </c>
      <c r="AJ30" s="26"/>
      <c r="AK30" s="19"/>
    </row>
    <row r="31" spans="1:37" ht="16.5" hidden="1" customHeight="1">
      <c r="A31" s="19"/>
      <c r="B31" s="25"/>
      <c r="C31" s="50" t="s">
        <v>62</v>
      </c>
      <c r="D31" s="379"/>
      <c r="E31" s="57" t="s">
        <v>57</v>
      </c>
      <c r="F31" s="57"/>
      <c r="G31" s="60"/>
      <c r="H31" s="59"/>
      <c r="I31" s="59"/>
      <c r="J31" s="59"/>
      <c r="K31" s="59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v>0</v>
      </c>
      <c r="AJ31" s="26"/>
      <c r="AK31" s="19"/>
    </row>
    <row r="32" spans="1:37" ht="16.5" hidden="1" customHeight="1">
      <c r="A32" s="19"/>
      <c r="B32" s="25"/>
      <c r="C32" s="50" t="s">
        <v>62</v>
      </c>
      <c r="D32" s="380"/>
      <c r="E32" s="57" t="s">
        <v>59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78"/>
      <c r="E33" s="57" t="s">
        <v>51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79"/>
      <c r="E34" s="57" t="s">
        <v>57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80"/>
      <c r="E35" s="57" t="s">
        <v>59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91" t="s">
        <v>64</v>
      </c>
      <c r="E36" s="57" t="s">
        <v>51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79"/>
      <c r="E37" s="57" t="s">
        <v>57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0"/>
      <c r="E38" s="57" t="s">
        <v>59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customHeight="1">
      <c r="A39" s="19"/>
      <c r="B39" s="25"/>
      <c r="C39" s="61" t="s">
        <v>62</v>
      </c>
      <c r="D39" s="62" t="s">
        <v>60</v>
      </c>
      <c r="E39" s="82"/>
      <c r="F39" s="82"/>
      <c r="G39" s="83"/>
      <c r="H39" s="65"/>
      <c r="I39" s="66" t="s">
        <v>61</v>
      </c>
      <c r="J39" s="67"/>
      <c r="K39" s="67"/>
      <c r="L39" s="68">
        <f t="shared" ref="L39:Z39" si="3">SUM(L23:L38)</f>
        <v>0</v>
      </c>
      <c r="M39" s="68">
        <f t="shared" si="3"/>
        <v>1</v>
      </c>
      <c r="N39" s="68">
        <f t="shared" si="3"/>
        <v>7</v>
      </c>
      <c r="O39" s="68">
        <f t="shared" si="3"/>
        <v>7</v>
      </c>
      <c r="P39" s="68">
        <f t="shared" si="3"/>
        <v>7</v>
      </c>
      <c r="Q39" s="68">
        <f t="shared" si="3"/>
        <v>7</v>
      </c>
      <c r="R39" s="68">
        <f t="shared" si="3"/>
        <v>7</v>
      </c>
      <c r="S39" s="68">
        <f t="shared" si="3"/>
        <v>7</v>
      </c>
      <c r="T39" s="68">
        <f t="shared" si="3"/>
        <v>7</v>
      </c>
      <c r="U39" s="68">
        <f t="shared" si="3"/>
        <v>6.5</v>
      </c>
      <c r="V39" s="68">
        <f t="shared" si="3"/>
        <v>4</v>
      </c>
      <c r="W39" s="68">
        <f t="shared" si="3"/>
        <v>4</v>
      </c>
      <c r="X39" s="68">
        <f t="shared" si="3"/>
        <v>4</v>
      </c>
      <c r="Y39" s="68">
        <f t="shared" si="3"/>
        <v>4</v>
      </c>
      <c r="Z39" s="68">
        <f t="shared" si="3"/>
        <v>0.5</v>
      </c>
      <c r="AA39" s="68"/>
      <c r="AB39" s="68"/>
      <c r="AC39" s="68"/>
      <c r="AD39" s="68"/>
      <c r="AE39" s="68"/>
      <c r="AF39" s="68"/>
      <c r="AG39" s="68"/>
      <c r="AH39" s="68"/>
      <c r="AI39" s="69">
        <f>SUM(AI23:AI38)</f>
        <v>73</v>
      </c>
      <c r="AJ39" s="26"/>
      <c r="AK39" s="19"/>
    </row>
    <row r="40" spans="1:37" ht="4.5" customHeight="1">
      <c r="A40" s="70"/>
      <c r="B40" s="71"/>
      <c r="C40" s="72"/>
      <c r="D40" s="73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7"/>
      <c r="AJ40" s="78"/>
      <c r="AK40" s="70"/>
    </row>
    <row r="41" spans="1:37" ht="16.5" customHeight="1">
      <c r="A41" s="19"/>
      <c r="B41" s="25"/>
      <c r="C41" s="392" t="s">
        <v>60</v>
      </c>
      <c r="D41" s="393"/>
      <c r="E41" s="394"/>
      <c r="F41" s="84"/>
      <c r="G41" s="85"/>
      <c r="H41" s="85"/>
      <c r="I41" s="85" t="s">
        <v>65</v>
      </c>
      <c r="J41" s="86"/>
      <c r="K41" s="86"/>
      <c r="L41" s="68">
        <f t="shared" ref="L41:Z41" si="4">L21+L39</f>
        <v>6.5</v>
      </c>
      <c r="M41" s="68">
        <f t="shared" si="4"/>
        <v>9</v>
      </c>
      <c r="N41" s="68">
        <f t="shared" si="4"/>
        <v>15</v>
      </c>
      <c r="O41" s="68">
        <f t="shared" si="4"/>
        <v>15</v>
      </c>
      <c r="P41" s="68">
        <f t="shared" si="4"/>
        <v>15</v>
      </c>
      <c r="Q41" s="68">
        <f t="shared" si="4"/>
        <v>15</v>
      </c>
      <c r="R41" s="68">
        <f t="shared" si="4"/>
        <v>15</v>
      </c>
      <c r="S41" s="68">
        <f t="shared" si="4"/>
        <v>15</v>
      </c>
      <c r="T41" s="68">
        <f t="shared" si="4"/>
        <v>14</v>
      </c>
      <c r="U41" s="68">
        <f t="shared" si="4"/>
        <v>13.5</v>
      </c>
      <c r="V41" s="68">
        <f t="shared" si="4"/>
        <v>11</v>
      </c>
      <c r="W41" s="68">
        <f t="shared" si="4"/>
        <v>10</v>
      </c>
      <c r="X41" s="68">
        <f t="shared" si="4"/>
        <v>9.5</v>
      </c>
      <c r="Y41" s="68">
        <f t="shared" si="4"/>
        <v>7</v>
      </c>
      <c r="Z41" s="68">
        <f t="shared" si="4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AI21+AI39</f>
        <v>172</v>
      </c>
      <c r="AJ41" s="26"/>
      <c r="AK41" s="19"/>
    </row>
    <row r="42" spans="1:37" ht="16.5" customHeight="1">
      <c r="A42" s="19"/>
      <c r="B42" s="87"/>
      <c r="C42" s="88"/>
      <c r="D42" s="88"/>
      <c r="E42" s="89"/>
      <c r="F42" s="89"/>
      <c r="G42" s="89"/>
      <c r="H42" s="89"/>
      <c r="I42" s="88"/>
      <c r="J42" s="88"/>
      <c r="K42" s="90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91"/>
      <c r="AK42" s="19"/>
    </row>
    <row r="43" spans="1:37" ht="16.5" customHeight="1">
      <c r="A43" s="19"/>
      <c r="B43" s="19"/>
      <c r="C43" s="19"/>
      <c r="D43" s="19"/>
      <c r="E43" s="20"/>
      <c r="F43" s="20"/>
      <c r="G43" s="20"/>
      <c r="H43" s="20"/>
      <c r="I43" s="19"/>
      <c r="J43" s="19"/>
      <c r="K43" s="19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19"/>
      <c r="AK43" s="19"/>
    </row>
    <row r="44" spans="1:37" ht="16.5" customHeight="1">
      <c r="S44" s="92" t="s">
        <v>66</v>
      </c>
      <c r="X44" s="92" t="s">
        <v>67</v>
      </c>
    </row>
    <row r="45" spans="1:37" ht="16.5" customHeight="1">
      <c r="S45" s="93" t="s">
        <v>68</v>
      </c>
      <c r="T45" s="94" t="s">
        <v>69</v>
      </c>
      <c r="U45" s="93" t="s">
        <v>70</v>
      </c>
      <c r="V45" s="93" t="s">
        <v>60</v>
      </c>
      <c r="X45" s="381" t="s">
        <v>71</v>
      </c>
      <c r="Y45" s="382"/>
      <c r="Z45" s="95">
        <v>172</v>
      </c>
    </row>
    <row r="46" spans="1:37" ht="16.5" customHeight="1">
      <c r="S46" s="384" t="s">
        <v>53</v>
      </c>
      <c r="T46" s="96" t="s">
        <v>51</v>
      </c>
      <c r="U46" s="95">
        <f>SUMIF($E$7:$E$14,"고급",$AI$7:$AI$14)</f>
        <v>55</v>
      </c>
      <c r="V46" s="387">
        <f>SUM(U46:U48)</f>
        <v>99</v>
      </c>
      <c r="X46" s="383" t="s">
        <v>72</v>
      </c>
      <c r="Y46" s="382"/>
      <c r="Z46" s="95">
        <f>204.5-Z45</f>
        <v>32.5</v>
      </c>
    </row>
    <row r="47" spans="1:37" ht="16.5" customHeight="1">
      <c r="S47" s="385"/>
      <c r="T47" s="96" t="s">
        <v>57</v>
      </c>
      <c r="U47" s="95">
        <f>SUMIF($E$7:$E$14,"중급",$AI$7:$AI$14)</f>
        <v>25</v>
      </c>
      <c r="V47" s="385"/>
      <c r="X47" s="383" t="s">
        <v>73</v>
      </c>
      <c r="Y47" s="382"/>
      <c r="Z47" s="95">
        <v>204.5</v>
      </c>
    </row>
    <row r="48" spans="1:37" ht="16.5" customHeight="1">
      <c r="S48" s="386"/>
      <c r="T48" s="96" t="s">
        <v>59</v>
      </c>
      <c r="U48" s="95">
        <f>SUMIF($E$7:$E$14,"초급",$AI$7:$AI$14)</f>
        <v>19</v>
      </c>
      <c r="V48" s="386"/>
    </row>
    <row r="49" spans="19:22" ht="16.5" customHeight="1">
      <c r="S49" s="384" t="s">
        <v>62</v>
      </c>
      <c r="T49" s="96" t="s">
        <v>51</v>
      </c>
      <c r="U49" s="95">
        <f>SUMIF($E$23:$E$29,"고급",$AI$23:$AI$29)</f>
        <v>0</v>
      </c>
      <c r="V49" s="387">
        <f>SUM(U49:U51)</f>
        <v>73</v>
      </c>
    </row>
    <row r="50" spans="19:22" ht="16.5" customHeight="1">
      <c r="S50" s="385"/>
      <c r="T50" s="96" t="s">
        <v>57</v>
      </c>
      <c r="U50" s="95">
        <f>SUMIF($E$23:$E$29,"중급",$AI$23:$AI$29)</f>
        <v>37</v>
      </c>
      <c r="V50" s="385"/>
    </row>
    <row r="51" spans="19:22" ht="16.5" customHeight="1">
      <c r="S51" s="386"/>
      <c r="T51" s="96" t="s">
        <v>59</v>
      </c>
      <c r="U51" s="95">
        <f>SUMIF($E$23:$E$29,"초급",$AI$23:$AI$29)</f>
        <v>36</v>
      </c>
      <c r="V51" s="386"/>
    </row>
    <row r="52" spans="19:22" ht="16.5" customHeight="1">
      <c r="S52" s="388" t="s">
        <v>74</v>
      </c>
      <c r="T52" s="389"/>
      <c r="U52" s="382"/>
      <c r="V52" s="97">
        <f>SUM(V46:V51)</f>
        <v>172</v>
      </c>
    </row>
    <row r="53" spans="19:22" ht="16.5" customHeight="1"/>
    <row r="54" spans="19:22" ht="16.5" customHeight="1"/>
    <row r="55" spans="19:22" ht="16.5" customHeight="1"/>
    <row r="56" spans="19:22" ht="16.5" customHeight="1"/>
    <row r="57" spans="19:22" ht="16.5" customHeight="1"/>
    <row r="58" spans="19:22" ht="16.5" customHeight="1"/>
    <row r="59" spans="19:22" ht="16.5" customHeight="1"/>
    <row r="60" spans="19:22" ht="16.5" customHeight="1"/>
    <row r="61" spans="19:22" ht="16.5" customHeight="1"/>
    <row r="62" spans="19:22" ht="16.5" customHeight="1"/>
    <row r="63" spans="19:22" ht="16.5" customHeight="1"/>
    <row r="64" spans="19:2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">
    <mergeCell ref="S49:S51"/>
    <mergeCell ref="V49:V51"/>
    <mergeCell ref="S52:U52"/>
    <mergeCell ref="D24:D29"/>
    <mergeCell ref="D30:D32"/>
    <mergeCell ref="D33:D35"/>
    <mergeCell ref="D36:D38"/>
    <mergeCell ref="C41:E41"/>
    <mergeCell ref="S46:S48"/>
    <mergeCell ref="V46:V48"/>
    <mergeCell ref="D15:D17"/>
    <mergeCell ref="D18:D20"/>
    <mergeCell ref="X45:Y45"/>
    <mergeCell ref="X46:Y46"/>
    <mergeCell ref="X47:Y47"/>
    <mergeCell ref="C3:AI3"/>
    <mergeCell ref="C4:D4"/>
    <mergeCell ref="L5:M5"/>
    <mergeCell ref="N5:W5"/>
    <mergeCell ref="D9:D14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AL1000"/>
  <sheetViews>
    <sheetView showGridLines="0" zoomScale="80" zoomScaleNormal="80" workbookViewId="0">
      <pane xSplit="11" ySplit="6" topLeftCell="L7" activePane="bottomRight" state="frozen"/>
      <selection pane="topRight"/>
      <selection pane="bottomLeft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71" t="s">
        <v>23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3"/>
      <c r="AJ3" s="26"/>
      <c r="AK3" s="19"/>
    </row>
    <row r="4" spans="1:38" ht="80.25" customHeight="1">
      <c r="A4" s="19"/>
      <c r="B4" s="25"/>
      <c r="C4" s="395">
        <v>45705</v>
      </c>
      <c r="D4" s="396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76"/>
      <c r="M5" s="377"/>
      <c r="N5" s="376"/>
      <c r="O5" s="377"/>
      <c r="P5" s="377"/>
      <c r="Q5" s="377"/>
      <c r="R5" s="377"/>
      <c r="S5" s="377"/>
      <c r="T5" s="377"/>
      <c r="U5" s="377"/>
      <c r="V5" s="377"/>
      <c r="W5" s="377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97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121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79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121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79"/>
      <c r="E11" s="122" t="s">
        <v>51</v>
      </c>
      <c r="F11" s="123" t="s">
        <v>76</v>
      </c>
      <c r="G11" s="124" t="s">
        <v>51</v>
      </c>
      <c r="H11" s="42">
        <v>45748</v>
      </c>
      <c r="I11" s="42">
        <v>45930</v>
      </c>
      <c r="J11" s="42"/>
      <c r="K11" s="42"/>
      <c r="L11" s="43"/>
      <c r="M11" s="43"/>
      <c r="N11" s="46">
        <v>1</v>
      </c>
      <c r="O11" s="46">
        <v>1</v>
      </c>
      <c r="P11" s="46">
        <v>1</v>
      </c>
      <c r="Q11" s="46">
        <v>1</v>
      </c>
      <c r="R11" s="46">
        <v>1</v>
      </c>
      <c r="S11" s="46">
        <v>1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121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79"/>
      <c r="E12" s="51" t="s">
        <v>57</v>
      </c>
      <c r="F12" s="51" t="s">
        <v>12</v>
      </c>
      <c r="G12" s="51" t="s">
        <v>51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121">
        <f t="shared" si="0"/>
        <v>9</v>
      </c>
      <c r="AJ12" s="26"/>
      <c r="AK12" s="19"/>
    </row>
    <row r="13" spans="1:38" ht="16.5" customHeight="1">
      <c r="A13" s="19"/>
      <c r="B13" s="25"/>
      <c r="C13" s="50" t="s">
        <v>49</v>
      </c>
      <c r="D13" s="379"/>
      <c r="E13" s="51" t="s">
        <v>57</v>
      </c>
      <c r="F13" s="51" t="s">
        <v>16</v>
      </c>
      <c r="G13" s="51" t="s">
        <v>51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121">
        <f t="shared" si="0"/>
        <v>10</v>
      </c>
      <c r="AJ13" s="26"/>
      <c r="AK13" s="19"/>
    </row>
    <row r="14" spans="1:38" ht="16.5" customHeight="1">
      <c r="A14" s="19"/>
      <c r="B14" s="25"/>
      <c r="C14" s="50" t="s">
        <v>49</v>
      </c>
      <c r="D14" s="379"/>
      <c r="E14" s="125" t="s">
        <v>57</v>
      </c>
      <c r="F14" s="126" t="s">
        <v>20</v>
      </c>
      <c r="G14" s="126" t="s">
        <v>51</v>
      </c>
      <c r="H14" s="53">
        <v>45720</v>
      </c>
      <c r="I14" s="53">
        <v>45900</v>
      </c>
      <c r="J14" s="53"/>
      <c r="K14" s="53"/>
      <c r="L14" s="55"/>
      <c r="M14" s="54">
        <v>1</v>
      </c>
      <c r="N14" s="54">
        <v>1</v>
      </c>
      <c r="O14" s="54">
        <v>1</v>
      </c>
      <c r="P14" s="54">
        <v>1</v>
      </c>
      <c r="Q14" s="54">
        <v>1</v>
      </c>
      <c r="R14" s="54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121">
        <f t="shared" si="0"/>
        <v>6</v>
      </c>
      <c r="AJ14" s="26"/>
      <c r="AK14" s="19"/>
      <c r="AL14" s="19"/>
    </row>
    <row r="15" spans="1:38" ht="16.5" customHeight="1">
      <c r="A15" s="19"/>
      <c r="B15" s="25"/>
      <c r="C15" s="50" t="s">
        <v>49</v>
      </c>
      <c r="D15" s="379"/>
      <c r="E15" s="57" t="s">
        <v>59</v>
      </c>
      <c r="F15" s="57" t="s">
        <v>13</v>
      </c>
      <c r="G15" s="57" t="s">
        <v>59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121">
        <f t="shared" si="0"/>
        <v>10</v>
      </c>
      <c r="AJ15" s="26"/>
      <c r="AK15" s="19"/>
      <c r="AL15" s="19"/>
    </row>
    <row r="16" spans="1:38" ht="16.5" customHeight="1">
      <c r="A16" s="19"/>
      <c r="B16" s="25"/>
      <c r="C16" s="50" t="s">
        <v>49</v>
      </c>
      <c r="D16" s="379"/>
      <c r="E16" s="57" t="s">
        <v>59</v>
      </c>
      <c r="F16" s="57" t="s">
        <v>17</v>
      </c>
      <c r="G16" s="103" t="s">
        <v>59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81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121">
        <f t="shared" ref="AI16:AI17" si="1">SUM(L16:Z16)</f>
        <v>9</v>
      </c>
      <c r="AJ16" s="26"/>
      <c r="AK16" s="19"/>
      <c r="AL16" s="19"/>
    </row>
    <row r="17" spans="1:38" ht="16.5" hidden="1" customHeight="1">
      <c r="A17" s="19"/>
      <c r="B17" s="25"/>
      <c r="C17" s="50" t="s">
        <v>49</v>
      </c>
      <c r="D17" s="379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>
      <c r="A18" s="19"/>
      <c r="B18" s="25"/>
      <c r="C18" s="50" t="s">
        <v>49</v>
      </c>
      <c r="D18" s="379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80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78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>
      <c r="A21" s="19"/>
      <c r="B21" s="25"/>
      <c r="C21" s="50" t="s">
        <v>49</v>
      </c>
      <c r="D21" s="379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>
      <c r="A22" s="19"/>
      <c r="B22" s="25"/>
      <c r="C22" s="50" t="s">
        <v>49</v>
      </c>
      <c r="D22" s="380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>
      <c r="A23" s="19"/>
      <c r="B23" s="25"/>
      <c r="C23" s="61" t="s">
        <v>49</v>
      </c>
      <c r="D23" s="104" t="s">
        <v>60</v>
      </c>
      <c r="E23" s="66"/>
      <c r="F23" s="66"/>
      <c r="G23" s="66"/>
      <c r="H23" s="66"/>
      <c r="I23" s="66" t="s">
        <v>61</v>
      </c>
      <c r="J23" s="67"/>
      <c r="K23" s="67"/>
      <c r="L23" s="68">
        <f t="shared" ref="L23:Z23" si="3">SUM(L7:L22)</f>
        <v>6.5</v>
      </c>
      <c r="M23" s="68">
        <f t="shared" si="3"/>
        <v>9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9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>
      <c r="A25" s="19"/>
      <c r="B25" s="25"/>
      <c r="C25" s="38" t="s">
        <v>62</v>
      </c>
      <c r="D25" s="79" t="s">
        <v>54</v>
      </c>
      <c r="E25" s="51" t="s">
        <v>57</v>
      </c>
      <c r="F25" s="51" t="s">
        <v>6</v>
      </c>
      <c r="G25" s="105" t="s">
        <v>56</v>
      </c>
      <c r="H25" s="53">
        <v>45726</v>
      </c>
      <c r="I25" s="53">
        <v>46127</v>
      </c>
      <c r="J25" s="53"/>
      <c r="K25" s="53"/>
      <c r="L25" s="55"/>
      <c r="M25" s="54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121">
        <f t="shared" ref="AI25:AI31" si="4">SUM(L25:AH25)</f>
        <v>13.25</v>
      </c>
      <c r="AJ25" s="26"/>
      <c r="AK25" s="19"/>
    </row>
    <row r="26" spans="1:38" ht="16.5" customHeight="1">
      <c r="A26" s="19"/>
      <c r="B26" s="25"/>
      <c r="C26" s="47"/>
      <c r="D26" s="390" t="s">
        <v>63</v>
      </c>
      <c r="E26" s="51" t="s">
        <v>57</v>
      </c>
      <c r="F26" s="51" t="s">
        <v>10</v>
      </c>
      <c r="G26" s="105" t="s">
        <v>56</v>
      </c>
      <c r="H26" s="53">
        <v>45726</v>
      </c>
      <c r="I26" s="53">
        <v>46127</v>
      </c>
      <c r="J26" s="53"/>
      <c r="K26" s="53"/>
      <c r="L26" s="55"/>
      <c r="M26" s="54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4">
        <v>0.5</v>
      </c>
      <c r="AA26" s="44"/>
      <c r="AB26" s="44"/>
      <c r="AC26" s="44"/>
      <c r="AD26" s="44"/>
      <c r="AE26" s="44"/>
      <c r="AF26" s="44"/>
      <c r="AG26" s="44"/>
      <c r="AH26" s="44"/>
      <c r="AI26" s="121">
        <f t="shared" si="4"/>
        <v>13.25</v>
      </c>
      <c r="AJ26" s="26"/>
      <c r="AK26" s="19"/>
    </row>
    <row r="27" spans="1:38" ht="16.5" customHeight="1">
      <c r="A27" s="19"/>
      <c r="B27" s="25"/>
      <c r="C27" s="47"/>
      <c r="D27" s="379"/>
      <c r="E27" s="51" t="s">
        <v>57</v>
      </c>
      <c r="F27" s="51" t="s">
        <v>22</v>
      </c>
      <c r="G27" s="51" t="s">
        <v>51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121">
        <f t="shared" si="4"/>
        <v>10.5</v>
      </c>
      <c r="AJ27" s="26"/>
      <c r="AK27" s="19"/>
    </row>
    <row r="28" spans="1:38" ht="16.5" customHeight="1">
      <c r="A28" s="19"/>
      <c r="B28" s="25"/>
      <c r="C28" s="50" t="s">
        <v>62</v>
      </c>
      <c r="D28" s="379"/>
      <c r="E28" s="57" t="s">
        <v>59</v>
      </c>
      <c r="F28" s="57" t="s">
        <v>14</v>
      </c>
      <c r="G28" s="103" t="s">
        <v>56</v>
      </c>
      <c r="H28" s="59">
        <v>45726</v>
      </c>
      <c r="I28" s="59">
        <v>46127</v>
      </c>
      <c r="J28" s="59"/>
      <c r="K28" s="59"/>
      <c r="L28" s="44"/>
      <c r="M28" s="81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81">
        <v>0.5</v>
      </c>
      <c r="AA28" s="44"/>
      <c r="AB28" s="44"/>
      <c r="AC28" s="44"/>
      <c r="AD28" s="44"/>
      <c r="AE28" s="44"/>
      <c r="AF28" s="44"/>
      <c r="AG28" s="44"/>
      <c r="AH28" s="44"/>
      <c r="AI28" s="121">
        <f t="shared" si="4"/>
        <v>13.25</v>
      </c>
      <c r="AJ28" s="26"/>
      <c r="AK28" s="19"/>
    </row>
    <row r="29" spans="1:38" ht="16.5" customHeight="1">
      <c r="A29" s="19"/>
      <c r="B29" s="25"/>
      <c r="C29" s="50" t="s">
        <v>62</v>
      </c>
      <c r="D29" s="379"/>
      <c r="E29" s="57" t="s">
        <v>59</v>
      </c>
      <c r="F29" s="57" t="s">
        <v>7</v>
      </c>
      <c r="G29" s="103" t="s">
        <v>56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121">
        <f t="shared" si="4"/>
        <v>7</v>
      </c>
      <c r="AJ29" s="26"/>
      <c r="AK29" s="19"/>
    </row>
    <row r="30" spans="1:38" ht="16.5" customHeight="1">
      <c r="A30" s="19"/>
      <c r="B30" s="25"/>
      <c r="C30" s="50" t="s">
        <v>62</v>
      </c>
      <c r="D30" s="379"/>
      <c r="E30" s="57" t="s">
        <v>59</v>
      </c>
      <c r="F30" s="57" t="s">
        <v>18</v>
      </c>
      <c r="G30" s="103" t="s">
        <v>56</v>
      </c>
      <c r="H30" s="59">
        <v>45726</v>
      </c>
      <c r="I30" s="59">
        <v>45989</v>
      </c>
      <c r="J30" s="59"/>
      <c r="K30" s="59"/>
      <c r="L30" s="44"/>
      <c r="M30" s="81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121">
        <f t="shared" si="4"/>
        <v>8.75</v>
      </c>
      <c r="AJ30" s="26"/>
      <c r="AK30" s="19"/>
    </row>
    <row r="31" spans="1:38" ht="16.5" customHeight="1">
      <c r="A31" s="19"/>
      <c r="B31" s="25"/>
      <c r="C31" s="50" t="s">
        <v>62</v>
      </c>
      <c r="D31" s="380"/>
      <c r="E31" s="57" t="s">
        <v>59</v>
      </c>
      <c r="F31" s="57" t="s">
        <v>11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121">
        <f t="shared" si="4"/>
        <v>7</v>
      </c>
      <c r="AJ31" s="26"/>
      <c r="AK31" s="19"/>
    </row>
    <row r="32" spans="1:38" ht="16.5" hidden="1" customHeight="1">
      <c r="A32" s="19"/>
      <c r="B32" s="25"/>
      <c r="C32" s="50" t="s">
        <v>62</v>
      </c>
      <c r="D32" s="378"/>
      <c r="E32" s="57" t="s">
        <v>51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79"/>
      <c r="E33" s="57" t="s">
        <v>57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80"/>
      <c r="E34" s="57" t="s">
        <v>59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78"/>
      <c r="E35" s="57" t="s">
        <v>51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79"/>
      <c r="E36" s="57" t="s">
        <v>57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0"/>
      <c r="E37" s="57" t="s">
        <v>59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91" t="s">
        <v>64</v>
      </c>
      <c r="E38" s="57" t="s">
        <v>51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79"/>
      <c r="E39" s="57" t="s">
        <v>57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80"/>
      <c r="E40" s="57" t="s">
        <v>59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>
      <c r="A41" s="19"/>
      <c r="B41" s="25"/>
      <c r="C41" s="61" t="s">
        <v>62</v>
      </c>
      <c r="D41" s="104" t="s">
        <v>60</v>
      </c>
      <c r="E41" s="66"/>
      <c r="F41" s="66"/>
      <c r="G41" s="66" t="s">
        <v>77</v>
      </c>
      <c r="H41" s="66"/>
      <c r="I41" s="66" t="s">
        <v>61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>
      <c r="A43" s="19"/>
      <c r="B43" s="25"/>
      <c r="C43" s="392" t="s">
        <v>60</v>
      </c>
      <c r="D43" s="393"/>
      <c r="E43" s="394"/>
      <c r="F43" s="84"/>
      <c r="G43" s="85"/>
      <c r="H43" s="85"/>
      <c r="I43" s="85" t="s">
        <v>65</v>
      </c>
      <c r="J43" s="86"/>
      <c r="K43" s="86"/>
      <c r="L43" s="68">
        <f t="shared" ref="L43:Z43" si="6">L23+L41</f>
        <v>6.5</v>
      </c>
      <c r="M43" s="68">
        <f t="shared" si="6"/>
        <v>12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16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>
      <c r="C45" s="106" t="s">
        <v>78</v>
      </c>
    </row>
    <row r="46" spans="1:37" ht="16.5" customHeight="1">
      <c r="C46" s="106" t="s">
        <v>79</v>
      </c>
    </row>
    <row r="47" spans="1:37" ht="27.75" customHeight="1">
      <c r="A47" s="19"/>
      <c r="B47" s="19"/>
      <c r="C47" s="127" t="s">
        <v>92</v>
      </c>
      <c r="D47" s="128"/>
      <c r="E47" s="12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29"/>
      <c r="R47" s="20"/>
      <c r="S47" s="92" t="s">
        <v>66</v>
      </c>
      <c r="X47" s="92" t="s">
        <v>67</v>
      </c>
      <c r="AJ47" s="19"/>
      <c r="AK47" s="19"/>
    </row>
    <row r="48" spans="1:37" ht="16.5" customHeight="1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68</v>
      </c>
      <c r="T48" s="94" t="s">
        <v>69</v>
      </c>
      <c r="U48" s="93" t="s">
        <v>70</v>
      </c>
      <c r="V48" s="93" t="s">
        <v>60</v>
      </c>
      <c r="W48" s="107" t="s">
        <v>80</v>
      </c>
      <c r="X48" s="399" t="s">
        <v>71</v>
      </c>
      <c r="Y48" s="382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384" t="s">
        <v>53</v>
      </c>
      <c r="T49" s="96" t="s">
        <v>51</v>
      </c>
      <c r="U49" s="95">
        <f>SUMIF($E$7:$E$19,"고급",$AI$7:$AI$19)</f>
        <v>55</v>
      </c>
      <c r="V49" s="387">
        <f>SUM(U49:U51)</f>
        <v>99</v>
      </c>
      <c r="W49" s="107">
        <f>'250117 (제출본-최초)'!$U$46-U49</f>
        <v>0</v>
      </c>
      <c r="X49" s="398" t="s">
        <v>81</v>
      </c>
      <c r="Y49" s="382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85"/>
      <c r="T50" s="96" t="s">
        <v>57</v>
      </c>
      <c r="U50" s="95">
        <f>SUMIF($E$7:$E$19,"중급",$AI$7:$AI$19)</f>
        <v>25</v>
      </c>
      <c r="V50" s="385"/>
      <c r="W50" s="107">
        <f>'250117 (제출본-최초)'!$U$47-U50</f>
        <v>0</v>
      </c>
      <c r="X50" s="398" t="s">
        <v>73</v>
      </c>
      <c r="Y50" s="382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86"/>
      <c r="T51" s="96" t="s">
        <v>59</v>
      </c>
      <c r="U51" s="95">
        <f>SUMIF($E$7:$E$19,"초급",$AI$7:$AI$19)</f>
        <v>19</v>
      </c>
      <c r="V51" s="386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84" t="s">
        <v>62</v>
      </c>
      <c r="T52" s="96" t="s">
        <v>51</v>
      </c>
      <c r="U52" s="95">
        <f>SUMIF($E$23:$E$31,"고급",$AI$23:$AI$31)</f>
        <v>0</v>
      </c>
      <c r="V52" s="387">
        <f>SUM(U52:U54)</f>
        <v>73</v>
      </c>
      <c r="W52" s="107">
        <f>'250117 (제출본-최초)'!$U$49-U52</f>
        <v>0</v>
      </c>
    </row>
    <row r="53" spans="6:34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85"/>
      <c r="T53" s="96" t="s">
        <v>57</v>
      </c>
      <c r="U53" s="95">
        <f>SUMIF($E$23:$E$31,"중급",$AI$23:$AI$31)</f>
        <v>37</v>
      </c>
      <c r="V53" s="385"/>
      <c r="W53" s="107">
        <f>'250117 (제출본-최초)'!$U$50-U53</f>
        <v>0</v>
      </c>
    </row>
    <row r="54" spans="6:34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86"/>
      <c r="T54" s="96" t="s">
        <v>59</v>
      </c>
      <c r="U54" s="95">
        <f>SUMIF($E$23:$E$31,"초급",$AI$23:$AI$31)</f>
        <v>36</v>
      </c>
      <c r="V54" s="386"/>
      <c r="W54" s="107">
        <f>'250117 (제출본-최초)'!$U$51-U54</f>
        <v>0</v>
      </c>
    </row>
    <row r="55" spans="6:34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88" t="s">
        <v>74</v>
      </c>
      <c r="T55" s="389"/>
      <c r="U55" s="382"/>
      <c r="V55" s="97">
        <f t="shared" ref="V55:W55" si="7">SUM(V49:V54)</f>
        <v>172</v>
      </c>
      <c r="W55" s="107">
        <f t="shared" si="7"/>
        <v>0</v>
      </c>
    </row>
    <row r="56" spans="6:34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/>
    <row r="59" spans="6:34" ht="16.5" customHeight="1"/>
    <row r="60" spans="6:34" ht="16.5" customHeight="1"/>
    <row r="61" spans="6:34" ht="16.5" customHeight="1"/>
    <row r="62" spans="6:34" ht="16.5" customHeight="1"/>
    <row r="63" spans="6:34" ht="16.5" customHeight="1"/>
    <row r="64" spans="6:3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9">
    <mergeCell ref="S55:U55"/>
    <mergeCell ref="D32:D34"/>
    <mergeCell ref="D35:D37"/>
    <mergeCell ref="D38:D40"/>
    <mergeCell ref="C43:E43"/>
    <mergeCell ref="S49:S51"/>
    <mergeCell ref="D20:D22"/>
    <mergeCell ref="D26:D31"/>
    <mergeCell ref="X49:Y49"/>
    <mergeCell ref="X50:Y50"/>
    <mergeCell ref="S52:S54"/>
    <mergeCell ref="V52:V54"/>
    <mergeCell ref="X48:Y48"/>
    <mergeCell ref="V49:V51"/>
    <mergeCell ref="C3:AI3"/>
    <mergeCell ref="C4:D4"/>
    <mergeCell ref="L5:M5"/>
    <mergeCell ref="N5:W5"/>
    <mergeCell ref="D9:D19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000"/>
  <sheetViews>
    <sheetView showGridLines="0"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 activeCell="F25" sqref="F25:F31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71" t="s">
        <v>23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3"/>
      <c r="AJ3" s="26"/>
      <c r="AK3" s="19"/>
    </row>
    <row r="4" spans="1:38" ht="80.25" customHeight="1">
      <c r="A4" s="19"/>
      <c r="B4" s="25"/>
      <c r="C4" s="400">
        <v>45742</v>
      </c>
      <c r="D4" s="375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76"/>
      <c r="M5" s="377"/>
      <c r="N5" s="376"/>
      <c r="O5" s="377"/>
      <c r="P5" s="377"/>
      <c r="Q5" s="377"/>
      <c r="R5" s="377"/>
      <c r="S5" s="377"/>
      <c r="T5" s="377"/>
      <c r="U5" s="377"/>
      <c r="V5" s="377"/>
      <c r="W5" s="377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5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97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79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79"/>
      <c r="E11" s="40" t="s">
        <v>51</v>
      </c>
      <c r="F11" s="122" t="s">
        <v>21</v>
      </c>
      <c r="G11" s="102" t="s">
        <v>51</v>
      </c>
      <c r="H11" s="49">
        <v>45733</v>
      </c>
      <c r="I11" s="49">
        <v>45916</v>
      </c>
      <c r="J11" s="42"/>
      <c r="K11" s="42"/>
      <c r="L11" s="43"/>
      <c r="M11" s="46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6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79"/>
      <c r="E12" s="51" t="s">
        <v>57</v>
      </c>
      <c r="F12" s="51" t="s">
        <v>12</v>
      </c>
      <c r="G12" s="51" t="s">
        <v>51</v>
      </c>
      <c r="H12" s="53">
        <v>45691</v>
      </c>
      <c r="I12" s="53">
        <v>45960</v>
      </c>
      <c r="J12" s="53"/>
      <c r="K12" s="53"/>
      <c r="L12" s="55">
        <v>1</v>
      </c>
      <c r="M12" s="55">
        <v>1</v>
      </c>
      <c r="N12" s="55">
        <v>1</v>
      </c>
      <c r="O12" s="55">
        <v>1</v>
      </c>
      <c r="P12" s="55">
        <v>1</v>
      </c>
      <c r="Q12" s="55">
        <v>1</v>
      </c>
      <c r="R12" s="55">
        <v>1</v>
      </c>
      <c r="S12" s="55">
        <v>1</v>
      </c>
      <c r="T12" s="55">
        <v>1</v>
      </c>
      <c r="U12" s="55"/>
      <c r="V12" s="55"/>
      <c r="W12" s="55"/>
      <c r="X12" s="55"/>
      <c r="Y12" s="55"/>
      <c r="Z12" s="55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9</v>
      </c>
      <c r="AJ12" s="26"/>
      <c r="AK12" s="19"/>
    </row>
    <row r="13" spans="1:38" ht="16.5" customHeight="1">
      <c r="A13" s="19"/>
      <c r="B13" s="25"/>
      <c r="C13" s="50" t="s">
        <v>49</v>
      </c>
      <c r="D13" s="379"/>
      <c r="E13" s="51" t="s">
        <v>57</v>
      </c>
      <c r="F13" s="51" t="s">
        <v>16</v>
      </c>
      <c r="G13" s="51" t="s">
        <v>51</v>
      </c>
      <c r="H13" s="53">
        <v>45720</v>
      </c>
      <c r="I13" s="53">
        <v>46022</v>
      </c>
      <c r="J13" s="53"/>
      <c r="K13" s="53"/>
      <c r="L13" s="55"/>
      <c r="M13" s="55">
        <v>1</v>
      </c>
      <c r="N13" s="55">
        <v>1</v>
      </c>
      <c r="O13" s="55">
        <v>1</v>
      </c>
      <c r="P13" s="55">
        <v>1</v>
      </c>
      <c r="Q13" s="55">
        <v>1</v>
      </c>
      <c r="R13" s="55">
        <v>1</v>
      </c>
      <c r="S13" s="55">
        <v>1</v>
      </c>
      <c r="T13" s="55">
        <v>1</v>
      </c>
      <c r="U13" s="55">
        <v>1</v>
      </c>
      <c r="V13" s="55">
        <v>1</v>
      </c>
      <c r="W13" s="55"/>
      <c r="X13" s="55"/>
      <c r="Y13" s="55"/>
      <c r="Z13" s="55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10</v>
      </c>
      <c r="AJ13" s="26"/>
      <c r="AK13" s="19"/>
    </row>
    <row r="14" spans="1:38" ht="16.5" customHeight="1">
      <c r="A14" s="19"/>
      <c r="B14" s="25"/>
      <c r="C14" s="50" t="s">
        <v>49</v>
      </c>
      <c r="D14" s="379"/>
      <c r="E14" s="51" t="s">
        <v>57</v>
      </c>
      <c r="F14" s="51" t="s">
        <v>20</v>
      </c>
      <c r="G14" s="51" t="s">
        <v>51</v>
      </c>
      <c r="H14" s="53">
        <v>45720</v>
      </c>
      <c r="I14" s="53">
        <v>45900</v>
      </c>
      <c r="J14" s="53"/>
      <c r="K14" s="53"/>
      <c r="L14" s="55"/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/>
      <c r="T14" s="55"/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6</v>
      </c>
      <c r="AJ14" s="26"/>
      <c r="AK14" s="19"/>
      <c r="AL14" s="19"/>
    </row>
    <row r="15" spans="1:38" ht="16.5" customHeight="1">
      <c r="A15" s="19"/>
      <c r="B15" s="25"/>
      <c r="C15" s="50" t="s">
        <v>49</v>
      </c>
      <c r="D15" s="379"/>
      <c r="E15" s="57" t="s">
        <v>59</v>
      </c>
      <c r="F15" s="57" t="s">
        <v>13</v>
      </c>
      <c r="G15" s="57" t="s">
        <v>59</v>
      </c>
      <c r="H15" s="59">
        <v>45691</v>
      </c>
      <c r="I15" s="59">
        <v>45991</v>
      </c>
      <c r="J15" s="59"/>
      <c r="K15" s="59"/>
      <c r="L15" s="44">
        <v>1</v>
      </c>
      <c r="M15" s="44">
        <v>1</v>
      </c>
      <c r="N15" s="44">
        <v>1</v>
      </c>
      <c r="O15" s="44">
        <v>1</v>
      </c>
      <c r="P15" s="44">
        <v>1</v>
      </c>
      <c r="Q15" s="44">
        <v>1</v>
      </c>
      <c r="R15" s="44">
        <v>1</v>
      </c>
      <c r="S15" s="44">
        <v>1</v>
      </c>
      <c r="T15" s="44">
        <v>1</v>
      </c>
      <c r="U15" s="44">
        <v>1</v>
      </c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  <c r="AL15" s="19"/>
    </row>
    <row r="16" spans="1:38" ht="16.5" customHeight="1">
      <c r="A16" s="19"/>
      <c r="B16" s="25"/>
      <c r="C16" s="50" t="s">
        <v>49</v>
      </c>
      <c r="D16" s="379"/>
      <c r="E16" s="57" t="s">
        <v>59</v>
      </c>
      <c r="F16" s="57" t="s">
        <v>17</v>
      </c>
      <c r="G16" s="103" t="s">
        <v>59</v>
      </c>
      <c r="H16" s="59">
        <v>45691</v>
      </c>
      <c r="I16" s="59">
        <v>45961</v>
      </c>
      <c r="J16" s="59"/>
      <c r="K16" s="59"/>
      <c r="L16" s="44">
        <v>1</v>
      </c>
      <c r="M16" s="44">
        <v>1</v>
      </c>
      <c r="N16" s="44">
        <v>1</v>
      </c>
      <c r="O16" s="44">
        <v>1</v>
      </c>
      <c r="P16" s="44">
        <v>1</v>
      </c>
      <c r="Q16" s="44">
        <v>1</v>
      </c>
      <c r="R16" s="44">
        <v>1</v>
      </c>
      <c r="S16" s="44">
        <v>1</v>
      </c>
      <c r="T16" s="44">
        <v>1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5">
        <f t="shared" ref="AI16:AI17" si="1">SUM(L16:Z16)</f>
        <v>9</v>
      </c>
      <c r="AJ16" s="26"/>
      <c r="AK16" s="19"/>
      <c r="AL16" s="19"/>
    </row>
    <row r="17" spans="1:38" ht="16.5" hidden="1" customHeight="1">
      <c r="A17" s="19"/>
      <c r="B17" s="25"/>
      <c r="C17" s="50" t="s">
        <v>49</v>
      </c>
      <c r="D17" s="379"/>
      <c r="E17" s="57"/>
      <c r="F17" s="57"/>
      <c r="G17" s="57"/>
      <c r="H17" s="59"/>
      <c r="I17" s="59"/>
      <c r="J17" s="59"/>
      <c r="K17" s="59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1"/>
        <v>0</v>
      </c>
      <c r="AJ17" s="26"/>
      <c r="AK17" s="19"/>
      <c r="AL17" s="19"/>
    </row>
    <row r="18" spans="1:38" ht="16.5" hidden="1" customHeight="1">
      <c r="A18" s="19"/>
      <c r="B18" s="25"/>
      <c r="C18" s="50" t="s">
        <v>49</v>
      </c>
      <c r="D18" s="379"/>
      <c r="E18" s="57"/>
      <c r="F18" s="57"/>
      <c r="G18" s="57"/>
      <c r="H18" s="59"/>
      <c r="I18" s="59"/>
      <c r="J18" s="59"/>
      <c r="K18" s="59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22" si="2">SUM(L18:AH18)</f>
        <v>0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80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2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78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si="2"/>
        <v>0</v>
      </c>
      <c r="AJ20" s="26"/>
      <c r="AK20" s="19"/>
    </row>
    <row r="21" spans="1:38" ht="16.5" hidden="1" customHeight="1">
      <c r="A21" s="19"/>
      <c r="B21" s="25"/>
      <c r="C21" s="50" t="s">
        <v>49</v>
      </c>
      <c r="D21" s="379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</row>
    <row r="22" spans="1:38" ht="16.5" hidden="1" customHeight="1">
      <c r="A22" s="19"/>
      <c r="B22" s="25"/>
      <c r="C22" s="50" t="s">
        <v>49</v>
      </c>
      <c r="D22" s="380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customHeight="1">
      <c r="A23" s="19"/>
      <c r="B23" s="25"/>
      <c r="C23" s="61" t="s">
        <v>49</v>
      </c>
      <c r="D23" s="104" t="s">
        <v>60</v>
      </c>
      <c r="E23" s="66"/>
      <c r="F23" s="66"/>
      <c r="G23" s="66"/>
      <c r="H23" s="66"/>
      <c r="I23" s="66" t="s">
        <v>61</v>
      </c>
      <c r="J23" s="67"/>
      <c r="K23" s="67"/>
      <c r="L23" s="68">
        <f t="shared" ref="L23:Z23" si="3">SUM(L7:L22)</f>
        <v>6.5</v>
      </c>
      <c r="M23" s="68">
        <f t="shared" si="3"/>
        <v>9.5</v>
      </c>
      <c r="N23" s="68">
        <f t="shared" si="3"/>
        <v>10</v>
      </c>
      <c r="O23" s="68">
        <f t="shared" si="3"/>
        <v>10</v>
      </c>
      <c r="P23" s="68">
        <f t="shared" si="3"/>
        <v>10</v>
      </c>
      <c r="Q23" s="68">
        <f t="shared" si="3"/>
        <v>10</v>
      </c>
      <c r="R23" s="68">
        <f t="shared" si="3"/>
        <v>10</v>
      </c>
      <c r="S23" s="68">
        <f t="shared" si="3"/>
        <v>8.5</v>
      </c>
      <c r="T23" s="68">
        <f t="shared" si="3"/>
        <v>8</v>
      </c>
      <c r="U23" s="68">
        <f t="shared" si="3"/>
        <v>6</v>
      </c>
      <c r="V23" s="68">
        <f t="shared" si="3"/>
        <v>3.5</v>
      </c>
      <c r="W23" s="68">
        <f t="shared" si="3"/>
        <v>2</v>
      </c>
      <c r="X23" s="68">
        <f t="shared" si="3"/>
        <v>2</v>
      </c>
      <c r="Y23" s="68">
        <f t="shared" si="3"/>
        <v>2</v>
      </c>
      <c r="Z23" s="68">
        <f t="shared" si="3"/>
        <v>1</v>
      </c>
      <c r="AA23" s="68"/>
      <c r="AB23" s="68"/>
      <c r="AC23" s="68"/>
      <c r="AD23" s="68"/>
      <c r="AE23" s="68"/>
      <c r="AF23" s="68"/>
      <c r="AG23" s="68"/>
      <c r="AH23" s="68"/>
      <c r="AI23" s="69">
        <f>SUM(AI7:AI22)</f>
        <v>99</v>
      </c>
      <c r="AJ23" s="26"/>
      <c r="AK23" s="19"/>
    </row>
    <row r="24" spans="1:38" ht="4.5" customHeight="1">
      <c r="A24" s="70"/>
      <c r="B24" s="71"/>
      <c r="C24" s="72"/>
      <c r="D24" s="73"/>
      <c r="E24" s="74"/>
      <c r="F24" s="74"/>
      <c r="G24" s="74"/>
      <c r="H24" s="76"/>
      <c r="I24" s="76"/>
      <c r="J24" s="76"/>
      <c r="K24" s="76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8"/>
      <c r="AK24" s="70"/>
    </row>
    <row r="25" spans="1:38" ht="16.5" customHeight="1">
      <c r="A25" s="19"/>
      <c r="B25" s="25"/>
      <c r="C25" s="38" t="s">
        <v>62</v>
      </c>
      <c r="D25" s="79" t="s">
        <v>54</v>
      </c>
      <c r="E25" s="51" t="s">
        <v>57</v>
      </c>
      <c r="F25" s="51" t="s">
        <v>6</v>
      </c>
      <c r="G25" s="105" t="s">
        <v>56</v>
      </c>
      <c r="H25" s="53">
        <v>45726</v>
      </c>
      <c r="I25" s="53">
        <v>46127</v>
      </c>
      <c r="J25" s="53"/>
      <c r="K25" s="53"/>
      <c r="L25" s="55"/>
      <c r="M25" s="55">
        <v>0.75</v>
      </c>
      <c r="N25" s="55">
        <v>1</v>
      </c>
      <c r="O25" s="55">
        <v>1</v>
      </c>
      <c r="P25" s="55">
        <v>1</v>
      </c>
      <c r="Q25" s="55">
        <v>1</v>
      </c>
      <c r="R25" s="55">
        <v>1</v>
      </c>
      <c r="S25" s="55">
        <v>1</v>
      </c>
      <c r="T25" s="55">
        <v>1</v>
      </c>
      <c r="U25" s="55">
        <v>1</v>
      </c>
      <c r="V25" s="55">
        <v>1</v>
      </c>
      <c r="W25" s="55">
        <v>1</v>
      </c>
      <c r="X25" s="55">
        <v>1</v>
      </c>
      <c r="Y25" s="55">
        <v>1</v>
      </c>
      <c r="Z25" s="55">
        <v>0.5</v>
      </c>
      <c r="AA25" s="44"/>
      <c r="AB25" s="44"/>
      <c r="AC25" s="44"/>
      <c r="AD25" s="44"/>
      <c r="AE25" s="44"/>
      <c r="AF25" s="44"/>
      <c r="AG25" s="44"/>
      <c r="AH25" s="44"/>
      <c r="AI25" s="45">
        <f t="shared" ref="AI25:AI31" si="4">SUM(L25:AH25)</f>
        <v>13.25</v>
      </c>
      <c r="AJ25" s="26"/>
      <c r="AK25" s="19"/>
    </row>
    <row r="26" spans="1:38" ht="16.5" customHeight="1">
      <c r="A26" s="19"/>
      <c r="B26" s="25"/>
      <c r="C26" s="47"/>
      <c r="D26" s="390" t="s">
        <v>63</v>
      </c>
      <c r="E26" s="51" t="s">
        <v>57</v>
      </c>
      <c r="F26" s="51" t="s">
        <v>10</v>
      </c>
      <c r="G26" s="105" t="s">
        <v>56</v>
      </c>
      <c r="H26" s="53">
        <v>45726</v>
      </c>
      <c r="I26" s="53">
        <v>46127</v>
      </c>
      <c r="J26" s="53"/>
      <c r="K26" s="53"/>
      <c r="L26" s="55"/>
      <c r="M26" s="55">
        <v>0.75</v>
      </c>
      <c r="N26" s="55">
        <v>1</v>
      </c>
      <c r="O26" s="55">
        <v>1</v>
      </c>
      <c r="P26" s="55">
        <v>1</v>
      </c>
      <c r="Q26" s="55">
        <v>1</v>
      </c>
      <c r="R26" s="55">
        <v>1</v>
      </c>
      <c r="S26" s="55">
        <v>1</v>
      </c>
      <c r="T26" s="55">
        <v>1</v>
      </c>
      <c r="U26" s="55">
        <v>1</v>
      </c>
      <c r="V26" s="55">
        <v>1</v>
      </c>
      <c r="W26" s="55">
        <v>1</v>
      </c>
      <c r="X26" s="55">
        <v>1</v>
      </c>
      <c r="Y26" s="55">
        <v>1</v>
      </c>
      <c r="Z26" s="55">
        <v>0.5</v>
      </c>
      <c r="AA26" s="44"/>
      <c r="AB26" s="44"/>
      <c r="AC26" s="44"/>
      <c r="AD26" s="44"/>
      <c r="AE26" s="44"/>
      <c r="AF26" s="44"/>
      <c r="AG26" s="44"/>
      <c r="AH26" s="44"/>
      <c r="AI26" s="45">
        <f t="shared" si="4"/>
        <v>13.25</v>
      </c>
      <c r="AJ26" s="26"/>
      <c r="AK26" s="19"/>
    </row>
    <row r="27" spans="1:38" ht="16.5" customHeight="1">
      <c r="A27" s="19"/>
      <c r="B27" s="25"/>
      <c r="C27" s="47"/>
      <c r="D27" s="379"/>
      <c r="E27" s="51" t="s">
        <v>57</v>
      </c>
      <c r="F27" s="51" t="s">
        <v>22</v>
      </c>
      <c r="G27" s="51" t="s">
        <v>51</v>
      </c>
      <c r="H27" s="53">
        <v>45748</v>
      </c>
      <c r="I27" s="53">
        <v>46066</v>
      </c>
      <c r="J27" s="53"/>
      <c r="K27" s="53"/>
      <c r="L27" s="55"/>
      <c r="M27" s="55"/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0.5</v>
      </c>
      <c r="Y27" s="55"/>
      <c r="Z27" s="55"/>
      <c r="AA27" s="44"/>
      <c r="AB27" s="44"/>
      <c r="AC27" s="44"/>
      <c r="AD27" s="44"/>
      <c r="AE27" s="44"/>
      <c r="AF27" s="44"/>
      <c r="AG27" s="44"/>
      <c r="AH27" s="44"/>
      <c r="AI27" s="45">
        <f t="shared" si="4"/>
        <v>10.5</v>
      </c>
      <c r="AJ27" s="26"/>
      <c r="AK27" s="19"/>
    </row>
    <row r="28" spans="1:38" ht="16.5" customHeight="1">
      <c r="A28" s="19"/>
      <c r="B28" s="25"/>
      <c r="C28" s="50" t="s">
        <v>62</v>
      </c>
      <c r="D28" s="379"/>
      <c r="E28" s="57" t="s">
        <v>59</v>
      </c>
      <c r="F28" s="57" t="s">
        <v>14</v>
      </c>
      <c r="G28" s="103" t="s">
        <v>56</v>
      </c>
      <c r="H28" s="59">
        <v>45726</v>
      </c>
      <c r="I28" s="59">
        <v>46127</v>
      </c>
      <c r="J28" s="59"/>
      <c r="K28" s="59"/>
      <c r="L28" s="44"/>
      <c r="M28" s="44">
        <v>0.75</v>
      </c>
      <c r="N28" s="44">
        <v>1</v>
      </c>
      <c r="O28" s="44">
        <v>1</v>
      </c>
      <c r="P28" s="44">
        <v>1</v>
      </c>
      <c r="Q28" s="44">
        <v>1</v>
      </c>
      <c r="R28" s="44">
        <v>1</v>
      </c>
      <c r="S28" s="44">
        <v>1</v>
      </c>
      <c r="T28" s="44">
        <v>1</v>
      </c>
      <c r="U28" s="44">
        <v>1</v>
      </c>
      <c r="V28" s="44">
        <v>1</v>
      </c>
      <c r="W28" s="44">
        <v>1</v>
      </c>
      <c r="X28" s="44">
        <v>1</v>
      </c>
      <c r="Y28" s="44">
        <v>1</v>
      </c>
      <c r="Z28" s="44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50" t="s">
        <v>62</v>
      </c>
      <c r="D29" s="379"/>
      <c r="E29" s="57" t="s">
        <v>59</v>
      </c>
      <c r="F29" s="57" t="s">
        <v>7</v>
      </c>
      <c r="G29" s="103" t="s">
        <v>56</v>
      </c>
      <c r="H29" s="59">
        <v>45748</v>
      </c>
      <c r="I29" s="59">
        <v>45961</v>
      </c>
      <c r="J29" s="59"/>
      <c r="K29" s="59"/>
      <c r="L29" s="44"/>
      <c r="M29" s="44"/>
      <c r="N29" s="44">
        <v>1</v>
      </c>
      <c r="O29" s="44">
        <v>1</v>
      </c>
      <c r="P29" s="44">
        <v>1</v>
      </c>
      <c r="Q29" s="44">
        <v>1</v>
      </c>
      <c r="R29" s="44">
        <v>1</v>
      </c>
      <c r="S29" s="44">
        <v>1</v>
      </c>
      <c r="T29" s="44">
        <v>1</v>
      </c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7</v>
      </c>
      <c r="AJ29" s="26"/>
      <c r="AK29" s="19"/>
    </row>
    <row r="30" spans="1:38" ht="16.5" customHeight="1">
      <c r="A30" s="19"/>
      <c r="B30" s="25"/>
      <c r="C30" s="50" t="s">
        <v>62</v>
      </c>
      <c r="D30" s="379"/>
      <c r="E30" s="57" t="s">
        <v>59</v>
      </c>
      <c r="F30" s="57" t="s">
        <v>18</v>
      </c>
      <c r="G30" s="103" t="s">
        <v>56</v>
      </c>
      <c r="H30" s="59">
        <v>45726</v>
      </c>
      <c r="I30" s="59">
        <v>45989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8.75</v>
      </c>
      <c r="AJ30" s="26"/>
      <c r="AK30" s="19"/>
    </row>
    <row r="31" spans="1:38" ht="16.5" customHeight="1">
      <c r="A31" s="19"/>
      <c r="B31" s="25"/>
      <c r="C31" s="50" t="s">
        <v>62</v>
      </c>
      <c r="D31" s="380"/>
      <c r="E31" s="57" t="s">
        <v>59</v>
      </c>
      <c r="F31" s="57" t="s">
        <v>11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81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hidden="1" customHeight="1">
      <c r="A32" s="19"/>
      <c r="B32" s="25"/>
      <c r="C32" s="50" t="s">
        <v>62</v>
      </c>
      <c r="D32" s="378"/>
      <c r="E32" s="57" t="s">
        <v>51</v>
      </c>
      <c r="F32" s="57"/>
      <c r="G32" s="60"/>
      <c r="H32" s="59"/>
      <c r="I32" s="59"/>
      <c r="J32" s="59"/>
      <c r="K32" s="59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v>0</v>
      </c>
      <c r="AJ32" s="26"/>
      <c r="AK32" s="19"/>
    </row>
    <row r="33" spans="1:37" ht="16.5" hidden="1" customHeight="1">
      <c r="A33" s="19"/>
      <c r="B33" s="25"/>
      <c r="C33" s="50" t="s">
        <v>62</v>
      </c>
      <c r="D33" s="379"/>
      <c r="E33" s="57" t="s">
        <v>57</v>
      </c>
      <c r="F33" s="57"/>
      <c r="G33" s="60"/>
      <c r="H33" s="59"/>
      <c r="I33" s="59"/>
      <c r="J33" s="59"/>
      <c r="K33" s="59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v>0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80"/>
      <c r="E34" s="57" t="s">
        <v>59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78"/>
      <c r="E35" s="57" t="s">
        <v>51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79"/>
      <c r="E36" s="57" t="s">
        <v>57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80"/>
      <c r="E37" s="57" t="s">
        <v>59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91" t="s">
        <v>64</v>
      </c>
      <c r="E38" s="57" t="s">
        <v>51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79"/>
      <c r="E39" s="57" t="s">
        <v>57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80"/>
      <c r="E40" s="57" t="s">
        <v>59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customHeight="1">
      <c r="A41" s="19"/>
      <c r="B41" s="25"/>
      <c r="C41" s="61" t="s">
        <v>62</v>
      </c>
      <c r="D41" s="104" t="s">
        <v>60</v>
      </c>
      <c r="E41" s="66"/>
      <c r="F41" s="66"/>
      <c r="G41" s="66" t="s">
        <v>77</v>
      </c>
      <c r="H41" s="66"/>
      <c r="I41" s="66" t="s">
        <v>61</v>
      </c>
      <c r="J41" s="67"/>
      <c r="K41" s="67"/>
      <c r="L41" s="68">
        <f t="shared" ref="L41:Z41" si="5">SUM(L25:L40)</f>
        <v>0</v>
      </c>
      <c r="M41" s="68">
        <f t="shared" si="5"/>
        <v>3</v>
      </c>
      <c r="N41" s="68">
        <f t="shared" si="5"/>
        <v>7</v>
      </c>
      <c r="O41" s="68">
        <f t="shared" si="5"/>
        <v>7</v>
      </c>
      <c r="P41" s="68">
        <f t="shared" si="5"/>
        <v>7</v>
      </c>
      <c r="Q41" s="68">
        <f t="shared" si="5"/>
        <v>7</v>
      </c>
      <c r="R41" s="68">
        <f t="shared" si="5"/>
        <v>7</v>
      </c>
      <c r="S41" s="68">
        <f t="shared" si="5"/>
        <v>7</v>
      </c>
      <c r="T41" s="68">
        <f t="shared" si="5"/>
        <v>7</v>
      </c>
      <c r="U41" s="68">
        <f t="shared" si="5"/>
        <v>5</v>
      </c>
      <c r="V41" s="68">
        <f t="shared" si="5"/>
        <v>4</v>
      </c>
      <c r="W41" s="68">
        <f t="shared" si="5"/>
        <v>4</v>
      </c>
      <c r="X41" s="68">
        <f t="shared" si="5"/>
        <v>3.5</v>
      </c>
      <c r="Y41" s="68">
        <f t="shared" si="5"/>
        <v>3</v>
      </c>
      <c r="Z41" s="68">
        <f t="shared" si="5"/>
        <v>1.5</v>
      </c>
      <c r="AA41" s="68"/>
      <c r="AB41" s="68"/>
      <c r="AC41" s="68"/>
      <c r="AD41" s="68"/>
      <c r="AE41" s="68"/>
      <c r="AF41" s="68"/>
      <c r="AG41" s="68"/>
      <c r="AH41" s="68"/>
      <c r="AI41" s="69">
        <f>SUM(AI25:AI40)</f>
        <v>73</v>
      </c>
      <c r="AJ41" s="26"/>
      <c r="AK41" s="19"/>
    </row>
    <row r="42" spans="1:37" ht="4.5" customHeight="1">
      <c r="A42" s="70"/>
      <c r="B42" s="71"/>
      <c r="C42" s="72"/>
      <c r="D42" s="73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  <c r="AI42" s="74"/>
      <c r="AJ42" s="78"/>
      <c r="AK42" s="70"/>
    </row>
    <row r="43" spans="1:37" ht="16.5" customHeight="1">
      <c r="A43" s="19"/>
      <c r="B43" s="25"/>
      <c r="C43" s="392" t="s">
        <v>60</v>
      </c>
      <c r="D43" s="393"/>
      <c r="E43" s="394"/>
      <c r="F43" s="84"/>
      <c r="G43" s="85"/>
      <c r="H43" s="85"/>
      <c r="I43" s="85" t="s">
        <v>65</v>
      </c>
      <c r="J43" s="86"/>
      <c r="K43" s="86"/>
      <c r="L43" s="68">
        <f t="shared" ref="L43:Z43" si="6">L23+L41</f>
        <v>6.5</v>
      </c>
      <c r="M43" s="68">
        <f t="shared" si="6"/>
        <v>12.5</v>
      </c>
      <c r="N43" s="68">
        <f t="shared" si="6"/>
        <v>17</v>
      </c>
      <c r="O43" s="68">
        <f t="shared" si="6"/>
        <v>17</v>
      </c>
      <c r="P43" s="68">
        <f t="shared" si="6"/>
        <v>17</v>
      </c>
      <c r="Q43" s="68">
        <f t="shared" si="6"/>
        <v>17</v>
      </c>
      <c r="R43" s="68">
        <f t="shared" si="6"/>
        <v>17</v>
      </c>
      <c r="S43" s="68">
        <f t="shared" si="6"/>
        <v>15.5</v>
      </c>
      <c r="T43" s="68">
        <f t="shared" si="6"/>
        <v>15</v>
      </c>
      <c r="U43" s="68">
        <f t="shared" si="6"/>
        <v>11</v>
      </c>
      <c r="V43" s="68">
        <f t="shared" si="6"/>
        <v>7.5</v>
      </c>
      <c r="W43" s="68">
        <f t="shared" si="6"/>
        <v>6</v>
      </c>
      <c r="X43" s="68">
        <f t="shared" si="6"/>
        <v>5.5</v>
      </c>
      <c r="Y43" s="68">
        <f t="shared" si="6"/>
        <v>5</v>
      </c>
      <c r="Z43" s="68">
        <f t="shared" si="6"/>
        <v>2.5</v>
      </c>
      <c r="AA43" s="68"/>
      <c r="AB43" s="68"/>
      <c r="AC43" s="68"/>
      <c r="AD43" s="68"/>
      <c r="AE43" s="68"/>
      <c r="AF43" s="68"/>
      <c r="AG43" s="68"/>
      <c r="AH43" s="68"/>
      <c r="AI43" s="69">
        <f>AI23+AI41</f>
        <v>172</v>
      </c>
      <c r="AJ43" s="26"/>
      <c r="AK43" s="19"/>
    </row>
    <row r="44" spans="1:37" ht="16.5" customHeight="1">
      <c r="A44" s="19"/>
      <c r="B44" s="87"/>
      <c r="C44" s="88"/>
      <c r="D44" s="88"/>
      <c r="E44" s="89"/>
      <c r="F44" s="89"/>
      <c r="G44" s="89"/>
      <c r="H44" s="89"/>
      <c r="I44" s="88"/>
      <c r="J44" s="88"/>
      <c r="K44" s="90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91"/>
      <c r="AK44" s="19"/>
    </row>
    <row r="45" spans="1:37" ht="16.5" customHeight="1">
      <c r="C45" s="106" t="s">
        <v>78</v>
      </c>
    </row>
    <row r="46" spans="1:37" ht="16.5" customHeight="1">
      <c r="C46" s="106" t="s">
        <v>79</v>
      </c>
    </row>
    <row r="47" spans="1:37" ht="27.75" customHeight="1">
      <c r="A47" s="19"/>
      <c r="B47" s="19"/>
      <c r="C47" s="19"/>
      <c r="D47" s="19"/>
      <c r="E47" s="2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0"/>
      <c r="R47" s="20"/>
      <c r="S47" s="92" t="s">
        <v>66</v>
      </c>
      <c r="X47" s="92" t="s">
        <v>67</v>
      </c>
      <c r="AJ47" s="19"/>
      <c r="AK47" s="19"/>
    </row>
    <row r="48" spans="1:37" ht="16.5" customHeight="1">
      <c r="A48" s="19"/>
      <c r="B48" s="1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0"/>
      <c r="R48" s="20"/>
      <c r="S48" s="93" t="s">
        <v>68</v>
      </c>
      <c r="T48" s="94" t="s">
        <v>69</v>
      </c>
      <c r="U48" s="93" t="s">
        <v>70</v>
      </c>
      <c r="V48" s="93" t="s">
        <v>60</v>
      </c>
      <c r="W48" s="107" t="s">
        <v>80</v>
      </c>
      <c r="X48" s="399" t="s">
        <v>71</v>
      </c>
      <c r="Y48" s="382"/>
      <c r="Z48" s="95">
        <v>172</v>
      </c>
      <c r="AA48" s="108"/>
      <c r="AB48" s="108"/>
      <c r="AC48" s="108"/>
      <c r="AD48" s="108"/>
      <c r="AE48" s="108"/>
      <c r="AF48" s="108"/>
      <c r="AG48" s="108"/>
      <c r="AH48" s="108"/>
      <c r="AJ48" s="19"/>
      <c r="AK48" s="19"/>
    </row>
    <row r="49" spans="6:34" ht="16.5" customHeight="1"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S49" s="384" t="s">
        <v>53</v>
      </c>
      <c r="T49" s="96" t="s">
        <v>51</v>
      </c>
      <c r="U49" s="95">
        <f>SUMIF($E$7:$E$19,"고급",$AI$7:$AI$19)</f>
        <v>55</v>
      </c>
      <c r="V49" s="387">
        <f>SUM(U49:U51)</f>
        <v>99</v>
      </c>
      <c r="W49" s="107">
        <f>'250117 (제출본-최초)'!$U$46-U49</f>
        <v>0</v>
      </c>
      <c r="X49" s="398" t="s">
        <v>81</v>
      </c>
      <c r="Y49" s="382"/>
      <c r="Z49" s="95">
        <f>204.5-Z48</f>
        <v>32.5</v>
      </c>
      <c r="AA49" s="109"/>
      <c r="AB49" s="109"/>
      <c r="AC49" s="109"/>
      <c r="AD49" s="109"/>
      <c r="AE49" s="109"/>
      <c r="AF49" s="109"/>
      <c r="AG49" s="109"/>
      <c r="AH49" s="109"/>
    </row>
    <row r="50" spans="6:34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85"/>
      <c r="T50" s="96" t="s">
        <v>57</v>
      </c>
      <c r="U50" s="95">
        <f>SUMIF($E$7:$E$19,"중급",$AI$7:$AI$19)</f>
        <v>25</v>
      </c>
      <c r="V50" s="385"/>
      <c r="W50" s="107">
        <f>'250117 (제출본-최초)'!$U$47-U50</f>
        <v>0</v>
      </c>
      <c r="X50" s="398" t="s">
        <v>73</v>
      </c>
      <c r="Y50" s="382"/>
      <c r="Z50" s="95">
        <v>204.5</v>
      </c>
      <c r="AA50" s="109"/>
      <c r="AB50" s="109"/>
      <c r="AC50" s="109"/>
      <c r="AD50" s="109"/>
      <c r="AE50" s="109"/>
      <c r="AF50" s="109"/>
      <c r="AG50" s="109"/>
      <c r="AH50" s="109"/>
    </row>
    <row r="51" spans="6:34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86"/>
      <c r="T51" s="96" t="s">
        <v>59</v>
      </c>
      <c r="U51" s="95">
        <f>SUMIF($E$7:$E$19,"초급",$AI$7:$AI$19)</f>
        <v>19</v>
      </c>
      <c r="V51" s="386"/>
      <c r="W51" s="107">
        <f>'250117 (제출본-최초)'!$U$48-U51</f>
        <v>0</v>
      </c>
      <c r="AA51" s="109"/>
      <c r="AB51" s="109"/>
      <c r="AC51" s="109"/>
      <c r="AD51" s="109"/>
      <c r="AE51" s="109"/>
      <c r="AF51" s="109"/>
      <c r="AG51" s="109"/>
      <c r="AH51" s="109"/>
    </row>
    <row r="52" spans="6:34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84" t="s">
        <v>62</v>
      </c>
      <c r="T52" s="96" t="s">
        <v>51</v>
      </c>
      <c r="U52" s="95">
        <f>SUMIF($E$23:$E$31,"고급",$AI$23:$AI$31)</f>
        <v>0</v>
      </c>
      <c r="V52" s="387">
        <f>SUM(U52:U54)</f>
        <v>73</v>
      </c>
      <c r="W52" s="107">
        <f>'250117 (제출본-최초)'!$U$49-U52</f>
        <v>0</v>
      </c>
    </row>
    <row r="53" spans="6:34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85"/>
      <c r="T53" s="96" t="s">
        <v>57</v>
      </c>
      <c r="U53" s="95">
        <f>SUMIF($E$23:$E$31,"중급",$AI$23:$AI$31)</f>
        <v>37</v>
      </c>
      <c r="V53" s="385"/>
      <c r="W53" s="107">
        <f>'250117 (제출본-최초)'!$U$50-U53</f>
        <v>0</v>
      </c>
    </row>
    <row r="54" spans="6:34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86"/>
      <c r="T54" s="96" t="s">
        <v>59</v>
      </c>
      <c r="U54" s="95">
        <f>SUMIF($E$23:$E$31,"초급",$AI$23:$AI$31)</f>
        <v>36</v>
      </c>
      <c r="V54" s="386"/>
      <c r="W54" s="107">
        <f>'250117 (제출본-최초)'!$U$51-U54</f>
        <v>0</v>
      </c>
    </row>
    <row r="55" spans="6:34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88" t="s">
        <v>74</v>
      </c>
      <c r="T55" s="389"/>
      <c r="U55" s="382"/>
      <c r="V55" s="97">
        <f t="shared" ref="V55:W55" si="7">SUM(V49:V54)</f>
        <v>172</v>
      </c>
      <c r="W55" s="107">
        <f t="shared" si="7"/>
        <v>0</v>
      </c>
    </row>
    <row r="56" spans="6:34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6:34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6:34" ht="16.5" customHeight="1"/>
    <row r="59" spans="6:34" ht="16.5" customHeight="1"/>
    <row r="60" spans="6:34" ht="16.5" customHeight="1"/>
    <row r="61" spans="6:34" ht="16.5" customHeight="1"/>
    <row r="62" spans="6:34" ht="16.5" customHeight="1"/>
    <row r="63" spans="6:34" ht="16.5" customHeight="1"/>
    <row r="64" spans="6:3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9">
    <mergeCell ref="S55:U55"/>
    <mergeCell ref="D32:D34"/>
    <mergeCell ref="D35:D37"/>
    <mergeCell ref="D38:D40"/>
    <mergeCell ref="C43:E43"/>
    <mergeCell ref="S49:S51"/>
    <mergeCell ref="D20:D22"/>
    <mergeCell ref="D26:D31"/>
    <mergeCell ref="X49:Y49"/>
    <mergeCell ref="X50:Y50"/>
    <mergeCell ref="S52:S54"/>
    <mergeCell ref="V52:V54"/>
    <mergeCell ref="X48:Y48"/>
    <mergeCell ref="V49:V51"/>
    <mergeCell ref="C3:AI3"/>
    <mergeCell ref="C4:D4"/>
    <mergeCell ref="L5:M5"/>
    <mergeCell ref="N5:W5"/>
    <mergeCell ref="D9:D19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  <pageSetUpPr fitToPage="1"/>
  </sheetPr>
  <dimension ref="A1:AJ965"/>
  <sheetViews>
    <sheetView showGridLines="0" tabSelected="1" zoomScale="120" zoomScaleNormal="120" workbookViewId="0">
      <pane xSplit="11" ySplit="6" topLeftCell="L10" activePane="bottomRight" state="frozen"/>
      <selection pane="topRight" activeCell="L1" sqref="L1"/>
      <selection pane="bottomLeft" activeCell="A7" sqref="A7"/>
      <selection pane="bottomRight" activeCell="T17" sqref="T17"/>
    </sheetView>
  </sheetViews>
  <sheetFormatPr baseColWidth="10" defaultColWidth="14.5" defaultRowHeight="15" customHeight="1"/>
  <cols>
    <col min="1" max="1" width="3.1640625" style="152" customWidth="1"/>
    <col min="2" max="2" width="2.1640625" style="152" customWidth="1"/>
    <col min="3" max="3" width="8.83203125" style="152" customWidth="1"/>
    <col min="4" max="4" width="30.5" style="152" customWidth="1"/>
    <col min="5" max="5" width="7.6640625" style="152" customWidth="1"/>
    <col min="6" max="6" width="15" style="152" customWidth="1"/>
    <col min="7" max="7" width="8.1640625" style="152" customWidth="1"/>
    <col min="8" max="9" width="8.83203125" style="152" customWidth="1"/>
    <col min="10" max="11" width="8.83203125" style="152" hidden="1" customWidth="1"/>
    <col min="12" max="26" width="9.83203125" style="152" customWidth="1"/>
    <col min="27" max="27" width="8.83203125" style="152" customWidth="1"/>
    <col min="28" max="28" width="3.1640625" style="152" customWidth="1"/>
    <col min="29" max="29" width="0.5" style="152" customWidth="1"/>
    <col min="30" max="31" width="11.1640625" style="152" customWidth="1"/>
    <col min="32" max="32" width="34.83203125" style="152" bestFit="1" customWidth="1"/>
    <col min="33" max="33" width="3.33203125" style="152" customWidth="1"/>
    <col min="34" max="34" width="24.83203125" style="152" bestFit="1" customWidth="1"/>
    <col min="35" max="35" width="48" style="152" customWidth="1"/>
    <col min="36" max="36" width="24.1640625" style="152" bestFit="1" customWidth="1"/>
    <col min="37" max="37" width="8.5" style="152" bestFit="1" customWidth="1"/>
    <col min="38" max="38" width="14.5" style="152"/>
    <col min="39" max="39" width="6.83203125" style="152" customWidth="1"/>
    <col min="40" max="40" width="6.5" style="152" bestFit="1" customWidth="1"/>
    <col min="41" max="41" width="7.5" style="152" bestFit="1" customWidth="1"/>
    <col min="42" max="42" width="8.5" style="152" bestFit="1" customWidth="1"/>
    <col min="43" max="16384" width="14.5" style="152"/>
  </cols>
  <sheetData>
    <row r="1" spans="1:36" ht="16.5" customHeight="1" thickBot="1">
      <c r="A1" s="150"/>
      <c r="B1" s="150"/>
      <c r="C1" s="150"/>
      <c r="D1" s="150"/>
      <c r="E1" s="151"/>
      <c r="F1" s="151"/>
      <c r="G1" s="151"/>
      <c r="H1" s="151"/>
      <c r="I1" s="150"/>
      <c r="J1" s="150"/>
      <c r="K1" s="150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0"/>
      <c r="AC1" s="150"/>
    </row>
    <row r="2" spans="1:36" ht="16.5" customHeight="1">
      <c r="A2" s="150"/>
      <c r="B2" s="153"/>
      <c r="C2" s="154"/>
      <c r="D2" s="154"/>
      <c r="E2" s="155"/>
      <c r="F2" s="155"/>
      <c r="G2" s="155"/>
      <c r="H2" s="155"/>
      <c r="I2" s="154"/>
      <c r="J2" s="154"/>
      <c r="K2" s="154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6"/>
      <c r="AC2" s="150"/>
    </row>
    <row r="3" spans="1:36" ht="33" thickBot="1">
      <c r="A3" s="150"/>
      <c r="B3" s="157"/>
      <c r="C3" s="413" t="s">
        <v>154</v>
      </c>
      <c r="D3" s="414"/>
      <c r="E3" s="414"/>
      <c r="F3" s="414"/>
      <c r="G3" s="414"/>
      <c r="H3" s="414"/>
      <c r="I3" s="414"/>
      <c r="J3" s="414"/>
      <c r="K3" s="414"/>
      <c r="L3" s="414"/>
      <c r="M3" s="414"/>
      <c r="N3" s="414"/>
      <c r="O3" s="414"/>
      <c r="P3" s="414"/>
      <c r="Q3" s="414"/>
      <c r="R3" s="414"/>
      <c r="S3" s="414"/>
      <c r="T3" s="414"/>
      <c r="U3" s="414"/>
      <c r="V3" s="414"/>
      <c r="W3" s="414"/>
      <c r="X3" s="414"/>
      <c r="Y3" s="414"/>
      <c r="Z3" s="414"/>
      <c r="AA3" s="415"/>
      <c r="AB3" s="158"/>
      <c r="AC3" s="150"/>
    </row>
    <row r="4" spans="1:36" ht="48" customHeight="1" thickBot="1">
      <c r="A4" s="150"/>
      <c r="B4" s="157"/>
      <c r="C4" s="416">
        <v>45856</v>
      </c>
      <c r="D4" s="417"/>
      <c r="E4" s="159"/>
      <c r="F4" s="159"/>
      <c r="G4" s="159"/>
      <c r="H4" s="159"/>
      <c r="I4" s="159"/>
      <c r="J4" s="159"/>
      <c r="K4" s="159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0"/>
      <c r="Y4" s="160"/>
      <c r="Z4" s="160"/>
      <c r="AA4" s="160"/>
      <c r="AB4" s="158"/>
      <c r="AC4" s="150"/>
      <c r="AD4" s="347" t="s">
        <v>181</v>
      </c>
      <c r="AE4" s="348"/>
      <c r="AF4" s="349"/>
    </row>
    <row r="5" spans="1:36" ht="14.25" customHeight="1">
      <c r="A5" s="150"/>
      <c r="B5" s="157"/>
      <c r="C5" s="161" t="s">
        <v>75</v>
      </c>
      <c r="D5" s="161"/>
      <c r="K5" s="162"/>
      <c r="L5" s="418"/>
      <c r="M5" s="419"/>
      <c r="N5" s="418"/>
      <c r="O5" s="419"/>
      <c r="P5" s="419"/>
      <c r="Q5" s="419"/>
      <c r="R5" s="419"/>
      <c r="S5" s="419"/>
      <c r="T5" s="419"/>
      <c r="U5" s="419"/>
      <c r="V5" s="419"/>
      <c r="W5" s="419"/>
      <c r="X5" s="163"/>
      <c r="Y5" s="163"/>
      <c r="Z5" s="163"/>
      <c r="AA5" s="345" t="s">
        <v>180</v>
      </c>
      <c r="AB5" s="158"/>
      <c r="AC5" s="150"/>
      <c r="AD5" s="164" t="s">
        <v>158</v>
      </c>
      <c r="AE5" s="165">
        <f ca="1">TODAY()</f>
        <v>45860</v>
      </c>
      <c r="AF5" s="350" t="s">
        <v>182</v>
      </c>
    </row>
    <row r="6" spans="1:36" ht="30">
      <c r="A6" s="150"/>
      <c r="B6" s="157"/>
      <c r="C6" s="167" t="s">
        <v>24</v>
      </c>
      <c r="D6" s="167" t="s">
        <v>25</v>
      </c>
      <c r="E6" s="168" t="s">
        <v>26</v>
      </c>
      <c r="F6" s="168" t="s">
        <v>27</v>
      </c>
      <c r="G6" s="168" t="s">
        <v>28</v>
      </c>
      <c r="H6" s="168" t="s">
        <v>29</v>
      </c>
      <c r="I6" s="168" t="s">
        <v>30</v>
      </c>
      <c r="J6" s="168" t="s">
        <v>31</v>
      </c>
      <c r="K6" s="168" t="s">
        <v>32</v>
      </c>
      <c r="L6" s="169" t="s">
        <v>33</v>
      </c>
      <c r="M6" s="169" t="s">
        <v>34</v>
      </c>
      <c r="N6" s="169" t="s">
        <v>35</v>
      </c>
      <c r="O6" s="169" t="s">
        <v>36</v>
      </c>
      <c r="P6" s="169" t="s">
        <v>37</v>
      </c>
      <c r="Q6" s="169" t="s">
        <v>38</v>
      </c>
      <c r="R6" s="169" t="s">
        <v>39</v>
      </c>
      <c r="S6" s="169" t="s">
        <v>40</v>
      </c>
      <c r="T6" s="169" t="s">
        <v>41</v>
      </c>
      <c r="U6" s="169" t="s">
        <v>42</v>
      </c>
      <c r="V6" s="169" t="s">
        <v>43</v>
      </c>
      <c r="W6" s="169" t="s">
        <v>44</v>
      </c>
      <c r="X6" s="169" t="s">
        <v>45</v>
      </c>
      <c r="Y6" s="169" t="s">
        <v>46</v>
      </c>
      <c r="Z6" s="169" t="s">
        <v>47</v>
      </c>
      <c r="AA6" s="346" t="s">
        <v>48</v>
      </c>
      <c r="AB6" s="158"/>
      <c r="AC6" s="150"/>
      <c r="AD6" s="343" t="s">
        <v>145</v>
      </c>
      <c r="AE6" s="344" t="s">
        <v>139</v>
      </c>
      <c r="AF6" s="341" t="s">
        <v>155</v>
      </c>
      <c r="AG6" s="170"/>
      <c r="AH6" s="171" t="s">
        <v>159</v>
      </c>
      <c r="AI6" s="172"/>
      <c r="AJ6" s="172"/>
    </row>
    <row r="7" spans="1:36" ht="16.5" customHeight="1">
      <c r="A7" s="150"/>
      <c r="B7" s="157"/>
      <c r="C7" s="420" t="s">
        <v>49</v>
      </c>
      <c r="D7" s="174" t="s">
        <v>50</v>
      </c>
      <c r="E7" s="175" t="s">
        <v>51</v>
      </c>
      <c r="F7" s="176" t="s">
        <v>5</v>
      </c>
      <c r="G7" s="177" t="s">
        <v>52</v>
      </c>
      <c r="H7" s="178">
        <v>45691</v>
      </c>
      <c r="I7" s="179">
        <v>45831</v>
      </c>
      <c r="J7" s="178"/>
      <c r="K7" s="178"/>
      <c r="L7" s="180">
        <v>1</v>
      </c>
      <c r="M7" s="180">
        <v>1</v>
      </c>
      <c r="N7" s="180">
        <v>1</v>
      </c>
      <c r="O7" s="180">
        <v>1</v>
      </c>
      <c r="P7" s="193">
        <v>0.75</v>
      </c>
      <c r="Q7" s="182"/>
      <c r="R7" s="182"/>
      <c r="S7" s="182"/>
      <c r="T7" s="182"/>
      <c r="U7" s="182"/>
      <c r="V7" s="182"/>
      <c r="W7" s="182"/>
      <c r="X7" s="182"/>
      <c r="Y7" s="182"/>
      <c r="Z7" s="181"/>
      <c r="AA7" s="183">
        <f t="shared" ref="AA7:AA21" si="0">SUM(L7:Z7)</f>
        <v>4.75</v>
      </c>
      <c r="AB7" s="158"/>
      <c r="AC7" s="150"/>
      <c r="AD7" s="184">
        <v>14.5</v>
      </c>
      <c r="AE7" s="185">
        <f>AA7-AD7</f>
        <v>-9.75</v>
      </c>
      <c r="AF7" s="186" t="s">
        <v>160</v>
      </c>
      <c r="AG7" s="170"/>
      <c r="AH7" s="401" t="s">
        <v>104</v>
      </c>
      <c r="AI7" s="187" t="s">
        <v>105</v>
      </c>
      <c r="AJ7" s="187" t="s">
        <v>106</v>
      </c>
    </row>
    <row r="8" spans="1:36" ht="16.5" customHeight="1">
      <c r="A8" s="150"/>
      <c r="B8" s="157"/>
      <c r="C8" s="421"/>
      <c r="D8" s="188"/>
      <c r="E8" s="176" t="s">
        <v>51</v>
      </c>
      <c r="F8" s="176" t="s">
        <v>4</v>
      </c>
      <c r="G8" s="177" t="s">
        <v>52</v>
      </c>
      <c r="H8" s="178">
        <v>45705</v>
      </c>
      <c r="I8" s="178">
        <v>46127</v>
      </c>
      <c r="J8" s="178"/>
      <c r="K8" s="178"/>
      <c r="L8" s="180">
        <v>0.5</v>
      </c>
      <c r="M8" s="180">
        <v>1</v>
      </c>
      <c r="N8" s="180">
        <v>1</v>
      </c>
      <c r="O8" s="180">
        <v>1</v>
      </c>
      <c r="P8" s="180">
        <v>1</v>
      </c>
      <c r="Q8" s="180">
        <v>1</v>
      </c>
      <c r="R8" s="180">
        <v>1</v>
      </c>
      <c r="S8" s="180">
        <v>1</v>
      </c>
      <c r="T8" s="180">
        <v>1</v>
      </c>
      <c r="U8" s="180">
        <v>1</v>
      </c>
      <c r="V8" s="180">
        <v>1</v>
      </c>
      <c r="W8" s="180">
        <v>1</v>
      </c>
      <c r="X8" s="180">
        <v>1</v>
      </c>
      <c r="Y8" s="180">
        <v>1</v>
      </c>
      <c r="Z8" s="180">
        <v>0.5</v>
      </c>
      <c r="AA8" s="189">
        <f t="shared" si="0"/>
        <v>14</v>
      </c>
      <c r="AB8" s="158"/>
      <c r="AC8" s="150"/>
      <c r="AD8" s="190">
        <v>14</v>
      </c>
      <c r="AE8" s="191">
        <f t="shared" ref="AE8:AE21" si="1">AA8-AD8</f>
        <v>0</v>
      </c>
      <c r="AF8" s="186" t="s">
        <v>161</v>
      </c>
      <c r="AG8" s="170"/>
      <c r="AH8" s="402"/>
      <c r="AI8" s="187" t="s">
        <v>107</v>
      </c>
      <c r="AJ8" s="187"/>
    </row>
    <row r="9" spans="1:36" ht="16.5" customHeight="1">
      <c r="A9" s="150"/>
      <c r="B9" s="157"/>
      <c r="C9" s="173" t="s">
        <v>53</v>
      </c>
      <c r="D9" s="174" t="s">
        <v>54</v>
      </c>
      <c r="E9" s="176" t="s">
        <v>51</v>
      </c>
      <c r="F9" s="176" t="s">
        <v>21</v>
      </c>
      <c r="G9" s="192" t="s">
        <v>51</v>
      </c>
      <c r="H9" s="178">
        <v>45733</v>
      </c>
      <c r="I9" s="179">
        <v>46112</v>
      </c>
      <c r="J9" s="178"/>
      <c r="K9" s="178"/>
      <c r="L9" s="180"/>
      <c r="M9" s="180">
        <v>0.5</v>
      </c>
      <c r="N9" s="180">
        <v>1</v>
      </c>
      <c r="O9" s="180">
        <v>1</v>
      </c>
      <c r="P9" s="180">
        <v>1</v>
      </c>
      <c r="Q9" s="180">
        <v>1</v>
      </c>
      <c r="R9" s="180">
        <v>1</v>
      </c>
      <c r="S9" s="193">
        <v>1</v>
      </c>
      <c r="T9" s="194">
        <v>1</v>
      </c>
      <c r="U9" s="194">
        <v>1</v>
      </c>
      <c r="V9" s="194">
        <v>1</v>
      </c>
      <c r="W9" s="194">
        <v>1</v>
      </c>
      <c r="X9" s="194">
        <v>1</v>
      </c>
      <c r="Y9" s="194">
        <v>1</v>
      </c>
      <c r="Z9" s="195"/>
      <c r="AA9" s="183">
        <f t="shared" si="0"/>
        <v>12.5</v>
      </c>
      <c r="AB9" s="158"/>
      <c r="AC9" s="150"/>
      <c r="AD9" s="190">
        <v>6</v>
      </c>
      <c r="AE9" s="196">
        <f t="shared" si="1"/>
        <v>6.5</v>
      </c>
      <c r="AF9" s="197" t="s">
        <v>156</v>
      </c>
      <c r="AG9" s="170"/>
      <c r="AH9" s="402"/>
      <c r="AI9" s="187" t="s">
        <v>108</v>
      </c>
      <c r="AJ9" s="187"/>
    </row>
    <row r="10" spans="1:36" ht="16.5" customHeight="1">
      <c r="A10" s="150"/>
      <c r="B10" s="157"/>
      <c r="C10" s="198"/>
      <c r="D10" s="199" t="s">
        <v>54</v>
      </c>
      <c r="E10" s="176" t="s">
        <v>51</v>
      </c>
      <c r="F10" s="176" t="s">
        <v>15</v>
      </c>
      <c r="G10" s="192" t="s">
        <v>52</v>
      </c>
      <c r="H10" s="178">
        <v>45748</v>
      </c>
      <c r="I10" s="179">
        <v>46112</v>
      </c>
      <c r="J10" s="178"/>
      <c r="K10" s="178"/>
      <c r="L10" s="180"/>
      <c r="M10" s="180"/>
      <c r="N10" s="180">
        <v>1</v>
      </c>
      <c r="O10" s="180">
        <v>1</v>
      </c>
      <c r="P10" s="180">
        <v>1</v>
      </c>
      <c r="Q10" s="180">
        <v>1</v>
      </c>
      <c r="R10" s="180">
        <v>1</v>
      </c>
      <c r="S10" s="180">
        <v>1</v>
      </c>
      <c r="T10" s="180">
        <v>1</v>
      </c>
      <c r="U10" s="194">
        <v>1</v>
      </c>
      <c r="V10" s="194">
        <v>1</v>
      </c>
      <c r="W10" s="194">
        <v>1</v>
      </c>
      <c r="X10" s="200">
        <v>1</v>
      </c>
      <c r="Y10" s="200">
        <v>1</v>
      </c>
      <c r="Z10" s="195"/>
      <c r="AA10" s="183">
        <f t="shared" si="0"/>
        <v>12</v>
      </c>
      <c r="AB10" s="158"/>
      <c r="AC10" s="150"/>
      <c r="AD10" s="201">
        <v>0</v>
      </c>
      <c r="AE10" s="196">
        <f t="shared" si="1"/>
        <v>12</v>
      </c>
      <c r="AF10" s="197" t="s">
        <v>156</v>
      </c>
      <c r="AG10" s="170"/>
      <c r="AH10" s="403"/>
      <c r="AI10" s="187" t="s">
        <v>109</v>
      </c>
      <c r="AJ10" s="187"/>
    </row>
    <row r="11" spans="1:36" ht="16.5" customHeight="1">
      <c r="A11" s="150"/>
      <c r="B11" s="157"/>
      <c r="C11" s="198"/>
      <c r="D11" s="202" t="s">
        <v>143</v>
      </c>
      <c r="E11" s="176" t="s">
        <v>51</v>
      </c>
      <c r="F11" s="176" t="s">
        <v>8</v>
      </c>
      <c r="G11" s="192" t="s">
        <v>52</v>
      </c>
      <c r="H11" s="178">
        <v>45691</v>
      </c>
      <c r="I11" s="178">
        <v>45989</v>
      </c>
      <c r="J11" s="178"/>
      <c r="K11" s="178"/>
      <c r="L11" s="180">
        <v>1</v>
      </c>
      <c r="M11" s="180">
        <v>1</v>
      </c>
      <c r="N11" s="180">
        <v>1</v>
      </c>
      <c r="O11" s="180">
        <v>1</v>
      </c>
      <c r="P11" s="180">
        <v>1</v>
      </c>
      <c r="Q11" s="180">
        <v>1</v>
      </c>
      <c r="R11" s="180">
        <v>1</v>
      </c>
      <c r="S11" s="180">
        <v>1</v>
      </c>
      <c r="T11" s="180">
        <v>1</v>
      </c>
      <c r="U11" s="180">
        <v>1</v>
      </c>
      <c r="V11" s="180"/>
      <c r="W11" s="180"/>
      <c r="X11" s="180"/>
      <c r="Y11" s="180"/>
      <c r="Z11" s="180"/>
      <c r="AA11" s="189">
        <f t="shared" si="0"/>
        <v>10</v>
      </c>
      <c r="AB11" s="158"/>
      <c r="AC11" s="150"/>
      <c r="AD11" s="190">
        <v>10</v>
      </c>
      <c r="AE11" s="191">
        <f t="shared" si="1"/>
        <v>0</v>
      </c>
      <c r="AF11" s="186"/>
      <c r="AG11" s="170"/>
      <c r="AH11" s="401" t="s">
        <v>110</v>
      </c>
      <c r="AI11" s="187" t="s">
        <v>107</v>
      </c>
      <c r="AJ11" s="187"/>
    </row>
    <row r="12" spans="1:36" ht="16.5" customHeight="1">
      <c r="A12" s="150"/>
      <c r="B12" s="157"/>
      <c r="C12" s="198"/>
      <c r="D12" s="203" t="s">
        <v>142</v>
      </c>
      <c r="E12" s="176" t="s">
        <v>51</v>
      </c>
      <c r="F12" s="176" t="s">
        <v>9</v>
      </c>
      <c r="G12" s="177" t="s">
        <v>52</v>
      </c>
      <c r="H12" s="178">
        <v>45691</v>
      </c>
      <c r="I12" s="179">
        <v>45900</v>
      </c>
      <c r="J12" s="178"/>
      <c r="K12" s="178"/>
      <c r="L12" s="180">
        <v>1</v>
      </c>
      <c r="M12" s="180">
        <v>1</v>
      </c>
      <c r="N12" s="180">
        <v>1</v>
      </c>
      <c r="O12" s="180">
        <v>1</v>
      </c>
      <c r="P12" s="180">
        <v>1</v>
      </c>
      <c r="Q12" s="180">
        <v>1</v>
      </c>
      <c r="R12" s="180">
        <v>1</v>
      </c>
      <c r="S12" s="182"/>
      <c r="T12" s="182"/>
      <c r="U12" s="182"/>
      <c r="V12" s="181"/>
      <c r="W12" s="180"/>
      <c r="X12" s="180"/>
      <c r="Y12" s="180"/>
      <c r="Z12" s="180"/>
      <c r="AA12" s="183">
        <f t="shared" si="0"/>
        <v>7</v>
      </c>
      <c r="AB12" s="158"/>
      <c r="AC12" s="150"/>
      <c r="AD12" s="190">
        <v>10.5</v>
      </c>
      <c r="AE12" s="204">
        <f t="shared" si="1"/>
        <v>-3.5</v>
      </c>
      <c r="AF12" s="205" t="s">
        <v>162</v>
      </c>
      <c r="AG12" s="170"/>
      <c r="AH12" s="403"/>
      <c r="AI12" s="187" t="s">
        <v>111</v>
      </c>
      <c r="AJ12" s="187"/>
    </row>
    <row r="13" spans="1:36" ht="16.5" customHeight="1">
      <c r="A13" s="150" t="s">
        <v>86</v>
      </c>
      <c r="B13" s="157"/>
      <c r="C13" s="206" t="s">
        <v>49</v>
      </c>
      <c r="D13" s="203" t="s">
        <v>142</v>
      </c>
      <c r="E13" s="176" t="s">
        <v>51</v>
      </c>
      <c r="F13" s="176" t="s">
        <v>83</v>
      </c>
      <c r="G13" s="192"/>
      <c r="H13" s="207">
        <v>45810</v>
      </c>
      <c r="I13" s="179">
        <v>45817</v>
      </c>
      <c r="J13" s="178"/>
      <c r="K13" s="178"/>
      <c r="L13" s="180"/>
      <c r="M13" s="180"/>
      <c r="N13" s="180"/>
      <c r="O13" s="180"/>
      <c r="P13" s="195">
        <v>0.25</v>
      </c>
      <c r="Q13" s="180"/>
      <c r="R13" s="180"/>
      <c r="S13" s="180"/>
      <c r="T13" s="180"/>
      <c r="U13" s="180"/>
      <c r="V13" s="180"/>
      <c r="W13" s="180"/>
      <c r="X13" s="195"/>
      <c r="Y13" s="195"/>
      <c r="Z13" s="195"/>
      <c r="AA13" s="183">
        <f t="shared" si="0"/>
        <v>0.25</v>
      </c>
      <c r="AB13" s="158"/>
      <c r="AC13" s="150"/>
      <c r="AD13" s="201">
        <v>0</v>
      </c>
      <c r="AE13" s="204">
        <f t="shared" si="1"/>
        <v>0.25</v>
      </c>
      <c r="AF13" s="208" t="s">
        <v>163</v>
      </c>
      <c r="AG13" s="170"/>
      <c r="AH13" s="401" t="s">
        <v>112</v>
      </c>
      <c r="AI13" s="187" t="s">
        <v>113</v>
      </c>
      <c r="AJ13" s="187"/>
    </row>
    <row r="14" spans="1:36" ht="16.5" customHeight="1">
      <c r="A14" s="150"/>
      <c r="B14" s="157"/>
      <c r="C14" s="206" t="s">
        <v>144</v>
      </c>
      <c r="D14" s="203" t="s">
        <v>142</v>
      </c>
      <c r="E14" s="176" t="s">
        <v>51</v>
      </c>
      <c r="F14" s="176" t="s">
        <v>95</v>
      </c>
      <c r="G14" s="192" t="s">
        <v>52</v>
      </c>
      <c r="H14" s="178">
        <v>45824</v>
      </c>
      <c r="I14" s="179">
        <v>45900</v>
      </c>
      <c r="J14" s="178"/>
      <c r="K14" s="178"/>
      <c r="L14" s="180"/>
      <c r="M14" s="180"/>
      <c r="N14" s="180"/>
      <c r="O14" s="180"/>
      <c r="P14" s="195">
        <v>0.5</v>
      </c>
      <c r="Q14" s="195">
        <v>1</v>
      </c>
      <c r="R14" s="195">
        <v>1</v>
      </c>
      <c r="S14" s="180"/>
      <c r="T14" s="180"/>
      <c r="U14" s="180"/>
      <c r="V14" s="180"/>
      <c r="W14" s="180"/>
      <c r="X14" s="195"/>
      <c r="Y14" s="195"/>
      <c r="Z14" s="195"/>
      <c r="AA14" s="183">
        <f t="shared" si="0"/>
        <v>2.5</v>
      </c>
      <c r="AB14" s="158"/>
      <c r="AC14" s="150"/>
      <c r="AD14" s="201">
        <v>0</v>
      </c>
      <c r="AE14" s="204">
        <f t="shared" si="1"/>
        <v>2.5</v>
      </c>
      <c r="AF14" s="186" t="s">
        <v>164</v>
      </c>
      <c r="AG14" s="170"/>
      <c r="AH14" s="403"/>
      <c r="AI14" s="187" t="s">
        <v>107</v>
      </c>
      <c r="AJ14" s="187"/>
    </row>
    <row r="15" spans="1:36" ht="16.5" customHeight="1">
      <c r="A15" s="150" t="s">
        <v>86</v>
      </c>
      <c r="B15" s="157"/>
      <c r="C15" s="206" t="s">
        <v>49</v>
      </c>
      <c r="D15" s="203" t="s">
        <v>142</v>
      </c>
      <c r="E15" s="176" t="s">
        <v>51</v>
      </c>
      <c r="F15" s="176" t="s">
        <v>96</v>
      </c>
      <c r="G15" s="192"/>
      <c r="H15" s="178">
        <v>45824</v>
      </c>
      <c r="I15" s="179">
        <v>46022</v>
      </c>
      <c r="J15" s="178"/>
      <c r="K15" s="178"/>
      <c r="L15" s="180"/>
      <c r="M15" s="180"/>
      <c r="N15" s="180"/>
      <c r="O15" s="180"/>
      <c r="P15" s="195">
        <v>0.5</v>
      </c>
      <c r="Q15" s="195">
        <v>1</v>
      </c>
      <c r="R15" s="195">
        <v>1</v>
      </c>
      <c r="S15" s="195">
        <v>1</v>
      </c>
      <c r="T15" s="195">
        <v>1</v>
      </c>
      <c r="U15" s="195">
        <v>1</v>
      </c>
      <c r="V15" s="195">
        <v>1</v>
      </c>
      <c r="W15" s="180"/>
      <c r="X15" s="195"/>
      <c r="Y15" s="195"/>
      <c r="Z15" s="195"/>
      <c r="AA15" s="183">
        <f t="shared" si="0"/>
        <v>6.5</v>
      </c>
      <c r="AB15" s="158"/>
      <c r="AC15" s="150"/>
      <c r="AD15" s="201">
        <v>0</v>
      </c>
      <c r="AE15" s="196">
        <f t="shared" si="1"/>
        <v>6.5</v>
      </c>
      <c r="AF15" s="197" t="s">
        <v>165</v>
      </c>
      <c r="AG15" s="170"/>
      <c r="AH15" s="172"/>
      <c r="AI15" s="172"/>
      <c r="AJ15" s="172"/>
    </row>
    <row r="16" spans="1:36" ht="16.5" customHeight="1">
      <c r="A16" s="150"/>
      <c r="B16" s="157"/>
      <c r="C16" s="206" t="s">
        <v>49</v>
      </c>
      <c r="D16" s="203" t="s">
        <v>142</v>
      </c>
      <c r="E16" s="176" t="s">
        <v>51</v>
      </c>
      <c r="F16" s="176" t="s">
        <v>19</v>
      </c>
      <c r="G16" s="192" t="s">
        <v>52</v>
      </c>
      <c r="H16" s="178">
        <v>45748</v>
      </c>
      <c r="I16" s="179">
        <v>45961</v>
      </c>
      <c r="J16" s="178"/>
      <c r="K16" s="178"/>
      <c r="L16" s="180"/>
      <c r="M16" s="180"/>
      <c r="N16" s="180">
        <v>1</v>
      </c>
      <c r="O16" s="180">
        <v>1</v>
      </c>
      <c r="P16" s="180">
        <v>1</v>
      </c>
      <c r="Q16" s="180">
        <v>1</v>
      </c>
      <c r="R16" s="180">
        <v>1</v>
      </c>
      <c r="S16" s="180">
        <v>1</v>
      </c>
      <c r="T16" s="180">
        <v>1</v>
      </c>
      <c r="U16" s="180"/>
      <c r="V16" s="180"/>
      <c r="W16" s="180"/>
      <c r="X16" s="195"/>
      <c r="Y16" s="195"/>
      <c r="Z16" s="195"/>
      <c r="AA16" s="209">
        <f t="shared" si="0"/>
        <v>7</v>
      </c>
      <c r="AB16" s="158"/>
      <c r="AC16" s="150"/>
      <c r="AD16" s="201">
        <v>0</v>
      </c>
      <c r="AE16" s="196">
        <f t="shared" si="1"/>
        <v>7</v>
      </c>
      <c r="AF16" s="186" t="s">
        <v>164</v>
      </c>
      <c r="AG16" s="170"/>
      <c r="AH16" s="210"/>
      <c r="AI16" s="210"/>
      <c r="AJ16" s="172"/>
    </row>
    <row r="17" spans="1:36" ht="16.5" customHeight="1">
      <c r="A17" s="150"/>
      <c r="B17" s="157"/>
      <c r="C17" s="206" t="s">
        <v>49</v>
      </c>
      <c r="D17" s="203" t="s">
        <v>142</v>
      </c>
      <c r="E17" s="211" t="s">
        <v>57</v>
      </c>
      <c r="F17" s="211" t="s">
        <v>12</v>
      </c>
      <c r="G17" s="212" t="s">
        <v>51</v>
      </c>
      <c r="H17" s="213">
        <v>45691</v>
      </c>
      <c r="I17" s="214">
        <v>45930</v>
      </c>
      <c r="J17" s="215"/>
      <c r="K17" s="215"/>
      <c r="L17" s="216">
        <v>1</v>
      </c>
      <c r="M17" s="216">
        <v>1</v>
      </c>
      <c r="N17" s="216">
        <v>1</v>
      </c>
      <c r="O17" s="216">
        <v>1</v>
      </c>
      <c r="P17" s="216">
        <v>1</v>
      </c>
      <c r="Q17" s="216">
        <v>1</v>
      </c>
      <c r="R17" s="216">
        <v>1</v>
      </c>
      <c r="S17" s="216">
        <v>1</v>
      </c>
      <c r="T17" s="217"/>
      <c r="U17" s="216"/>
      <c r="V17" s="216"/>
      <c r="W17" s="216"/>
      <c r="X17" s="216"/>
      <c r="Y17" s="216"/>
      <c r="Z17" s="216"/>
      <c r="AA17" s="183">
        <f t="shared" si="0"/>
        <v>8</v>
      </c>
      <c r="AB17" s="158"/>
      <c r="AC17" s="150"/>
      <c r="AD17" s="190">
        <v>9</v>
      </c>
      <c r="AE17" s="204">
        <f t="shared" si="1"/>
        <v>-1</v>
      </c>
      <c r="AF17" s="205" t="s">
        <v>166</v>
      </c>
      <c r="AG17" s="170"/>
      <c r="AH17" s="171" t="s">
        <v>167</v>
      </c>
      <c r="AI17" s="172"/>
      <c r="AJ17" s="172"/>
    </row>
    <row r="18" spans="1:36" ht="16.5" customHeight="1">
      <c r="A18" s="150"/>
      <c r="B18" s="157"/>
      <c r="C18" s="206" t="s">
        <v>49</v>
      </c>
      <c r="D18" s="203" t="s">
        <v>142</v>
      </c>
      <c r="E18" s="211" t="s">
        <v>57</v>
      </c>
      <c r="F18" s="211" t="s">
        <v>16</v>
      </c>
      <c r="G18" s="212" t="s">
        <v>51</v>
      </c>
      <c r="H18" s="213">
        <v>45720</v>
      </c>
      <c r="I18" s="214">
        <v>45900</v>
      </c>
      <c r="J18" s="215"/>
      <c r="K18" s="215"/>
      <c r="L18" s="216"/>
      <c r="M18" s="216">
        <v>1</v>
      </c>
      <c r="N18" s="216">
        <v>1</v>
      </c>
      <c r="O18" s="216">
        <v>1</v>
      </c>
      <c r="P18" s="216">
        <v>1</v>
      </c>
      <c r="Q18" s="216">
        <v>1</v>
      </c>
      <c r="R18" s="216">
        <v>1</v>
      </c>
      <c r="S18" s="217"/>
      <c r="T18" s="217"/>
      <c r="U18" s="217"/>
      <c r="V18" s="217"/>
      <c r="W18" s="216"/>
      <c r="X18" s="216"/>
      <c r="Y18" s="216"/>
      <c r="Z18" s="216"/>
      <c r="AA18" s="183">
        <f t="shared" si="0"/>
        <v>6</v>
      </c>
      <c r="AB18" s="158"/>
      <c r="AC18" s="150"/>
      <c r="AD18" s="190">
        <v>10</v>
      </c>
      <c r="AE18" s="204">
        <f t="shared" si="1"/>
        <v>-4</v>
      </c>
      <c r="AF18" s="205" t="s">
        <v>166</v>
      </c>
      <c r="AG18" s="170"/>
      <c r="AH18" s="218" t="s">
        <v>15</v>
      </c>
      <c r="AI18" s="187" t="s">
        <v>114</v>
      </c>
      <c r="AJ18" s="172"/>
    </row>
    <row r="19" spans="1:36" ht="16.5" customHeight="1">
      <c r="A19" s="150"/>
      <c r="B19" s="157"/>
      <c r="C19" s="206" t="s">
        <v>49</v>
      </c>
      <c r="D19" s="203" t="s">
        <v>142</v>
      </c>
      <c r="E19" s="211" t="s">
        <v>57</v>
      </c>
      <c r="F19" s="211" t="s">
        <v>20</v>
      </c>
      <c r="G19" s="212" t="s">
        <v>51</v>
      </c>
      <c r="H19" s="213">
        <v>45720</v>
      </c>
      <c r="I19" s="214">
        <v>46022</v>
      </c>
      <c r="J19" s="215"/>
      <c r="K19" s="215"/>
      <c r="L19" s="216"/>
      <c r="M19" s="216">
        <v>1</v>
      </c>
      <c r="N19" s="216">
        <v>1</v>
      </c>
      <c r="O19" s="216">
        <v>1</v>
      </c>
      <c r="P19" s="216">
        <v>1</v>
      </c>
      <c r="Q19" s="216">
        <v>1</v>
      </c>
      <c r="R19" s="216">
        <v>1</v>
      </c>
      <c r="S19" s="219">
        <v>1</v>
      </c>
      <c r="T19" s="219">
        <v>1</v>
      </c>
      <c r="U19" s="219">
        <v>1</v>
      </c>
      <c r="V19" s="219">
        <v>1</v>
      </c>
      <c r="W19" s="216"/>
      <c r="X19" s="216"/>
      <c r="Y19" s="216"/>
      <c r="Z19" s="216"/>
      <c r="AA19" s="183">
        <f t="shared" si="0"/>
        <v>10</v>
      </c>
      <c r="AB19" s="158"/>
      <c r="AC19" s="150"/>
      <c r="AD19" s="190">
        <v>6</v>
      </c>
      <c r="AE19" s="204">
        <f t="shared" si="1"/>
        <v>4</v>
      </c>
      <c r="AF19" s="197" t="s">
        <v>168</v>
      </c>
      <c r="AG19" s="170"/>
      <c r="AH19" s="210" t="s">
        <v>8</v>
      </c>
      <c r="AI19" s="220" t="s">
        <v>115</v>
      </c>
      <c r="AJ19" s="172"/>
    </row>
    <row r="20" spans="1:36" ht="16.5" customHeight="1">
      <c r="A20" s="150"/>
      <c r="B20" s="157"/>
      <c r="C20" s="206" t="s">
        <v>49</v>
      </c>
      <c r="D20" s="203" t="s">
        <v>142</v>
      </c>
      <c r="E20" s="221" t="s">
        <v>59</v>
      </c>
      <c r="F20" s="221" t="s">
        <v>13</v>
      </c>
      <c r="G20" s="222"/>
      <c r="H20" s="223">
        <v>45691</v>
      </c>
      <c r="I20" s="224">
        <v>45930</v>
      </c>
      <c r="J20" s="225"/>
      <c r="K20" s="225"/>
      <c r="L20" s="226">
        <v>1</v>
      </c>
      <c r="M20" s="226">
        <v>1</v>
      </c>
      <c r="N20" s="226">
        <v>1</v>
      </c>
      <c r="O20" s="226">
        <v>1</v>
      </c>
      <c r="P20" s="226">
        <v>1</v>
      </c>
      <c r="Q20" s="226">
        <v>1</v>
      </c>
      <c r="R20" s="436">
        <v>1</v>
      </c>
      <c r="S20" s="436">
        <v>1</v>
      </c>
      <c r="T20" s="227"/>
      <c r="U20" s="227"/>
      <c r="V20" s="226"/>
      <c r="W20" s="226"/>
      <c r="X20" s="226"/>
      <c r="Y20" s="226"/>
      <c r="Z20" s="226"/>
      <c r="AA20" s="183">
        <f t="shared" si="0"/>
        <v>8</v>
      </c>
      <c r="AB20" s="158"/>
      <c r="AC20" s="150"/>
      <c r="AD20" s="190">
        <v>10</v>
      </c>
      <c r="AE20" s="204">
        <f t="shared" si="1"/>
        <v>-2</v>
      </c>
      <c r="AF20" s="205" t="s">
        <v>169</v>
      </c>
      <c r="AG20" s="170"/>
      <c r="AH20" s="210" t="s">
        <v>20</v>
      </c>
      <c r="AI20" s="220" t="s">
        <v>116</v>
      </c>
      <c r="AJ20" s="172"/>
    </row>
    <row r="21" spans="1:36" ht="16.5" customHeight="1">
      <c r="A21" s="150"/>
      <c r="B21" s="157"/>
      <c r="C21" s="206" t="s">
        <v>49</v>
      </c>
      <c r="D21" s="203" t="s">
        <v>142</v>
      </c>
      <c r="E21" s="221" t="s">
        <v>59</v>
      </c>
      <c r="F21" s="221" t="s">
        <v>17</v>
      </c>
      <c r="G21" s="228"/>
      <c r="H21" s="223">
        <v>45691</v>
      </c>
      <c r="I21" s="224">
        <v>46022</v>
      </c>
      <c r="J21" s="225"/>
      <c r="K21" s="225"/>
      <c r="L21" s="226">
        <v>1</v>
      </c>
      <c r="M21" s="226">
        <v>1</v>
      </c>
      <c r="N21" s="226">
        <v>1</v>
      </c>
      <c r="O21" s="226">
        <v>1</v>
      </c>
      <c r="P21" s="226">
        <v>1</v>
      </c>
      <c r="Q21" s="226">
        <v>1</v>
      </c>
      <c r="R21" s="226">
        <v>1</v>
      </c>
      <c r="S21" s="226">
        <v>1</v>
      </c>
      <c r="T21" s="226">
        <v>1</v>
      </c>
      <c r="U21" s="229">
        <v>1</v>
      </c>
      <c r="V21" s="229">
        <v>1</v>
      </c>
      <c r="W21" s="226"/>
      <c r="X21" s="226"/>
      <c r="Y21" s="226"/>
      <c r="Z21" s="226"/>
      <c r="AA21" s="183">
        <f t="shared" si="0"/>
        <v>11</v>
      </c>
      <c r="AB21" s="158"/>
      <c r="AC21" s="150"/>
      <c r="AD21" s="230">
        <v>9</v>
      </c>
      <c r="AE21" s="231">
        <f t="shared" si="1"/>
        <v>2</v>
      </c>
      <c r="AF21" s="232" t="s">
        <v>170</v>
      </c>
      <c r="AG21" s="170"/>
      <c r="AH21" s="210" t="s">
        <v>19</v>
      </c>
      <c r="AI21" s="220" t="s">
        <v>117</v>
      </c>
      <c r="AJ21" s="172"/>
    </row>
    <row r="22" spans="1:36" ht="16.5" customHeight="1">
      <c r="A22" s="150"/>
      <c r="B22" s="157"/>
      <c r="C22" s="233" t="s">
        <v>49</v>
      </c>
      <c r="D22" s="234" t="s">
        <v>60</v>
      </c>
      <c r="E22" s="235"/>
      <c r="F22" s="235"/>
      <c r="G22" s="235"/>
      <c r="H22" s="235"/>
      <c r="I22" s="235" t="s">
        <v>61</v>
      </c>
      <c r="J22" s="236"/>
      <c r="K22" s="236"/>
      <c r="L22" s="237">
        <f t="shared" ref="L22:AA22" si="2">SUM(L7:L21)</f>
        <v>6.5</v>
      </c>
      <c r="M22" s="237">
        <f t="shared" si="2"/>
        <v>9.5</v>
      </c>
      <c r="N22" s="237">
        <f t="shared" si="2"/>
        <v>12</v>
      </c>
      <c r="O22" s="237">
        <f t="shared" si="2"/>
        <v>12</v>
      </c>
      <c r="P22" s="237">
        <f t="shared" si="2"/>
        <v>13</v>
      </c>
      <c r="Q22" s="237">
        <f t="shared" si="2"/>
        <v>13</v>
      </c>
      <c r="R22" s="237">
        <f t="shared" si="2"/>
        <v>13</v>
      </c>
      <c r="S22" s="237">
        <f t="shared" si="2"/>
        <v>10</v>
      </c>
      <c r="T22" s="237">
        <f t="shared" si="2"/>
        <v>8</v>
      </c>
      <c r="U22" s="237">
        <f t="shared" si="2"/>
        <v>7</v>
      </c>
      <c r="V22" s="237">
        <f t="shared" si="2"/>
        <v>6</v>
      </c>
      <c r="W22" s="237">
        <f t="shared" si="2"/>
        <v>3</v>
      </c>
      <c r="X22" s="237">
        <f t="shared" si="2"/>
        <v>3</v>
      </c>
      <c r="Y22" s="237">
        <f t="shared" si="2"/>
        <v>3</v>
      </c>
      <c r="Z22" s="237">
        <f t="shared" si="2"/>
        <v>0.5</v>
      </c>
      <c r="AA22" s="238">
        <f t="shared" si="2"/>
        <v>119.5</v>
      </c>
      <c r="AB22" s="158"/>
      <c r="AC22" s="150"/>
      <c r="AD22" s="239">
        <f>SUM(AD7:AD21)</f>
        <v>99</v>
      </c>
      <c r="AE22" s="240">
        <f>SUM(AE7:AE21)</f>
        <v>20.5</v>
      </c>
      <c r="AF22" s="166"/>
      <c r="AH22" s="210" t="s">
        <v>118</v>
      </c>
      <c r="AI22" s="220" t="s">
        <v>119</v>
      </c>
      <c r="AJ22" s="172"/>
    </row>
    <row r="23" spans="1:36" ht="17">
      <c r="A23" s="241"/>
      <c r="B23" s="242"/>
      <c r="C23" s="243"/>
      <c r="D23" s="244"/>
      <c r="E23" s="245"/>
      <c r="F23" s="245"/>
      <c r="G23" s="245"/>
      <c r="H23" s="246"/>
      <c r="I23" s="246"/>
      <c r="J23" s="246"/>
      <c r="K23" s="246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  <c r="X23" s="245"/>
      <c r="Y23" s="245"/>
      <c r="Z23" s="245"/>
      <c r="AA23" s="245"/>
      <c r="AB23" s="247"/>
      <c r="AC23" s="241"/>
      <c r="AD23" s="248"/>
      <c r="AE23" s="249"/>
      <c r="AF23" s="166"/>
      <c r="AH23" s="210" t="s">
        <v>120</v>
      </c>
      <c r="AI23" s="220" t="s">
        <v>121</v>
      </c>
      <c r="AJ23" s="172"/>
    </row>
    <row r="24" spans="1:36" ht="16.5" customHeight="1">
      <c r="A24" s="150"/>
      <c r="B24" s="157"/>
      <c r="C24" s="250" t="s">
        <v>62</v>
      </c>
      <c r="D24" s="251" t="s">
        <v>54</v>
      </c>
      <c r="E24" s="252" t="s">
        <v>57</v>
      </c>
      <c r="F24" s="252" t="s">
        <v>6</v>
      </c>
      <c r="G24" s="253"/>
      <c r="H24" s="215">
        <v>45726</v>
      </c>
      <c r="I24" s="215">
        <v>46127</v>
      </c>
      <c r="J24" s="215"/>
      <c r="K24" s="215"/>
      <c r="L24" s="216"/>
      <c r="M24" s="216">
        <v>0.75</v>
      </c>
      <c r="N24" s="216">
        <v>1</v>
      </c>
      <c r="O24" s="216">
        <v>1</v>
      </c>
      <c r="P24" s="216">
        <v>1</v>
      </c>
      <c r="Q24" s="216">
        <v>1</v>
      </c>
      <c r="R24" s="216">
        <v>1</v>
      </c>
      <c r="S24" s="216">
        <v>1</v>
      </c>
      <c r="T24" s="216">
        <v>1</v>
      </c>
      <c r="U24" s="216">
        <v>1</v>
      </c>
      <c r="V24" s="216">
        <v>1</v>
      </c>
      <c r="W24" s="216">
        <v>1</v>
      </c>
      <c r="X24" s="216">
        <v>1</v>
      </c>
      <c r="Y24" s="216">
        <v>1</v>
      </c>
      <c r="Z24" s="216">
        <v>0.5</v>
      </c>
      <c r="AA24" s="189">
        <f t="shared" ref="AA24:AA34" si="3">SUM(L24:Z24)</f>
        <v>13.25</v>
      </c>
      <c r="AB24" s="158"/>
      <c r="AC24" s="150"/>
      <c r="AD24" s="254">
        <v>13.25</v>
      </c>
      <c r="AE24" s="255">
        <f t="shared" ref="AE24:AE34" si="4">AA24-AD24</f>
        <v>0</v>
      </c>
      <c r="AF24" s="166"/>
      <c r="AG24" s="170"/>
      <c r="AH24" s="218" t="s">
        <v>21</v>
      </c>
      <c r="AI24" s="187" t="s">
        <v>122</v>
      </c>
      <c r="AJ24" s="172"/>
    </row>
    <row r="25" spans="1:36" ht="16.5" customHeight="1">
      <c r="A25" s="150"/>
      <c r="B25" s="157"/>
      <c r="C25" s="256"/>
      <c r="D25" s="202" t="s">
        <v>63</v>
      </c>
      <c r="E25" s="252" t="s">
        <v>57</v>
      </c>
      <c r="F25" s="252" t="s">
        <v>10</v>
      </c>
      <c r="G25" s="253"/>
      <c r="H25" s="215">
        <v>45726</v>
      </c>
      <c r="I25" s="215">
        <v>46127</v>
      </c>
      <c r="J25" s="215"/>
      <c r="K25" s="215"/>
      <c r="L25" s="216"/>
      <c r="M25" s="216">
        <v>0.75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>
        <v>1</v>
      </c>
      <c r="U25" s="216">
        <v>1</v>
      </c>
      <c r="V25" s="216">
        <v>1</v>
      </c>
      <c r="W25" s="216">
        <v>1</v>
      </c>
      <c r="X25" s="216">
        <v>1</v>
      </c>
      <c r="Y25" s="216">
        <v>1</v>
      </c>
      <c r="Z25" s="216">
        <v>0.5</v>
      </c>
      <c r="AA25" s="189">
        <f t="shared" si="3"/>
        <v>13.25</v>
      </c>
      <c r="AB25" s="158"/>
      <c r="AC25" s="150"/>
      <c r="AD25" s="257">
        <v>13.25</v>
      </c>
      <c r="AE25" s="191">
        <f t="shared" si="4"/>
        <v>0</v>
      </c>
      <c r="AF25" s="166"/>
      <c r="AG25" s="170"/>
      <c r="AH25" s="210" t="s">
        <v>13</v>
      </c>
      <c r="AI25" s="220" t="s">
        <v>123</v>
      </c>
      <c r="AJ25" s="172"/>
    </row>
    <row r="26" spans="1:36" ht="16.5" customHeight="1">
      <c r="A26" s="150"/>
      <c r="B26" s="157"/>
      <c r="C26" s="256"/>
      <c r="D26" s="203" t="s">
        <v>63</v>
      </c>
      <c r="E26" s="252" t="s">
        <v>57</v>
      </c>
      <c r="F26" s="252" t="s">
        <v>22</v>
      </c>
      <c r="G26" s="253"/>
      <c r="H26" s="215">
        <v>45748</v>
      </c>
      <c r="I26" s="214">
        <v>45877</v>
      </c>
      <c r="J26" s="215"/>
      <c r="K26" s="215"/>
      <c r="L26" s="216"/>
      <c r="M26" s="216"/>
      <c r="N26" s="216">
        <v>1</v>
      </c>
      <c r="O26" s="216">
        <v>1</v>
      </c>
      <c r="P26" s="216">
        <v>1</v>
      </c>
      <c r="Q26" s="216">
        <v>1</v>
      </c>
      <c r="R26" s="258">
        <v>0.25</v>
      </c>
      <c r="S26" s="259"/>
      <c r="T26" s="259"/>
      <c r="U26" s="259"/>
      <c r="V26" s="260"/>
      <c r="W26" s="260"/>
      <c r="X26" s="261"/>
      <c r="Y26" s="216"/>
      <c r="Z26" s="216"/>
      <c r="AA26" s="183">
        <f t="shared" si="3"/>
        <v>4.25</v>
      </c>
      <c r="AB26" s="158"/>
      <c r="AC26" s="150"/>
      <c r="AD26" s="257">
        <v>10.5</v>
      </c>
      <c r="AE26" s="196">
        <f t="shared" si="4"/>
        <v>-6.25</v>
      </c>
      <c r="AF26" s="205" t="s">
        <v>157</v>
      </c>
      <c r="AG26" s="170"/>
      <c r="AH26" s="210" t="s">
        <v>17</v>
      </c>
      <c r="AI26" s="220" t="s">
        <v>124</v>
      </c>
      <c r="AJ26" s="172"/>
    </row>
    <row r="27" spans="1:36" ht="16.5" customHeight="1">
      <c r="A27" s="150"/>
      <c r="B27" s="157"/>
      <c r="C27" s="206" t="s">
        <v>62</v>
      </c>
      <c r="D27" s="203" t="s">
        <v>63</v>
      </c>
      <c r="E27" s="262" t="s">
        <v>59</v>
      </c>
      <c r="F27" s="262" t="s">
        <v>14</v>
      </c>
      <c r="G27" s="263"/>
      <c r="H27" s="225">
        <v>45726</v>
      </c>
      <c r="I27" s="224">
        <v>45877</v>
      </c>
      <c r="J27" s="225"/>
      <c r="K27" s="225"/>
      <c r="L27" s="226"/>
      <c r="M27" s="226">
        <v>0.75</v>
      </c>
      <c r="N27" s="226">
        <v>1</v>
      </c>
      <c r="O27" s="226">
        <v>1</v>
      </c>
      <c r="P27" s="226">
        <v>1</v>
      </c>
      <c r="Q27" s="226">
        <v>1</v>
      </c>
      <c r="R27" s="264">
        <v>0.25</v>
      </c>
      <c r="S27" s="265"/>
      <c r="T27" s="265"/>
      <c r="U27" s="265"/>
      <c r="V27" s="265"/>
      <c r="W27" s="265"/>
      <c r="X27" s="265"/>
      <c r="Y27" s="265"/>
      <c r="Z27" s="266"/>
      <c r="AA27" s="183">
        <f t="shared" si="3"/>
        <v>5</v>
      </c>
      <c r="AB27" s="158"/>
      <c r="AC27" s="150"/>
      <c r="AD27" s="257">
        <v>13.25</v>
      </c>
      <c r="AE27" s="196">
        <f>AA27-AD27</f>
        <v>-8.25</v>
      </c>
      <c r="AF27" s="205" t="s">
        <v>171</v>
      </c>
      <c r="AG27" s="170"/>
    </row>
    <row r="28" spans="1:36" ht="16.5" customHeight="1">
      <c r="A28" s="150"/>
      <c r="B28" s="157"/>
      <c r="C28" s="206" t="s">
        <v>62</v>
      </c>
      <c r="D28" s="203" t="s">
        <v>63</v>
      </c>
      <c r="E28" s="262" t="s">
        <v>59</v>
      </c>
      <c r="F28" s="262" t="s">
        <v>18</v>
      </c>
      <c r="G28" s="263"/>
      <c r="H28" s="225">
        <v>45726</v>
      </c>
      <c r="I28" s="224">
        <v>46094</v>
      </c>
      <c r="J28" s="225"/>
      <c r="K28" s="225"/>
      <c r="L28" s="226"/>
      <c r="M28" s="226">
        <v>0.75</v>
      </c>
      <c r="N28" s="226">
        <v>1</v>
      </c>
      <c r="O28" s="226">
        <v>1</v>
      </c>
      <c r="P28" s="226">
        <v>1</v>
      </c>
      <c r="Q28" s="226">
        <v>1</v>
      </c>
      <c r="R28" s="226">
        <v>1</v>
      </c>
      <c r="S28" s="226">
        <v>1</v>
      </c>
      <c r="T28" s="226">
        <v>1</v>
      </c>
      <c r="U28" s="226">
        <v>1</v>
      </c>
      <c r="V28" s="258">
        <v>1</v>
      </c>
      <c r="W28" s="258">
        <v>1</v>
      </c>
      <c r="X28" s="258">
        <v>1</v>
      </c>
      <c r="Y28" s="258">
        <v>0.5</v>
      </c>
      <c r="Z28" s="226"/>
      <c r="AA28" s="183">
        <f t="shared" si="3"/>
        <v>12.25</v>
      </c>
      <c r="AB28" s="158"/>
      <c r="AC28" s="150"/>
      <c r="AD28" s="257">
        <v>8.75</v>
      </c>
      <c r="AE28" s="204">
        <f>AA28-AD28</f>
        <v>3.5</v>
      </c>
      <c r="AF28" s="267" t="s">
        <v>136</v>
      </c>
      <c r="AG28" s="170"/>
    </row>
    <row r="29" spans="1:36" ht="16.5" customHeight="1">
      <c r="A29" s="150"/>
      <c r="B29" s="157"/>
      <c r="C29" s="206" t="s">
        <v>62</v>
      </c>
      <c r="D29" s="203" t="s">
        <v>63</v>
      </c>
      <c r="E29" s="262" t="s">
        <v>59</v>
      </c>
      <c r="F29" s="262" t="s">
        <v>84</v>
      </c>
      <c r="G29" s="263"/>
      <c r="H29" s="225">
        <v>45810</v>
      </c>
      <c r="I29" s="224">
        <v>45991</v>
      </c>
      <c r="J29" s="225"/>
      <c r="K29" s="225"/>
      <c r="L29" s="226"/>
      <c r="M29" s="226"/>
      <c r="N29" s="226"/>
      <c r="O29" s="226"/>
      <c r="P29" s="268">
        <v>1</v>
      </c>
      <c r="Q29" s="268">
        <v>1</v>
      </c>
      <c r="R29" s="269">
        <v>1</v>
      </c>
      <c r="S29" s="269">
        <v>1</v>
      </c>
      <c r="T29" s="264">
        <v>1</v>
      </c>
      <c r="U29" s="264">
        <v>1</v>
      </c>
      <c r="V29" s="226"/>
      <c r="W29" s="226"/>
      <c r="X29" s="226"/>
      <c r="Y29" s="226"/>
      <c r="Z29" s="226"/>
      <c r="AA29" s="183">
        <f t="shared" si="3"/>
        <v>6</v>
      </c>
      <c r="AB29" s="158"/>
      <c r="AC29" s="150"/>
      <c r="AD29" s="270">
        <v>0</v>
      </c>
      <c r="AE29" s="204">
        <f t="shared" si="4"/>
        <v>6</v>
      </c>
      <c r="AF29" s="267" t="s">
        <v>137</v>
      </c>
      <c r="AG29" s="170"/>
    </row>
    <row r="30" spans="1:36" ht="16.5" customHeight="1">
      <c r="A30" s="150"/>
      <c r="B30" s="157"/>
      <c r="C30" s="206" t="s">
        <v>62</v>
      </c>
      <c r="D30" s="203" t="s">
        <v>63</v>
      </c>
      <c r="E30" s="262" t="s">
        <v>59</v>
      </c>
      <c r="F30" s="262" t="s">
        <v>85</v>
      </c>
      <c r="G30" s="263"/>
      <c r="H30" s="225">
        <v>45810</v>
      </c>
      <c r="I30" s="224">
        <v>45991</v>
      </c>
      <c r="J30" s="225"/>
      <c r="K30" s="225"/>
      <c r="L30" s="226"/>
      <c r="M30" s="226"/>
      <c r="N30" s="226"/>
      <c r="O30" s="226"/>
      <c r="P30" s="268">
        <v>1</v>
      </c>
      <c r="Q30" s="271">
        <v>1</v>
      </c>
      <c r="R30" s="269">
        <v>1</v>
      </c>
      <c r="S30" s="269">
        <v>1</v>
      </c>
      <c r="T30" s="264">
        <v>1</v>
      </c>
      <c r="U30" s="264">
        <v>1</v>
      </c>
      <c r="V30" s="226"/>
      <c r="W30" s="226"/>
      <c r="X30" s="226"/>
      <c r="Y30" s="226"/>
      <c r="Z30" s="226"/>
      <c r="AA30" s="183">
        <f t="shared" si="3"/>
        <v>6</v>
      </c>
      <c r="AB30" s="158"/>
      <c r="AC30" s="150"/>
      <c r="AD30" s="270">
        <v>0</v>
      </c>
      <c r="AE30" s="204">
        <f t="shared" si="4"/>
        <v>6</v>
      </c>
      <c r="AF30" s="267" t="s">
        <v>136</v>
      </c>
      <c r="AG30" s="170"/>
    </row>
    <row r="31" spans="1:36" ht="16.5" customHeight="1">
      <c r="A31" s="150"/>
      <c r="B31" s="157"/>
      <c r="C31" s="206" t="s">
        <v>62</v>
      </c>
      <c r="D31" s="203" t="s">
        <v>63</v>
      </c>
      <c r="E31" s="272" t="s">
        <v>59</v>
      </c>
      <c r="F31" s="272" t="s">
        <v>134</v>
      </c>
      <c r="G31" s="263"/>
      <c r="H31" s="224">
        <v>45880</v>
      </c>
      <c r="I31" s="224">
        <v>45930</v>
      </c>
      <c r="J31" s="225"/>
      <c r="K31" s="225"/>
      <c r="L31" s="226"/>
      <c r="M31" s="226"/>
      <c r="N31" s="226"/>
      <c r="O31" s="226"/>
      <c r="P31" s="226"/>
      <c r="Q31" s="226"/>
      <c r="R31" s="264">
        <v>0.75</v>
      </c>
      <c r="S31" s="264">
        <v>1</v>
      </c>
      <c r="T31" s="226"/>
      <c r="U31" s="226"/>
      <c r="V31" s="226"/>
      <c r="W31" s="226"/>
      <c r="X31" s="226"/>
      <c r="Y31" s="226"/>
      <c r="Z31" s="226"/>
      <c r="AA31" s="183">
        <f t="shared" si="3"/>
        <v>1.75</v>
      </c>
      <c r="AB31" s="158"/>
      <c r="AC31" s="150"/>
      <c r="AD31" s="270">
        <v>0</v>
      </c>
      <c r="AE31" s="204">
        <f>AA31-AD31</f>
        <v>1.75</v>
      </c>
      <c r="AF31" s="267" t="s">
        <v>138</v>
      </c>
    </row>
    <row r="32" spans="1:36" ht="16.5" customHeight="1">
      <c r="A32" s="150" t="s">
        <v>86</v>
      </c>
      <c r="B32" s="157"/>
      <c r="C32" s="206" t="s">
        <v>62</v>
      </c>
      <c r="D32" s="203" t="s">
        <v>63</v>
      </c>
      <c r="E32" s="272" t="s">
        <v>59</v>
      </c>
      <c r="F32" s="272" t="s">
        <v>135</v>
      </c>
      <c r="G32" s="263"/>
      <c r="H32" s="224">
        <v>45880</v>
      </c>
      <c r="I32" s="224">
        <v>45930</v>
      </c>
      <c r="J32" s="225"/>
      <c r="K32" s="225"/>
      <c r="L32" s="226"/>
      <c r="M32" s="226"/>
      <c r="N32" s="226"/>
      <c r="O32" s="226"/>
      <c r="P32" s="226"/>
      <c r="Q32" s="226"/>
      <c r="R32" s="264">
        <v>0.75</v>
      </c>
      <c r="S32" s="264">
        <v>1</v>
      </c>
      <c r="T32" s="226"/>
      <c r="U32" s="226"/>
      <c r="V32" s="226"/>
      <c r="W32" s="226"/>
      <c r="X32" s="226"/>
      <c r="Y32" s="226"/>
      <c r="Z32" s="226"/>
      <c r="AA32" s="183">
        <f t="shared" si="3"/>
        <v>1.75</v>
      </c>
      <c r="AB32" s="158"/>
      <c r="AC32" s="150"/>
      <c r="AD32" s="270">
        <v>0</v>
      </c>
      <c r="AE32" s="204">
        <f t="shared" si="4"/>
        <v>1.75</v>
      </c>
      <c r="AF32" s="267" t="s">
        <v>138</v>
      </c>
    </row>
    <row r="33" spans="1:34" ht="16.5" customHeight="1">
      <c r="A33" s="150"/>
      <c r="B33" s="157"/>
      <c r="C33" s="206" t="s">
        <v>62</v>
      </c>
      <c r="D33" s="203" t="s">
        <v>63</v>
      </c>
      <c r="E33" s="262" t="s">
        <v>59</v>
      </c>
      <c r="F33" s="262" t="s">
        <v>7</v>
      </c>
      <c r="G33" s="263"/>
      <c r="H33" s="225">
        <v>45748</v>
      </c>
      <c r="I33" s="225">
        <v>45961</v>
      </c>
      <c r="J33" s="225"/>
      <c r="K33" s="225"/>
      <c r="L33" s="226"/>
      <c r="M33" s="226"/>
      <c r="N33" s="226">
        <v>1</v>
      </c>
      <c r="O33" s="226">
        <v>1</v>
      </c>
      <c r="P33" s="226">
        <v>1</v>
      </c>
      <c r="Q33" s="226">
        <v>1</v>
      </c>
      <c r="R33" s="226">
        <v>1</v>
      </c>
      <c r="S33" s="226">
        <v>1</v>
      </c>
      <c r="T33" s="226">
        <v>1</v>
      </c>
      <c r="U33" s="226"/>
      <c r="V33" s="226"/>
      <c r="W33" s="226"/>
      <c r="X33" s="226"/>
      <c r="Y33" s="226"/>
      <c r="Z33" s="226"/>
      <c r="AA33" s="189">
        <f t="shared" si="3"/>
        <v>7</v>
      </c>
      <c r="AB33" s="158"/>
      <c r="AC33" s="150"/>
      <c r="AD33" s="257">
        <v>7</v>
      </c>
      <c r="AE33" s="191">
        <f t="shared" si="4"/>
        <v>0</v>
      </c>
      <c r="AF33" s="166"/>
    </row>
    <row r="34" spans="1:34" ht="16.5" customHeight="1">
      <c r="A34" s="150"/>
      <c r="B34" s="157"/>
      <c r="C34" s="206" t="s">
        <v>62</v>
      </c>
      <c r="D34" s="273" t="s">
        <v>63</v>
      </c>
      <c r="E34" s="262" t="s">
        <v>59</v>
      </c>
      <c r="F34" s="262" t="s">
        <v>11</v>
      </c>
      <c r="G34" s="263"/>
      <c r="H34" s="225">
        <v>45748</v>
      </c>
      <c r="I34" s="225">
        <v>45961</v>
      </c>
      <c r="J34" s="225"/>
      <c r="K34" s="225"/>
      <c r="L34" s="226"/>
      <c r="M34" s="226"/>
      <c r="N34" s="226">
        <v>1</v>
      </c>
      <c r="O34" s="226">
        <v>1</v>
      </c>
      <c r="P34" s="226">
        <v>1</v>
      </c>
      <c r="Q34" s="226">
        <v>1</v>
      </c>
      <c r="R34" s="226">
        <v>1</v>
      </c>
      <c r="S34" s="226">
        <v>1</v>
      </c>
      <c r="T34" s="226">
        <v>1</v>
      </c>
      <c r="U34" s="274"/>
      <c r="V34" s="226"/>
      <c r="W34" s="226"/>
      <c r="X34" s="226"/>
      <c r="Y34" s="226"/>
      <c r="Z34" s="226"/>
      <c r="AA34" s="189">
        <f t="shared" si="3"/>
        <v>7</v>
      </c>
      <c r="AB34" s="158"/>
      <c r="AC34" s="150"/>
      <c r="AD34" s="275">
        <v>7</v>
      </c>
      <c r="AE34" s="276">
        <f t="shared" si="4"/>
        <v>0</v>
      </c>
      <c r="AF34" s="166"/>
      <c r="AH34" s="277"/>
    </row>
    <row r="35" spans="1:34" ht="16.5" customHeight="1">
      <c r="A35" s="150"/>
      <c r="B35" s="157"/>
      <c r="C35" s="233" t="s">
        <v>62</v>
      </c>
      <c r="D35" s="234" t="s">
        <v>60</v>
      </c>
      <c r="E35" s="235"/>
      <c r="F35" s="235"/>
      <c r="G35" s="235" t="s">
        <v>77</v>
      </c>
      <c r="H35" s="235"/>
      <c r="I35" s="235" t="s">
        <v>61</v>
      </c>
      <c r="J35" s="236"/>
      <c r="K35" s="236"/>
      <c r="L35" s="237">
        <f t="shared" ref="L35:AA35" si="5">SUM(L24:L34)</f>
        <v>0</v>
      </c>
      <c r="M35" s="237">
        <f t="shared" si="5"/>
        <v>3</v>
      </c>
      <c r="N35" s="237">
        <f t="shared" si="5"/>
        <v>7</v>
      </c>
      <c r="O35" s="237">
        <f t="shared" si="5"/>
        <v>7</v>
      </c>
      <c r="P35" s="237">
        <f t="shared" si="5"/>
        <v>9</v>
      </c>
      <c r="Q35" s="237">
        <f t="shared" si="5"/>
        <v>9</v>
      </c>
      <c r="R35" s="237">
        <f t="shared" si="5"/>
        <v>9</v>
      </c>
      <c r="S35" s="237">
        <f t="shared" si="5"/>
        <v>9</v>
      </c>
      <c r="T35" s="237">
        <f t="shared" si="5"/>
        <v>7</v>
      </c>
      <c r="U35" s="237">
        <f t="shared" si="5"/>
        <v>5</v>
      </c>
      <c r="V35" s="237">
        <f t="shared" si="5"/>
        <v>3</v>
      </c>
      <c r="W35" s="237">
        <f t="shared" si="5"/>
        <v>3</v>
      </c>
      <c r="X35" s="237">
        <f t="shared" si="5"/>
        <v>3</v>
      </c>
      <c r="Y35" s="237">
        <f t="shared" si="5"/>
        <v>2.5</v>
      </c>
      <c r="Z35" s="237">
        <f t="shared" si="5"/>
        <v>1</v>
      </c>
      <c r="AA35" s="238">
        <f t="shared" si="5"/>
        <v>77.5</v>
      </c>
      <c r="AB35" s="158"/>
      <c r="AC35" s="150"/>
      <c r="AD35" s="278">
        <f>SUM(AD24:AD34)</f>
        <v>73</v>
      </c>
      <c r="AE35" s="279">
        <f>SUM(AE24:AE34)</f>
        <v>4.5</v>
      </c>
      <c r="AF35" s="166"/>
      <c r="AH35" s="277"/>
    </row>
    <row r="36" spans="1:34" ht="17">
      <c r="A36" s="241"/>
      <c r="B36" s="242"/>
      <c r="C36" s="243"/>
      <c r="D36" s="244"/>
      <c r="E36" s="245"/>
      <c r="F36" s="245"/>
      <c r="G36" s="245"/>
      <c r="H36" s="245"/>
      <c r="I36" s="245"/>
      <c r="J36" s="245"/>
      <c r="K36" s="245"/>
      <c r="L36" s="245"/>
      <c r="M36" s="245"/>
      <c r="N36" s="245"/>
      <c r="O36" s="245"/>
      <c r="P36" s="245"/>
      <c r="Q36" s="245"/>
      <c r="R36" s="245"/>
      <c r="S36" s="245"/>
      <c r="T36" s="245"/>
      <c r="U36" s="245"/>
      <c r="V36" s="245"/>
      <c r="W36" s="245"/>
      <c r="X36" s="245"/>
      <c r="Y36" s="245"/>
      <c r="Z36" s="245"/>
      <c r="AA36" s="245"/>
      <c r="AB36" s="247"/>
      <c r="AC36" s="241"/>
      <c r="AD36" s="280"/>
      <c r="AE36" s="281"/>
      <c r="AF36" s="166"/>
      <c r="AH36" s="277"/>
    </row>
    <row r="37" spans="1:34" ht="16.5" customHeight="1">
      <c r="A37" s="150"/>
      <c r="B37" s="157"/>
      <c r="C37" s="410" t="s">
        <v>60</v>
      </c>
      <c r="D37" s="411"/>
      <c r="E37" s="412"/>
      <c r="F37" s="282"/>
      <c r="G37" s="283"/>
      <c r="H37" s="283"/>
      <c r="I37" s="283" t="s">
        <v>65</v>
      </c>
      <c r="J37" s="284"/>
      <c r="K37" s="284"/>
      <c r="L37" s="237">
        <f t="shared" ref="L37:AA37" si="6">L22+L35</f>
        <v>6.5</v>
      </c>
      <c r="M37" s="237">
        <f t="shared" si="6"/>
        <v>12.5</v>
      </c>
      <c r="N37" s="237">
        <f t="shared" si="6"/>
        <v>19</v>
      </c>
      <c r="O37" s="237">
        <f t="shared" si="6"/>
        <v>19</v>
      </c>
      <c r="P37" s="237">
        <f t="shared" si="6"/>
        <v>22</v>
      </c>
      <c r="Q37" s="237">
        <f t="shared" si="6"/>
        <v>22</v>
      </c>
      <c r="R37" s="237">
        <f t="shared" si="6"/>
        <v>22</v>
      </c>
      <c r="S37" s="237">
        <f t="shared" si="6"/>
        <v>19</v>
      </c>
      <c r="T37" s="237">
        <f t="shared" si="6"/>
        <v>15</v>
      </c>
      <c r="U37" s="237">
        <f t="shared" si="6"/>
        <v>12</v>
      </c>
      <c r="V37" s="237">
        <f t="shared" si="6"/>
        <v>9</v>
      </c>
      <c r="W37" s="237">
        <f t="shared" si="6"/>
        <v>6</v>
      </c>
      <c r="X37" s="237">
        <f t="shared" si="6"/>
        <v>6</v>
      </c>
      <c r="Y37" s="237">
        <f t="shared" si="6"/>
        <v>5.5</v>
      </c>
      <c r="Z37" s="237">
        <f t="shared" si="6"/>
        <v>1.5</v>
      </c>
      <c r="AA37" s="238">
        <f t="shared" si="6"/>
        <v>197</v>
      </c>
      <c r="AB37" s="158"/>
      <c r="AC37" s="150"/>
      <c r="AD37" s="342">
        <f>AD22+AD35</f>
        <v>172</v>
      </c>
      <c r="AE37" s="351">
        <f>AE22+AE35</f>
        <v>25</v>
      </c>
      <c r="AF37" s="352" t="s">
        <v>183</v>
      </c>
      <c r="AH37" s="277"/>
    </row>
    <row r="38" spans="1:34" ht="16.5" customHeight="1" thickBot="1">
      <c r="A38" s="150"/>
      <c r="B38" s="286"/>
      <c r="C38" s="287"/>
      <c r="D38" s="287"/>
      <c r="E38" s="288"/>
      <c r="F38" s="288"/>
      <c r="G38" s="288"/>
      <c r="H38" s="288"/>
      <c r="I38" s="287"/>
      <c r="J38" s="287"/>
      <c r="K38" s="289"/>
      <c r="L38" s="288"/>
      <c r="M38" s="288"/>
      <c r="N38" s="288"/>
      <c r="O38" s="288"/>
      <c r="P38" s="288"/>
      <c r="Q38" s="288"/>
      <c r="R38" s="288"/>
      <c r="S38" s="288"/>
      <c r="T38" s="288"/>
      <c r="U38" s="288"/>
      <c r="V38" s="288"/>
      <c r="W38" s="288"/>
      <c r="X38" s="288"/>
      <c r="Y38" s="288"/>
      <c r="Z38" s="288"/>
      <c r="AA38" s="288"/>
      <c r="AB38" s="290"/>
      <c r="AC38" s="150"/>
      <c r="AH38" s="277"/>
    </row>
    <row r="39" spans="1:34" ht="16.5" customHeight="1">
      <c r="A39" s="150"/>
      <c r="B39" s="291"/>
      <c r="C39" s="291"/>
      <c r="D39" s="291"/>
      <c r="E39" s="292"/>
      <c r="F39" s="292"/>
      <c r="G39" s="292"/>
      <c r="H39" s="292"/>
      <c r="I39" s="291"/>
      <c r="J39" s="291"/>
      <c r="K39" s="293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92"/>
      <c r="AB39" s="291"/>
      <c r="AC39" s="150"/>
    </row>
    <row r="40" spans="1:34" ht="16.5" customHeight="1">
      <c r="C40" s="294"/>
      <c r="E40" s="297" t="s">
        <v>128</v>
      </c>
      <c r="F40" s="298"/>
      <c r="G40" s="298"/>
      <c r="H40" s="299"/>
      <c r="L40" s="340" t="s">
        <v>172</v>
      </c>
      <c r="M40" s="340"/>
      <c r="N40" s="340"/>
      <c r="O40" s="340"/>
      <c r="P40" s="150"/>
      <c r="Q40" s="339">
        <f ca="1">TODAY()</f>
        <v>45860</v>
      </c>
      <c r="R40" s="295" t="s">
        <v>129</v>
      </c>
      <c r="S40" s="295"/>
      <c r="T40" s="295"/>
      <c r="U40" s="285"/>
      <c r="V40" s="285"/>
      <c r="W40" s="296" t="s">
        <v>173</v>
      </c>
      <c r="X40" s="285"/>
      <c r="Y40" s="285"/>
      <c r="Z40" s="285"/>
      <c r="AA40" s="285"/>
      <c r="AB40" s="285"/>
      <c r="AC40" s="285"/>
      <c r="AD40" s="285"/>
      <c r="AE40" s="285"/>
      <c r="AF40" s="285"/>
    </row>
    <row r="41" spans="1:34" ht="19" thickBot="1">
      <c r="A41" s="150"/>
      <c r="B41" s="150"/>
      <c r="E41" s="302" t="s">
        <v>71</v>
      </c>
      <c r="F41" s="303"/>
      <c r="G41" s="304">
        <v>172</v>
      </c>
      <c r="H41" s="299"/>
      <c r="I41" s="299"/>
      <c r="J41" s="299"/>
      <c r="K41" s="299"/>
      <c r="L41" s="300" t="s">
        <v>126</v>
      </c>
      <c r="P41" s="299"/>
      <c r="Q41" s="301" t="s">
        <v>66</v>
      </c>
      <c r="V41" s="150"/>
      <c r="W41" s="241" t="s">
        <v>174</v>
      </c>
      <c r="X41" s="150"/>
      <c r="Y41" s="150"/>
      <c r="Z41" s="150"/>
      <c r="AA41" s="150"/>
      <c r="AB41" s="150"/>
      <c r="AC41" s="150"/>
      <c r="AD41" s="150"/>
      <c r="AE41" s="150"/>
      <c r="AF41" s="150"/>
    </row>
    <row r="42" spans="1:34" ht="16.5" customHeight="1">
      <c r="A42" s="150"/>
      <c r="B42" s="150"/>
      <c r="E42" s="310" t="s">
        <v>81</v>
      </c>
      <c r="F42" s="311"/>
      <c r="G42" s="312">
        <f>204.5-G41</f>
        <v>32.5</v>
      </c>
      <c r="H42" s="299"/>
      <c r="I42" s="299"/>
      <c r="J42" s="299"/>
      <c r="K42" s="299"/>
      <c r="L42" s="305" t="s">
        <v>68</v>
      </c>
      <c r="M42" s="306" t="s">
        <v>69</v>
      </c>
      <c r="N42" s="305" t="s">
        <v>70</v>
      </c>
      <c r="O42" s="305" t="s">
        <v>60</v>
      </c>
      <c r="P42" s="299"/>
      <c r="Q42" s="307" t="s">
        <v>68</v>
      </c>
      <c r="R42" s="308" t="s">
        <v>69</v>
      </c>
      <c r="S42" s="307" t="s">
        <v>70</v>
      </c>
      <c r="T42" s="307" t="s">
        <v>60</v>
      </c>
      <c r="U42" s="309" t="s">
        <v>80</v>
      </c>
      <c r="V42" s="150"/>
      <c r="W42" s="353" t="s">
        <v>125</v>
      </c>
      <c r="X42" s="354" t="s">
        <v>127</v>
      </c>
      <c r="Y42" s="355" t="s">
        <v>147</v>
      </c>
      <c r="Z42" s="150"/>
      <c r="AA42" s="150"/>
      <c r="AB42" s="150"/>
      <c r="AC42" s="150"/>
      <c r="AD42" s="150"/>
      <c r="AE42" s="150"/>
      <c r="AF42" s="150"/>
    </row>
    <row r="43" spans="1:34" ht="16.5" customHeight="1">
      <c r="E43" s="321" t="s">
        <v>73</v>
      </c>
      <c r="F43" s="322"/>
      <c r="G43" s="304">
        <v>204.5</v>
      </c>
      <c r="H43" s="299"/>
      <c r="I43" s="299"/>
      <c r="J43" s="299"/>
      <c r="K43" s="299"/>
      <c r="L43" s="404" t="s">
        <v>53</v>
      </c>
      <c r="M43" s="313" t="s">
        <v>51</v>
      </c>
      <c r="N43" s="314">
        <v>55</v>
      </c>
      <c r="O43" s="315">
        <f>SUM(N43:N45)</f>
        <v>99</v>
      </c>
      <c r="P43" s="299"/>
      <c r="Q43" s="316" t="s">
        <v>53</v>
      </c>
      <c r="R43" s="317" t="s">
        <v>51</v>
      </c>
      <c r="S43" s="318">
        <f>SUMIF($E$7:$E$21,"고급",$AA$7:$AA$21)</f>
        <v>76.5</v>
      </c>
      <c r="T43" s="319">
        <f>SUM(S43:S45)</f>
        <v>119.5</v>
      </c>
      <c r="U43" s="309">
        <f t="shared" ref="U43:U48" si="7">N43-S43</f>
        <v>-21.5</v>
      </c>
      <c r="V43" s="320" t="s">
        <v>131</v>
      </c>
      <c r="W43" s="356">
        <f>SUM(X43:Y43)</f>
        <v>21.5</v>
      </c>
      <c r="X43" s="357">
        <f>AE7+AE12</f>
        <v>-13.25</v>
      </c>
      <c r="Y43" s="358">
        <f>AE9+AE10+AE13+AE14+AE15+AE16</f>
        <v>34.75</v>
      </c>
      <c r="Z43" s="150" t="s">
        <v>150</v>
      </c>
      <c r="AA43" s="150"/>
      <c r="AB43" s="150"/>
      <c r="AC43" s="150"/>
      <c r="AD43" s="150"/>
      <c r="AE43" s="150"/>
      <c r="AF43" s="150"/>
    </row>
    <row r="44" spans="1:34" ht="16.5" customHeight="1">
      <c r="E44" s="294" t="s">
        <v>140</v>
      </c>
      <c r="F44" s="299"/>
      <c r="G44" s="299"/>
      <c r="H44" s="299"/>
      <c r="I44" s="299"/>
      <c r="J44" s="299"/>
      <c r="K44" s="299"/>
      <c r="L44" s="405"/>
      <c r="M44" s="313" t="s">
        <v>57</v>
      </c>
      <c r="N44" s="314">
        <v>25</v>
      </c>
      <c r="O44" s="323"/>
      <c r="P44" s="299"/>
      <c r="Q44" s="324"/>
      <c r="R44" s="317" t="s">
        <v>57</v>
      </c>
      <c r="S44" s="318">
        <f>SUMIF($E$7:$E$21,"중급",$AA$7:$AA$21)</f>
        <v>24</v>
      </c>
      <c r="T44" s="324"/>
      <c r="U44" s="309">
        <f t="shared" si="7"/>
        <v>1</v>
      </c>
      <c r="V44" s="320" t="s">
        <v>132</v>
      </c>
      <c r="W44" s="359">
        <f>SUM(X44:Y44)</f>
        <v>-1</v>
      </c>
      <c r="X44" s="360">
        <f>AE17+AE18</f>
        <v>-5</v>
      </c>
      <c r="Y44" s="361">
        <f>AE19</f>
        <v>4</v>
      </c>
      <c r="Z44" s="150" t="s">
        <v>151</v>
      </c>
      <c r="AA44" s="150"/>
      <c r="AB44" s="150"/>
      <c r="AC44" s="150"/>
      <c r="AD44" s="150"/>
      <c r="AE44" s="150"/>
      <c r="AF44" s="150"/>
    </row>
    <row r="45" spans="1:34" ht="16.5" customHeight="1">
      <c r="E45" s="294" t="s">
        <v>175</v>
      </c>
      <c r="H45" s="299"/>
      <c r="I45" s="299"/>
      <c r="J45" s="299"/>
      <c r="K45" s="299"/>
      <c r="L45" s="406"/>
      <c r="M45" s="313" t="s">
        <v>59</v>
      </c>
      <c r="N45" s="314">
        <v>19</v>
      </c>
      <c r="O45" s="325"/>
      <c r="P45" s="299"/>
      <c r="Q45" s="326"/>
      <c r="R45" s="317" t="s">
        <v>59</v>
      </c>
      <c r="S45" s="318">
        <f>SUMIF($E$7:$E$21,"초급",$AA$7:$AA$21)</f>
        <v>19</v>
      </c>
      <c r="T45" s="326"/>
      <c r="U45" s="309">
        <f t="shared" si="7"/>
        <v>0</v>
      </c>
      <c r="V45" s="320" t="s">
        <v>133</v>
      </c>
      <c r="W45" s="362">
        <f>SUM(X45:Y45)</f>
        <v>0</v>
      </c>
      <c r="X45" s="363">
        <f>AE20</f>
        <v>-2</v>
      </c>
      <c r="Y45" s="364">
        <f>AE21</f>
        <v>2</v>
      </c>
      <c r="Z45" s="150" t="s">
        <v>152</v>
      </c>
      <c r="AA45" s="150"/>
      <c r="AB45" s="150"/>
      <c r="AC45" s="150"/>
      <c r="AD45" s="150"/>
      <c r="AE45" s="150"/>
      <c r="AF45" s="150"/>
    </row>
    <row r="46" spans="1:34" ht="16.5" customHeight="1" thickBot="1">
      <c r="I46" s="299"/>
      <c r="J46" s="299"/>
      <c r="K46" s="299"/>
      <c r="L46" s="404" t="s">
        <v>62</v>
      </c>
      <c r="M46" s="313" t="s">
        <v>51</v>
      </c>
      <c r="N46" s="314">
        <v>0</v>
      </c>
      <c r="O46" s="315">
        <f>SUM(N46:N48)</f>
        <v>73</v>
      </c>
      <c r="P46" s="299"/>
      <c r="Q46" s="316" t="s">
        <v>62</v>
      </c>
      <c r="R46" s="317" t="s">
        <v>51</v>
      </c>
      <c r="S46" s="318">
        <f>SUMIF($E$22:$E$34,"고급",$AA$22:$AA$34)</f>
        <v>0</v>
      </c>
      <c r="T46" s="319">
        <f>SUM(S46:S48)</f>
        <v>77.5</v>
      </c>
      <c r="U46" s="309">
        <f t="shared" si="7"/>
        <v>0</v>
      </c>
      <c r="V46" s="320"/>
      <c r="W46" s="365">
        <f>SUM(X46:Y46)</f>
        <v>20.5</v>
      </c>
      <c r="X46" s="366">
        <f>SUM(X43:X45)</f>
        <v>-20.25</v>
      </c>
      <c r="Y46" s="367">
        <f>SUM(Y43:Y45)</f>
        <v>40.75</v>
      </c>
      <c r="Z46" s="150"/>
      <c r="AA46" s="150"/>
      <c r="AB46" s="150"/>
      <c r="AC46" s="150"/>
      <c r="AD46" s="150"/>
      <c r="AE46" s="150"/>
      <c r="AF46" s="150"/>
    </row>
    <row r="47" spans="1:34" ht="16.5" customHeight="1">
      <c r="H47" s="299"/>
      <c r="I47" s="299"/>
      <c r="J47" s="299"/>
      <c r="K47" s="299"/>
      <c r="L47" s="405"/>
      <c r="M47" s="313" t="s">
        <v>57</v>
      </c>
      <c r="N47" s="314">
        <v>37</v>
      </c>
      <c r="O47" s="323"/>
      <c r="P47" s="299"/>
      <c r="Q47" s="324"/>
      <c r="R47" s="317" t="s">
        <v>57</v>
      </c>
      <c r="S47" s="318">
        <f>SUMIF($E$22:$E$34,"중급",$AA$22:$AA$34)</f>
        <v>30.75</v>
      </c>
      <c r="T47" s="324"/>
      <c r="U47" s="309">
        <f t="shared" si="7"/>
        <v>6.25</v>
      </c>
      <c r="V47" s="320"/>
      <c r="W47" s="150"/>
      <c r="X47" s="150"/>
      <c r="Y47" s="150"/>
      <c r="Z47" s="150"/>
      <c r="AA47" s="150"/>
      <c r="AB47" s="150"/>
      <c r="AC47" s="150"/>
      <c r="AD47" s="150"/>
      <c r="AE47" s="150"/>
      <c r="AF47" s="150"/>
    </row>
    <row r="48" spans="1:34" ht="16.5" customHeight="1" thickBot="1">
      <c r="F48" s="299"/>
      <c r="G48" s="299"/>
      <c r="H48" s="299"/>
      <c r="I48" s="299"/>
      <c r="J48" s="299"/>
      <c r="K48" s="299"/>
      <c r="L48" s="406"/>
      <c r="M48" s="313" t="s">
        <v>59</v>
      </c>
      <c r="N48" s="314">
        <v>36</v>
      </c>
      <c r="O48" s="325"/>
      <c r="P48" s="299"/>
      <c r="Q48" s="326"/>
      <c r="R48" s="317" t="s">
        <v>59</v>
      </c>
      <c r="S48" s="318">
        <f>SUMIF($E$22:$E$34,"초급",$AA$22:$AA$34)</f>
        <v>46.75</v>
      </c>
      <c r="T48" s="326"/>
      <c r="U48" s="309">
        <f t="shared" si="7"/>
        <v>-10.75</v>
      </c>
      <c r="V48" s="320"/>
      <c r="W48" s="241" t="s">
        <v>176</v>
      </c>
      <c r="X48" s="150"/>
      <c r="Y48" s="150"/>
      <c r="Z48" s="150"/>
      <c r="AA48" s="150"/>
      <c r="AB48" s="150"/>
      <c r="AC48" s="150"/>
      <c r="AD48" s="150"/>
      <c r="AE48" s="150"/>
      <c r="AF48" s="150"/>
    </row>
    <row r="49" spans="6:32" ht="16.5" customHeight="1">
      <c r="F49" s="299"/>
      <c r="G49" s="299"/>
      <c r="H49" s="299"/>
      <c r="I49" s="299"/>
      <c r="J49" s="299"/>
      <c r="K49" s="299"/>
      <c r="L49" s="407" t="s">
        <v>74</v>
      </c>
      <c r="M49" s="408"/>
      <c r="N49" s="409"/>
      <c r="O49" s="304">
        <f>SUM(O43:O48)</f>
        <v>172</v>
      </c>
      <c r="P49" s="299"/>
      <c r="Q49" s="327" t="s">
        <v>74</v>
      </c>
      <c r="R49" s="328"/>
      <c r="S49" s="329"/>
      <c r="T49" s="330">
        <f t="shared" ref="T49:U49" si="8">SUM(T43:T48)</f>
        <v>197</v>
      </c>
      <c r="U49" s="309">
        <f t="shared" si="8"/>
        <v>-25</v>
      </c>
      <c r="V49" s="320"/>
      <c r="W49" s="353" t="s">
        <v>125</v>
      </c>
      <c r="X49" s="354" t="s">
        <v>127</v>
      </c>
      <c r="Y49" s="355" t="s">
        <v>148</v>
      </c>
      <c r="Z49" s="150"/>
      <c r="AA49" s="150"/>
      <c r="AB49" s="150"/>
      <c r="AC49" s="150"/>
      <c r="AD49" s="150"/>
      <c r="AE49" s="150"/>
      <c r="AF49" s="150"/>
    </row>
    <row r="50" spans="6:32" ht="16.5" customHeight="1"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331" t="s">
        <v>130</v>
      </c>
      <c r="R50" s="332"/>
      <c r="S50" s="333"/>
      <c r="T50" s="334">
        <f>T49-O49</f>
        <v>25</v>
      </c>
      <c r="U50" s="309"/>
      <c r="V50" s="320" t="s">
        <v>177</v>
      </c>
      <c r="W50" s="359">
        <f>SUM(X50:Y50)</f>
        <v>-6.25</v>
      </c>
      <c r="X50" s="360">
        <f>AE26</f>
        <v>-6.25</v>
      </c>
      <c r="Y50" s="361"/>
      <c r="Z50" s="150" t="s">
        <v>178</v>
      </c>
      <c r="AA50" s="150"/>
      <c r="AB50" s="150"/>
      <c r="AC50" s="150"/>
      <c r="AD50" s="150"/>
      <c r="AE50" s="150"/>
      <c r="AF50" s="150"/>
    </row>
    <row r="51" spans="6:32" ht="16.5" customHeight="1"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335"/>
      <c r="R51" s="336"/>
      <c r="S51" s="337" t="s">
        <v>146</v>
      </c>
      <c r="T51" s="312">
        <f>G43-T49</f>
        <v>7.5</v>
      </c>
      <c r="V51" s="320" t="s">
        <v>179</v>
      </c>
      <c r="W51" s="362">
        <f>SUM(X51:Y51)</f>
        <v>10.75</v>
      </c>
      <c r="X51" s="363">
        <f>AE27</f>
        <v>-8.25</v>
      </c>
      <c r="Y51" s="364">
        <f>AE31+AE29+AE30+AE32+AE28</f>
        <v>19</v>
      </c>
      <c r="Z51" s="150" t="s">
        <v>153</v>
      </c>
      <c r="AA51" s="150"/>
      <c r="AB51" s="150"/>
      <c r="AC51" s="150"/>
      <c r="AD51" s="150"/>
      <c r="AE51" s="150"/>
      <c r="AF51" s="150"/>
    </row>
    <row r="52" spans="6:32" ht="16.5" customHeight="1" thickBot="1">
      <c r="V52" s="320"/>
      <c r="W52" s="365">
        <f>SUM(X52:Y52)</f>
        <v>4.5</v>
      </c>
      <c r="X52" s="366">
        <f>SUM(X50:X51)</f>
        <v>-14.5</v>
      </c>
      <c r="Y52" s="367">
        <f>SUM(Y50:Y51)</f>
        <v>19</v>
      </c>
      <c r="Z52" s="150"/>
      <c r="AA52" s="150"/>
      <c r="AB52" s="150"/>
      <c r="AC52" s="150"/>
      <c r="AD52" s="150"/>
      <c r="AE52" s="150"/>
      <c r="AF52" s="150"/>
    </row>
    <row r="53" spans="6:32" ht="16.5" customHeight="1">
      <c r="V53" s="32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</row>
    <row r="54" spans="6:32" ht="16.5" customHeight="1" thickBot="1">
      <c r="V54" s="338"/>
      <c r="W54" s="368" t="s">
        <v>149</v>
      </c>
      <c r="X54" s="369"/>
      <c r="Y54" s="369"/>
      <c r="Z54" s="150"/>
      <c r="AA54" s="150"/>
      <c r="AB54" s="150"/>
      <c r="AC54" s="150"/>
      <c r="AD54" s="150"/>
      <c r="AE54" s="150"/>
      <c r="AF54" s="150"/>
    </row>
    <row r="55" spans="6:32" ht="16.5" customHeight="1">
      <c r="V55" s="338"/>
      <c r="W55" s="353" t="s">
        <v>125</v>
      </c>
      <c r="X55" s="354" t="s">
        <v>127</v>
      </c>
      <c r="Y55" s="355" t="s">
        <v>147</v>
      </c>
      <c r="Z55" s="150"/>
      <c r="AA55" s="150"/>
      <c r="AB55" s="150"/>
      <c r="AC55" s="150"/>
      <c r="AD55" s="150"/>
      <c r="AE55" s="150"/>
      <c r="AF55" s="150"/>
    </row>
    <row r="56" spans="6:32" ht="16.5" customHeight="1">
      <c r="V56" s="338" t="s">
        <v>131</v>
      </c>
      <c r="W56" s="356">
        <f>SUM(X56:Y56)</f>
        <v>21.5</v>
      </c>
      <c r="X56" s="357">
        <f>X43</f>
        <v>-13.25</v>
      </c>
      <c r="Y56" s="358">
        <f>Y43</f>
        <v>34.75</v>
      </c>
      <c r="Z56" s="150"/>
      <c r="AA56" s="150"/>
      <c r="AB56" s="150"/>
      <c r="AC56" s="150"/>
      <c r="AD56" s="150"/>
      <c r="AE56" s="150"/>
      <c r="AF56" s="150"/>
    </row>
    <row r="57" spans="6:32" ht="16.5" customHeight="1">
      <c r="V57" s="338" t="s">
        <v>132</v>
      </c>
      <c r="W57" s="359">
        <f>SUM(X57:Y57)</f>
        <v>-7.25</v>
      </c>
      <c r="X57" s="360">
        <f>X44+X50</f>
        <v>-11.25</v>
      </c>
      <c r="Y57" s="361">
        <f>Y44+Y50</f>
        <v>4</v>
      </c>
      <c r="Z57" s="150"/>
      <c r="AA57" s="150"/>
      <c r="AB57" s="150"/>
      <c r="AC57" s="150"/>
      <c r="AD57" s="150"/>
      <c r="AE57" s="150"/>
      <c r="AF57" s="150"/>
    </row>
    <row r="58" spans="6:32" ht="16.5" customHeight="1">
      <c r="V58" s="338" t="s">
        <v>133</v>
      </c>
      <c r="W58" s="362">
        <f>SUM(X58:Y58)</f>
        <v>10.75</v>
      </c>
      <c r="X58" s="363">
        <f>X45+X51</f>
        <v>-10.25</v>
      </c>
      <c r="Y58" s="364">
        <f>Y45+Y51</f>
        <v>21</v>
      </c>
      <c r="Z58" s="150"/>
      <c r="AA58" s="150"/>
      <c r="AB58" s="150"/>
      <c r="AC58" s="150"/>
      <c r="AD58" s="150"/>
      <c r="AE58" s="150"/>
      <c r="AF58" s="150"/>
    </row>
    <row r="59" spans="6:32" ht="16.5" customHeight="1" thickBot="1">
      <c r="V59" s="338"/>
      <c r="W59" s="370">
        <f>SUM(X59:Y59)</f>
        <v>25</v>
      </c>
      <c r="X59" s="366">
        <f>SUM(X56:X58)</f>
        <v>-34.75</v>
      </c>
      <c r="Y59" s="367">
        <f>SUM(Y56:Y58)</f>
        <v>59.75</v>
      </c>
      <c r="Z59" s="150"/>
      <c r="AA59" s="150"/>
      <c r="AB59" s="150"/>
      <c r="AC59" s="150"/>
      <c r="AD59" s="150"/>
      <c r="AE59" s="150"/>
      <c r="AF59" s="150"/>
    </row>
    <row r="60" spans="6:32" ht="16.5" customHeight="1"/>
    <row r="61" spans="6:32" ht="16.5" customHeight="1"/>
    <row r="62" spans="6:32" ht="16.5" customHeight="1"/>
    <row r="63" spans="6:32" ht="16.5" customHeight="1"/>
    <row r="64" spans="6:32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</sheetData>
  <mergeCells count="12">
    <mergeCell ref="C37:E37"/>
    <mergeCell ref="L43:L45"/>
    <mergeCell ref="C3:AA3"/>
    <mergeCell ref="C4:D4"/>
    <mergeCell ref="L5:M5"/>
    <mergeCell ref="N5:W5"/>
    <mergeCell ref="C7:C8"/>
    <mergeCell ref="AH7:AH10"/>
    <mergeCell ref="AH11:AH12"/>
    <mergeCell ref="AH13:AH14"/>
    <mergeCell ref="L46:L48"/>
    <mergeCell ref="L49:N49"/>
  </mergeCells>
  <phoneticPr fontId="22" type="noConversion"/>
  <pageMargins left="0.70866141732283472" right="0.70866141732283472" top="0.74803149606299213" bottom="0.74803149606299213" header="0" footer="0"/>
  <pageSetup paperSize="9" scale="40" orientation="landscape" r:id="rId1"/>
  <ignoredErrors>
    <ignoredError sqref="AD5" twoDigitTextYea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999"/>
  <sheetViews>
    <sheetView showGridLines="0"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7.83203125" customWidth="1"/>
    <col min="5" max="5" width="7.83203125" customWidth="1"/>
    <col min="6" max="6" width="11" customWidth="1"/>
    <col min="7" max="7" width="8.1640625" customWidth="1"/>
    <col min="8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</cols>
  <sheetData>
    <row r="1" spans="1:38" ht="16.5" customHeigh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2">
      <c r="A3" s="19"/>
      <c r="B3" s="25"/>
      <c r="C3" s="371" t="s">
        <v>23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3"/>
      <c r="AJ3" s="26"/>
      <c r="AK3" s="19"/>
    </row>
    <row r="4" spans="1:38" ht="80.25" customHeight="1">
      <c r="A4" s="19"/>
      <c r="B4" s="25"/>
      <c r="C4" s="400">
        <v>45742</v>
      </c>
      <c r="D4" s="375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76"/>
      <c r="M5" s="377"/>
      <c r="N5" s="376"/>
      <c r="O5" s="377"/>
      <c r="P5" s="377"/>
      <c r="Q5" s="377"/>
      <c r="R5" s="377"/>
      <c r="S5" s="377"/>
      <c r="T5" s="377"/>
      <c r="U5" s="377"/>
      <c r="V5" s="377"/>
      <c r="W5" s="377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97" t="s">
        <v>55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79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79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79"/>
      <c r="E12" s="122" t="s">
        <v>51</v>
      </c>
      <c r="F12" s="123" t="s">
        <v>15</v>
      </c>
      <c r="G12" s="124" t="s">
        <v>52</v>
      </c>
      <c r="H12" s="49">
        <v>45748</v>
      </c>
      <c r="I12" s="49">
        <v>45961</v>
      </c>
      <c r="J12" s="42"/>
      <c r="K12" s="42"/>
      <c r="L12" s="43"/>
      <c r="M12" s="43"/>
      <c r="N12" s="46">
        <v>1</v>
      </c>
      <c r="O12" s="46">
        <v>1</v>
      </c>
      <c r="P12" s="46">
        <v>1</v>
      </c>
      <c r="Q12" s="46">
        <v>1</v>
      </c>
      <c r="R12" s="46">
        <v>1</v>
      </c>
      <c r="S12" s="46">
        <v>1</v>
      </c>
      <c r="T12" s="46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79"/>
      <c r="E13" s="123" t="s">
        <v>51</v>
      </c>
      <c r="F13" s="123" t="s">
        <v>19</v>
      </c>
      <c r="G13" s="124" t="s">
        <v>52</v>
      </c>
      <c r="H13" s="49">
        <v>45748</v>
      </c>
      <c r="I13" s="49">
        <v>45961</v>
      </c>
      <c r="J13" s="42"/>
      <c r="K13" s="42"/>
      <c r="L13" s="43"/>
      <c r="M13" s="43"/>
      <c r="N13" s="46">
        <v>1</v>
      </c>
      <c r="O13" s="46">
        <v>1</v>
      </c>
      <c r="P13" s="46">
        <v>1</v>
      </c>
      <c r="Q13" s="46">
        <v>1</v>
      </c>
      <c r="R13" s="46">
        <v>1</v>
      </c>
      <c r="S13" s="46">
        <v>1</v>
      </c>
      <c r="T13" s="46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79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79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79"/>
      <c r="E16" s="51" t="s">
        <v>57</v>
      </c>
      <c r="F16" s="51" t="s">
        <v>20</v>
      </c>
      <c r="G16" s="51" t="s">
        <v>51</v>
      </c>
      <c r="H16" s="53">
        <v>45720</v>
      </c>
      <c r="I16" s="53">
        <v>45900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55"/>
      <c r="T16" s="55"/>
      <c r="U16" s="55"/>
      <c r="V16" s="55"/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6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79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79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79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79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80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78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79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80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10.5</v>
      </c>
      <c r="T25" s="68">
        <f t="shared" si="3"/>
        <v>10</v>
      </c>
      <c r="U25" s="68">
        <f t="shared" si="3"/>
        <v>6</v>
      </c>
      <c r="V25" s="68">
        <f t="shared" si="3"/>
        <v>3.5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113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3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90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79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55">
        <v>1</v>
      </c>
      <c r="W29" s="55">
        <v>1</v>
      </c>
      <c r="X29" s="55">
        <v>0.5</v>
      </c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10.5</v>
      </c>
      <c r="AJ29" s="26"/>
      <c r="AK29" s="19"/>
    </row>
    <row r="30" spans="1:38" ht="16.5" customHeight="1">
      <c r="A30" s="19"/>
      <c r="B30" s="25"/>
      <c r="C30" s="50" t="s">
        <v>62</v>
      </c>
      <c r="D30" s="379"/>
      <c r="E30" s="57" t="s">
        <v>59</v>
      </c>
      <c r="F30" s="57" t="s">
        <v>14</v>
      </c>
      <c r="G30" s="103" t="s">
        <v>56</v>
      </c>
      <c r="H30" s="59">
        <v>45726</v>
      </c>
      <c r="I30" s="59">
        <v>46127</v>
      </c>
      <c r="J30" s="59"/>
      <c r="K30" s="59"/>
      <c r="L30" s="44"/>
      <c r="M30" s="44">
        <v>0.75</v>
      </c>
      <c r="N30" s="44">
        <v>1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0.5</v>
      </c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13.25</v>
      </c>
      <c r="AJ30" s="26"/>
      <c r="AK30" s="19"/>
    </row>
    <row r="31" spans="1:38" ht="16.5" customHeight="1">
      <c r="A31" s="19"/>
      <c r="B31" s="25"/>
      <c r="C31" s="50" t="s">
        <v>62</v>
      </c>
      <c r="D31" s="379"/>
      <c r="E31" s="57" t="s">
        <v>59</v>
      </c>
      <c r="F31" s="57" t="s">
        <v>7</v>
      </c>
      <c r="G31" s="103" t="s">
        <v>56</v>
      </c>
      <c r="H31" s="59">
        <v>45748</v>
      </c>
      <c r="I31" s="59">
        <v>45961</v>
      </c>
      <c r="J31" s="59"/>
      <c r="K31" s="59"/>
      <c r="L31" s="44"/>
      <c r="M31" s="44"/>
      <c r="N31" s="44">
        <v>1</v>
      </c>
      <c r="O31" s="44">
        <v>1</v>
      </c>
      <c r="P31" s="44">
        <v>1</v>
      </c>
      <c r="Q31" s="44">
        <v>1</v>
      </c>
      <c r="R31" s="44">
        <v>1</v>
      </c>
      <c r="S31" s="44">
        <v>1</v>
      </c>
      <c r="T31" s="44">
        <v>1</v>
      </c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7</v>
      </c>
      <c r="AJ31" s="26"/>
      <c r="AK31" s="19"/>
    </row>
    <row r="32" spans="1:38" ht="16.5" customHeight="1">
      <c r="A32" s="19"/>
      <c r="B32" s="25"/>
      <c r="C32" s="50" t="s">
        <v>62</v>
      </c>
      <c r="D32" s="379"/>
      <c r="E32" s="57" t="s">
        <v>59</v>
      </c>
      <c r="F32" s="57" t="s">
        <v>18</v>
      </c>
      <c r="G32" s="103" t="s">
        <v>56</v>
      </c>
      <c r="H32" s="59">
        <v>45726</v>
      </c>
      <c r="I32" s="59">
        <v>45989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8.75</v>
      </c>
      <c r="AJ32" s="26"/>
      <c r="AK32" s="19"/>
    </row>
    <row r="33" spans="1:37" ht="16.5" customHeight="1">
      <c r="A33" s="19"/>
      <c r="B33" s="25"/>
      <c r="C33" s="50" t="s">
        <v>62</v>
      </c>
      <c r="D33" s="380"/>
      <c r="E33" s="57" t="s">
        <v>59</v>
      </c>
      <c r="F33" s="57" t="s">
        <v>11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81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hidden="1" customHeight="1">
      <c r="A34" s="19"/>
      <c r="B34" s="25"/>
      <c r="C34" s="50" t="s">
        <v>62</v>
      </c>
      <c r="D34" s="378"/>
      <c r="E34" s="57" t="s">
        <v>51</v>
      </c>
      <c r="F34" s="57"/>
      <c r="G34" s="60"/>
      <c r="H34" s="59"/>
      <c r="I34" s="59"/>
      <c r="J34" s="59"/>
      <c r="K34" s="59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v>0</v>
      </c>
      <c r="AJ34" s="26"/>
      <c r="AK34" s="19"/>
    </row>
    <row r="35" spans="1:37" ht="16.5" hidden="1" customHeight="1">
      <c r="A35" s="19"/>
      <c r="B35" s="25"/>
      <c r="C35" s="50" t="s">
        <v>62</v>
      </c>
      <c r="D35" s="379"/>
      <c r="E35" s="57" t="s">
        <v>57</v>
      </c>
      <c r="F35" s="57"/>
      <c r="G35" s="60"/>
      <c r="H35" s="59"/>
      <c r="I35" s="59"/>
      <c r="J35" s="59"/>
      <c r="K35" s="59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v>0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80"/>
      <c r="E36" s="57" t="s">
        <v>59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78"/>
      <c r="E37" s="57" t="s">
        <v>51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79"/>
      <c r="E38" s="57" t="s">
        <v>57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80"/>
      <c r="E39" s="57" t="s">
        <v>59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91" t="s">
        <v>64</v>
      </c>
      <c r="E40" s="57" t="s">
        <v>51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79"/>
      <c r="E41" s="57" t="s">
        <v>57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80"/>
      <c r="E42" s="57" t="s">
        <v>59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customHeight="1">
      <c r="A43" s="19"/>
      <c r="B43" s="25"/>
      <c r="C43" s="61" t="s">
        <v>62</v>
      </c>
      <c r="D43" s="104" t="s">
        <v>60</v>
      </c>
      <c r="E43" s="66"/>
      <c r="F43" s="66"/>
      <c r="G43" s="66" t="s">
        <v>77</v>
      </c>
      <c r="H43" s="66"/>
      <c r="I43" s="66" t="s">
        <v>61</v>
      </c>
      <c r="J43" s="67"/>
      <c r="K43" s="67"/>
      <c r="L43" s="68">
        <f t="shared" ref="L43:Z43" si="5">SUM(L27:L42)</f>
        <v>0</v>
      </c>
      <c r="M43" s="68">
        <f t="shared" si="5"/>
        <v>3</v>
      </c>
      <c r="N43" s="68">
        <f t="shared" si="5"/>
        <v>7</v>
      </c>
      <c r="O43" s="68">
        <f t="shared" si="5"/>
        <v>7</v>
      </c>
      <c r="P43" s="68">
        <f t="shared" si="5"/>
        <v>7</v>
      </c>
      <c r="Q43" s="68">
        <f t="shared" si="5"/>
        <v>7</v>
      </c>
      <c r="R43" s="68">
        <f t="shared" si="5"/>
        <v>7</v>
      </c>
      <c r="S43" s="68">
        <f t="shared" si="5"/>
        <v>7</v>
      </c>
      <c r="T43" s="68">
        <f t="shared" si="5"/>
        <v>7</v>
      </c>
      <c r="U43" s="68">
        <f t="shared" si="5"/>
        <v>5</v>
      </c>
      <c r="V43" s="68">
        <f t="shared" si="5"/>
        <v>4</v>
      </c>
      <c r="W43" s="68">
        <f t="shared" si="5"/>
        <v>4</v>
      </c>
      <c r="X43" s="68">
        <f t="shared" si="5"/>
        <v>3.5</v>
      </c>
      <c r="Y43" s="68">
        <f t="shared" si="5"/>
        <v>3</v>
      </c>
      <c r="Z43" s="68">
        <f t="shared" si="5"/>
        <v>1.5</v>
      </c>
      <c r="AA43" s="68"/>
      <c r="AB43" s="68"/>
      <c r="AC43" s="68"/>
      <c r="AD43" s="68"/>
      <c r="AE43" s="68"/>
      <c r="AF43" s="68"/>
      <c r="AG43" s="68"/>
      <c r="AH43" s="68"/>
      <c r="AI43" s="69">
        <f>SUM(AI27:AI42)</f>
        <v>73</v>
      </c>
      <c r="AJ43" s="26"/>
      <c r="AK43" s="19"/>
    </row>
    <row r="44" spans="1:37" ht="4.5" customHeight="1">
      <c r="A44" s="70"/>
      <c r="B44" s="71"/>
      <c r="C44" s="72"/>
      <c r="D44" s="73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8"/>
      <c r="AK44" s="70"/>
    </row>
    <row r="45" spans="1:37" ht="16.5" customHeight="1">
      <c r="A45" s="19"/>
      <c r="B45" s="25"/>
      <c r="C45" s="392" t="s">
        <v>60</v>
      </c>
      <c r="D45" s="393"/>
      <c r="E45" s="394"/>
      <c r="F45" s="84"/>
      <c r="G45" s="85"/>
      <c r="H45" s="85"/>
      <c r="I45" s="85" t="s">
        <v>65</v>
      </c>
      <c r="J45" s="86"/>
      <c r="K45" s="86"/>
      <c r="L45" s="68">
        <f t="shared" ref="L45:Z45" si="6">L25+L43</f>
        <v>6.5</v>
      </c>
      <c r="M45" s="68">
        <f t="shared" si="6"/>
        <v>12.5</v>
      </c>
      <c r="N45" s="68">
        <f t="shared" si="6"/>
        <v>19</v>
      </c>
      <c r="O45" s="68">
        <f t="shared" si="6"/>
        <v>19</v>
      </c>
      <c r="P45" s="68">
        <f t="shared" si="6"/>
        <v>19</v>
      </c>
      <c r="Q45" s="68">
        <f t="shared" si="6"/>
        <v>19</v>
      </c>
      <c r="R45" s="68">
        <f t="shared" si="6"/>
        <v>19</v>
      </c>
      <c r="S45" s="68">
        <f t="shared" si="6"/>
        <v>17.5</v>
      </c>
      <c r="T45" s="68">
        <f t="shared" si="6"/>
        <v>17</v>
      </c>
      <c r="U45" s="68">
        <f t="shared" si="6"/>
        <v>11</v>
      </c>
      <c r="V45" s="68">
        <f t="shared" si="6"/>
        <v>7.5</v>
      </c>
      <c r="W45" s="68">
        <f t="shared" si="6"/>
        <v>6</v>
      </c>
      <c r="X45" s="68">
        <f t="shared" si="6"/>
        <v>5.5</v>
      </c>
      <c r="Y45" s="68">
        <f t="shared" si="6"/>
        <v>5</v>
      </c>
      <c r="Z45" s="68">
        <f t="shared" si="6"/>
        <v>2.5</v>
      </c>
      <c r="AA45" s="68"/>
      <c r="AB45" s="68"/>
      <c r="AC45" s="68"/>
      <c r="AD45" s="68"/>
      <c r="AE45" s="68"/>
      <c r="AF45" s="68"/>
      <c r="AG45" s="68"/>
      <c r="AH45" s="68"/>
      <c r="AI45" s="69">
        <f>AI25+AI43</f>
        <v>186</v>
      </c>
      <c r="AJ45" s="26"/>
      <c r="AK45" s="19"/>
    </row>
    <row r="46" spans="1:37" ht="16.5" customHeight="1">
      <c r="A46" s="19"/>
      <c r="B46" s="87"/>
      <c r="C46" s="88"/>
      <c r="D46" s="88"/>
      <c r="E46" s="89"/>
      <c r="F46" s="89"/>
      <c r="G46" s="89"/>
      <c r="H46" s="89"/>
      <c r="I46" s="88"/>
      <c r="J46" s="88"/>
      <c r="K46" s="90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91"/>
      <c r="AK46" s="19"/>
    </row>
    <row r="47" spans="1:37" ht="16.5" customHeight="1">
      <c r="C47" s="106"/>
    </row>
    <row r="48" spans="1:37" ht="27.75" customHeight="1">
      <c r="A48" s="19"/>
      <c r="B48" s="19"/>
      <c r="C48" s="149" t="s">
        <v>103</v>
      </c>
      <c r="D48" s="147"/>
      <c r="E48" s="148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20"/>
      <c r="S48" s="92" t="s">
        <v>66</v>
      </c>
      <c r="X48" s="92" t="s">
        <v>67</v>
      </c>
      <c r="AJ48" s="19"/>
      <c r="AK48" s="19"/>
    </row>
    <row r="49" spans="1:37" ht="16.5" customHeight="1">
      <c r="A49" s="19"/>
      <c r="B49" s="1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0"/>
      <c r="R49" s="20"/>
      <c r="S49" s="93" t="s">
        <v>68</v>
      </c>
      <c r="T49" s="94" t="s">
        <v>69</v>
      </c>
      <c r="U49" s="93" t="s">
        <v>70</v>
      </c>
      <c r="V49" s="93" t="s">
        <v>60</v>
      </c>
      <c r="W49" s="107" t="s">
        <v>80</v>
      </c>
      <c r="X49" s="399" t="s">
        <v>71</v>
      </c>
      <c r="Y49" s="382"/>
      <c r="Z49" s="95">
        <v>172</v>
      </c>
      <c r="AA49" s="108"/>
      <c r="AB49" s="108"/>
      <c r="AC49" s="108"/>
      <c r="AD49" s="108"/>
      <c r="AE49" s="108"/>
      <c r="AF49" s="108"/>
      <c r="AG49" s="108"/>
      <c r="AH49" s="108"/>
      <c r="AJ49" s="19"/>
      <c r="AK49" s="19"/>
    </row>
    <row r="50" spans="1:37" ht="16.5" customHeigh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S50" s="384" t="s">
        <v>53</v>
      </c>
      <c r="T50" s="96" t="s">
        <v>51</v>
      </c>
      <c r="U50" s="95">
        <f>SUMIF($E$7:$E$21,"고급",$AI$7:$AI$21)</f>
        <v>69</v>
      </c>
      <c r="V50" s="387">
        <f>SUM(U50:U52)</f>
        <v>113</v>
      </c>
      <c r="W50" s="115">
        <f>'250117 (제출본-최초)'!$U$46-U50</f>
        <v>-14</v>
      </c>
      <c r="X50" s="398" t="s">
        <v>81</v>
      </c>
      <c r="Y50" s="382"/>
      <c r="Z50" s="95">
        <f>204.5-Z49</f>
        <v>32.5</v>
      </c>
      <c r="AA50" s="109"/>
      <c r="AB50" s="109"/>
      <c r="AC50" s="109"/>
      <c r="AD50" s="109"/>
      <c r="AE50" s="109"/>
      <c r="AF50" s="109"/>
      <c r="AG50" s="109"/>
      <c r="AH50" s="109"/>
    </row>
    <row r="51" spans="1:37" ht="16.5" customHeight="1"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S51" s="385"/>
      <c r="T51" s="96" t="s">
        <v>57</v>
      </c>
      <c r="U51" s="95">
        <f>SUMIF($E$7:$E$21,"중급",$AI$7:$AI$21)</f>
        <v>25</v>
      </c>
      <c r="V51" s="385"/>
      <c r="W51" s="107">
        <f>'250117 (제출본-최초)'!$U$47-U51</f>
        <v>0</v>
      </c>
      <c r="X51" s="398" t="s">
        <v>73</v>
      </c>
      <c r="Y51" s="382"/>
      <c r="Z51" s="95">
        <v>204.5</v>
      </c>
      <c r="AA51" s="109"/>
      <c r="AB51" s="109"/>
      <c r="AC51" s="109"/>
      <c r="AD51" s="109"/>
      <c r="AE51" s="109"/>
      <c r="AF51" s="109"/>
      <c r="AG51" s="109"/>
      <c r="AH51" s="109"/>
    </row>
    <row r="52" spans="1:37" ht="16.5" customHeight="1"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S52" s="386"/>
      <c r="T52" s="96" t="s">
        <v>59</v>
      </c>
      <c r="U52" s="95">
        <f>SUMIF($E$7:$E$21,"초급",$AI$7:$AI$21)</f>
        <v>19</v>
      </c>
      <c r="V52" s="386"/>
      <c r="W52" s="107">
        <f>'250117 (제출본-최초)'!$U$48-U52</f>
        <v>0</v>
      </c>
      <c r="AA52" s="109"/>
      <c r="AB52" s="109"/>
      <c r="AC52" s="109"/>
      <c r="AD52" s="109"/>
      <c r="AE52" s="109"/>
      <c r="AF52" s="109"/>
      <c r="AG52" s="109"/>
      <c r="AH52" s="109"/>
    </row>
    <row r="53" spans="1:37" ht="16.5" customHeight="1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S53" s="384" t="s">
        <v>62</v>
      </c>
      <c r="T53" s="96" t="s">
        <v>51</v>
      </c>
      <c r="U53" s="95">
        <f>SUMIF($E$25:$E$33,"고급",$AI$25:$AI$33)</f>
        <v>0</v>
      </c>
      <c r="V53" s="387">
        <f>SUM(U53:U55)</f>
        <v>73</v>
      </c>
      <c r="W53" s="107">
        <f>'250117 (제출본-최초)'!$U$49-U53</f>
        <v>0</v>
      </c>
    </row>
    <row r="54" spans="1:37" ht="16.5" customHeight="1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S54" s="385"/>
      <c r="T54" s="96" t="s">
        <v>57</v>
      </c>
      <c r="U54" s="95">
        <f>SUMIF($E$25:$E$33,"중급",$AI$25:$AI$33)</f>
        <v>37</v>
      </c>
      <c r="V54" s="385"/>
      <c r="W54" s="107">
        <f>'250117 (제출본-최초)'!$U$50-U54</f>
        <v>0</v>
      </c>
    </row>
    <row r="55" spans="1:37" ht="16.5" customHeight="1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S55" s="386"/>
      <c r="T55" s="96" t="s">
        <v>59</v>
      </c>
      <c r="U55" s="95">
        <f>SUMIF($E$25:$E$33,"초급",$AI$25:$AI$33)</f>
        <v>36</v>
      </c>
      <c r="V55" s="386"/>
      <c r="W55" s="107">
        <f>'250117 (제출본-최초)'!$U$51-U55</f>
        <v>0</v>
      </c>
    </row>
    <row r="56" spans="1:37" ht="16.5" customHeight="1"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S56" s="388" t="s">
        <v>74</v>
      </c>
      <c r="T56" s="389"/>
      <c r="U56" s="382"/>
      <c r="V56" s="97">
        <f t="shared" ref="V56:W56" si="7">SUM(V50:V55)</f>
        <v>186</v>
      </c>
      <c r="W56" s="107">
        <f t="shared" si="7"/>
        <v>-14</v>
      </c>
    </row>
    <row r="57" spans="1:37" ht="16.5" customHeigh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S57" s="388" t="s">
        <v>82</v>
      </c>
      <c r="T57" s="389"/>
      <c r="U57" s="382"/>
      <c r="V57" s="97">
        <f>Z51-V56</f>
        <v>18.5</v>
      </c>
    </row>
    <row r="58" spans="1:37" ht="16.5" customHeight="1"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37" ht="16.5" customHeight="1">
      <c r="I59" s="120" t="s">
        <v>101</v>
      </c>
      <c r="L59" s="138">
        <v>250326</v>
      </c>
      <c r="M59" s="139" t="s">
        <v>97</v>
      </c>
      <c r="N59" s="140"/>
      <c r="O59" s="140"/>
      <c r="P59" s="140"/>
      <c r="Q59" s="142"/>
      <c r="R59" s="140"/>
      <c r="S59" s="140"/>
    </row>
    <row r="60" spans="1:37" ht="16.5" customHeight="1">
      <c r="L60" s="119"/>
      <c r="M60" s="118" t="s">
        <v>98</v>
      </c>
      <c r="N60" s="1"/>
    </row>
    <row r="61" spans="1:37" ht="16.5" customHeight="1">
      <c r="L61" s="119"/>
      <c r="M61" s="46">
        <v>1</v>
      </c>
      <c r="N61" s="46">
        <v>1</v>
      </c>
      <c r="O61" s="46">
        <v>1</v>
      </c>
      <c r="P61" s="46">
        <v>1</v>
      </c>
      <c r="Q61" s="46">
        <v>1</v>
      </c>
      <c r="R61" s="46">
        <v>1</v>
      </c>
      <c r="S61" s="46">
        <v>1</v>
      </c>
    </row>
    <row r="62" spans="1:37" ht="16.5" customHeight="1">
      <c r="L62" s="119"/>
      <c r="M62" s="46">
        <v>1</v>
      </c>
      <c r="N62" s="46">
        <v>1</v>
      </c>
      <c r="O62" s="46">
        <v>1</v>
      </c>
      <c r="P62" s="46">
        <v>1</v>
      </c>
      <c r="Q62" s="46">
        <v>1</v>
      </c>
      <c r="R62" s="46">
        <v>1</v>
      </c>
      <c r="S62" s="46">
        <v>1</v>
      </c>
    </row>
    <row r="63" spans="1:37" ht="16.5" customHeight="1"/>
    <row r="64" spans="1:37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</sheetData>
  <mergeCells count="20">
    <mergeCell ref="S57:U57"/>
    <mergeCell ref="S56:U56"/>
    <mergeCell ref="C3:AI3"/>
    <mergeCell ref="C4:D4"/>
    <mergeCell ref="L5:M5"/>
    <mergeCell ref="N5:W5"/>
    <mergeCell ref="D9:D21"/>
    <mergeCell ref="D22:D24"/>
    <mergeCell ref="D28:D33"/>
    <mergeCell ref="X50:Y50"/>
    <mergeCell ref="X51:Y51"/>
    <mergeCell ref="S53:S55"/>
    <mergeCell ref="V53:V55"/>
    <mergeCell ref="X49:Y49"/>
    <mergeCell ref="V50:V52"/>
    <mergeCell ref="D34:D36"/>
    <mergeCell ref="D37:D39"/>
    <mergeCell ref="D40:D42"/>
    <mergeCell ref="C45:E45"/>
    <mergeCell ref="S50:S52"/>
  </mergeCells>
  <phoneticPr fontId="22" type="noConversion"/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S1001"/>
  <sheetViews>
    <sheetView showGridLines="0" zoomScale="80" zoomScaleNormal="80" workbookViewId="0">
      <pane xSplit="11" ySplit="6" topLeftCell="L7" activePane="bottomRight" state="frozen"/>
      <selection pane="topRight" activeCell="L1" sqref="L1"/>
      <selection pane="bottomLeft" activeCell="A7" sqref="A7"/>
      <selection pane="bottomRight"/>
    </sheetView>
  </sheetViews>
  <sheetFormatPr baseColWidth="10" defaultColWidth="14.5" defaultRowHeight="15" customHeight="1"/>
  <cols>
    <col min="1" max="1" width="3.1640625" customWidth="1"/>
    <col min="2" max="2" width="2.1640625" customWidth="1"/>
    <col min="3" max="3" width="8.83203125" customWidth="1"/>
    <col min="4" max="4" width="27.5" customWidth="1"/>
    <col min="5" max="5" width="7.83203125" customWidth="1"/>
    <col min="6" max="6" width="11.5" customWidth="1"/>
    <col min="7" max="7" width="7.5" customWidth="1"/>
    <col min="8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9" customWidth="1"/>
    <col min="39" max="39" width="6.5" bestFit="1" customWidth="1"/>
    <col min="40" max="40" width="7.5" bestFit="1" customWidth="1"/>
    <col min="41" max="41" width="8.5" bestFit="1" customWidth="1"/>
    <col min="43" max="44" width="11" customWidth="1"/>
    <col min="45" max="45" width="8.5" bestFit="1" customWidth="1"/>
  </cols>
  <sheetData>
    <row r="1" spans="1:38" ht="16.5" customHeight="1" thickBot="1">
      <c r="A1" s="19"/>
      <c r="B1" s="19"/>
      <c r="C1" s="19"/>
      <c r="D1" s="19"/>
      <c r="E1" s="20"/>
      <c r="F1" s="20"/>
      <c r="G1" s="20"/>
      <c r="H1" s="20"/>
      <c r="I1" s="19"/>
      <c r="J1" s="19"/>
      <c r="K1" s="19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19"/>
      <c r="AK1" s="19"/>
    </row>
    <row r="2" spans="1:38" ht="16.5" customHeight="1">
      <c r="A2" s="19"/>
      <c r="B2" s="21"/>
      <c r="C2" s="22"/>
      <c r="D2" s="22"/>
      <c r="E2" s="23"/>
      <c r="F2" s="23"/>
      <c r="G2" s="23"/>
      <c r="H2" s="23"/>
      <c r="I2" s="22"/>
      <c r="J2" s="22"/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4"/>
      <c r="AK2" s="19"/>
    </row>
    <row r="3" spans="1:38" ht="33" thickBot="1">
      <c r="A3" s="19"/>
      <c r="B3" s="25"/>
      <c r="C3" s="371" t="s">
        <v>23</v>
      </c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2"/>
      <c r="AA3" s="372"/>
      <c r="AB3" s="372"/>
      <c r="AC3" s="372"/>
      <c r="AD3" s="372"/>
      <c r="AE3" s="372"/>
      <c r="AF3" s="372"/>
      <c r="AG3" s="372"/>
      <c r="AH3" s="372"/>
      <c r="AI3" s="373"/>
      <c r="AJ3" s="26"/>
      <c r="AK3" s="19"/>
    </row>
    <row r="4" spans="1:38" ht="80.25" customHeight="1">
      <c r="A4" s="19"/>
      <c r="B4" s="25"/>
      <c r="C4" s="400">
        <v>45772</v>
      </c>
      <c r="D4" s="375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6"/>
      <c r="AK4" s="19"/>
    </row>
    <row r="5" spans="1:38" ht="16.5" customHeight="1">
      <c r="A5" s="19"/>
      <c r="B5" s="25"/>
      <c r="C5" s="29" t="s">
        <v>75</v>
      </c>
      <c r="D5" s="29"/>
      <c r="E5" s="30"/>
      <c r="F5" s="30"/>
      <c r="G5" s="30"/>
      <c r="H5" s="30"/>
      <c r="I5" s="30"/>
      <c r="J5" s="30"/>
      <c r="K5" s="31"/>
      <c r="L5" s="376"/>
      <c r="M5" s="377"/>
      <c r="N5" s="376"/>
      <c r="O5" s="377"/>
      <c r="P5" s="377"/>
      <c r="Q5" s="377"/>
      <c r="R5" s="377"/>
      <c r="S5" s="377"/>
      <c r="T5" s="377"/>
      <c r="U5" s="377"/>
      <c r="V5" s="377"/>
      <c r="W5" s="377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26"/>
      <c r="AK5" s="19"/>
    </row>
    <row r="6" spans="1:38" ht="30">
      <c r="A6" s="19"/>
      <c r="B6" s="25"/>
      <c r="C6" s="98" t="s">
        <v>24</v>
      </c>
      <c r="D6" s="98" t="s">
        <v>25</v>
      </c>
      <c r="E6" s="99" t="s">
        <v>26</v>
      </c>
      <c r="F6" s="99" t="s">
        <v>27</v>
      </c>
      <c r="G6" s="99" t="s">
        <v>28</v>
      </c>
      <c r="H6" s="99" t="s">
        <v>29</v>
      </c>
      <c r="I6" s="99" t="s">
        <v>30</v>
      </c>
      <c r="J6" s="99" t="s">
        <v>31</v>
      </c>
      <c r="K6" s="99" t="s">
        <v>32</v>
      </c>
      <c r="L6" s="100" t="s">
        <v>33</v>
      </c>
      <c r="M6" s="100" t="s">
        <v>34</v>
      </c>
      <c r="N6" s="100" t="s">
        <v>35</v>
      </c>
      <c r="O6" s="100" t="s">
        <v>36</v>
      </c>
      <c r="P6" s="100" t="s">
        <v>37</v>
      </c>
      <c r="Q6" s="100" t="s">
        <v>38</v>
      </c>
      <c r="R6" s="100" t="s">
        <v>39</v>
      </c>
      <c r="S6" s="100" t="s">
        <v>40</v>
      </c>
      <c r="T6" s="100" t="s">
        <v>41</v>
      </c>
      <c r="U6" s="100" t="s">
        <v>42</v>
      </c>
      <c r="V6" s="100" t="s">
        <v>43</v>
      </c>
      <c r="W6" s="100" t="s">
        <v>44</v>
      </c>
      <c r="X6" s="100" t="s">
        <v>45</v>
      </c>
      <c r="Y6" s="100" t="s">
        <v>46</v>
      </c>
      <c r="Z6" s="100" t="s">
        <v>47</v>
      </c>
      <c r="AA6" s="100"/>
      <c r="AB6" s="100"/>
      <c r="AC6" s="100"/>
      <c r="AD6" s="100"/>
      <c r="AE6" s="100"/>
      <c r="AF6" s="100"/>
      <c r="AG6" s="100"/>
      <c r="AH6" s="100"/>
      <c r="AI6" s="101" t="s">
        <v>48</v>
      </c>
      <c r="AJ6" s="26"/>
      <c r="AK6" s="19"/>
    </row>
    <row r="7" spans="1:38" ht="16.5" customHeight="1">
      <c r="A7" s="19"/>
      <c r="B7" s="25"/>
      <c r="C7" s="38" t="s">
        <v>49</v>
      </c>
      <c r="D7" s="39" t="s">
        <v>50</v>
      </c>
      <c r="E7" s="40" t="s">
        <v>51</v>
      </c>
      <c r="F7" s="40" t="s">
        <v>5</v>
      </c>
      <c r="G7" s="40" t="s">
        <v>52</v>
      </c>
      <c r="H7" s="42">
        <v>45691</v>
      </c>
      <c r="I7" s="42">
        <v>46127</v>
      </c>
      <c r="J7" s="42"/>
      <c r="K7" s="42"/>
      <c r="L7" s="43">
        <v>1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</v>
      </c>
      <c r="S7" s="43">
        <v>1</v>
      </c>
      <c r="T7" s="43">
        <v>1</v>
      </c>
      <c r="U7" s="43">
        <v>1</v>
      </c>
      <c r="V7" s="43">
        <v>1</v>
      </c>
      <c r="W7" s="43">
        <v>1</v>
      </c>
      <c r="X7" s="43">
        <v>1</v>
      </c>
      <c r="Y7" s="43">
        <v>1</v>
      </c>
      <c r="Z7" s="43">
        <v>0.5</v>
      </c>
      <c r="AA7" s="44"/>
      <c r="AB7" s="44"/>
      <c r="AC7" s="44"/>
      <c r="AD7" s="44"/>
      <c r="AE7" s="44"/>
      <c r="AF7" s="44"/>
      <c r="AG7" s="44"/>
      <c r="AH7" s="44"/>
      <c r="AI7" s="45">
        <f t="shared" ref="AI7:AI17" si="0">SUM(L7:AH7)</f>
        <v>14.5</v>
      </c>
      <c r="AJ7" s="26"/>
      <c r="AK7" s="19"/>
    </row>
    <row r="8" spans="1:38" ht="16.5" customHeight="1">
      <c r="A8" s="19"/>
      <c r="B8" s="25"/>
      <c r="C8" s="38" t="s">
        <v>53</v>
      </c>
      <c r="D8" s="39" t="s">
        <v>54</v>
      </c>
      <c r="E8" s="40" t="s">
        <v>51</v>
      </c>
      <c r="F8" s="40" t="s">
        <v>4</v>
      </c>
      <c r="G8" s="40" t="s">
        <v>52</v>
      </c>
      <c r="H8" s="42">
        <v>45705</v>
      </c>
      <c r="I8" s="42">
        <v>46127</v>
      </c>
      <c r="J8" s="42"/>
      <c r="K8" s="42"/>
      <c r="L8" s="43">
        <v>0.5</v>
      </c>
      <c r="M8" s="43">
        <v>1</v>
      </c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0.5</v>
      </c>
      <c r="AA8" s="44"/>
      <c r="AB8" s="44"/>
      <c r="AC8" s="44"/>
      <c r="AD8" s="44"/>
      <c r="AE8" s="44"/>
      <c r="AF8" s="44"/>
      <c r="AG8" s="44"/>
      <c r="AH8" s="44"/>
      <c r="AI8" s="45">
        <f t="shared" si="0"/>
        <v>14</v>
      </c>
      <c r="AJ8" s="26"/>
      <c r="AK8" s="19"/>
    </row>
    <row r="9" spans="1:38" ht="16.5" customHeight="1">
      <c r="A9" s="19"/>
      <c r="B9" s="25"/>
      <c r="C9" s="47"/>
      <c r="D9" s="397" t="s">
        <v>141</v>
      </c>
      <c r="E9" s="40" t="s">
        <v>51</v>
      </c>
      <c r="F9" s="40" t="s">
        <v>9</v>
      </c>
      <c r="G9" s="40" t="s">
        <v>52</v>
      </c>
      <c r="H9" s="42">
        <v>45691</v>
      </c>
      <c r="I9" s="42">
        <v>46096</v>
      </c>
      <c r="J9" s="42"/>
      <c r="K9" s="42"/>
      <c r="L9" s="43">
        <v>1</v>
      </c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0.5</v>
      </c>
      <c r="W9" s="43"/>
      <c r="X9" s="43"/>
      <c r="Y9" s="43"/>
      <c r="Z9" s="43"/>
      <c r="AA9" s="44"/>
      <c r="AB9" s="44"/>
      <c r="AC9" s="44"/>
      <c r="AD9" s="44"/>
      <c r="AE9" s="44"/>
      <c r="AF9" s="44"/>
      <c r="AG9" s="44"/>
      <c r="AH9" s="44"/>
      <c r="AI9" s="45">
        <f t="shared" si="0"/>
        <v>10.5</v>
      </c>
      <c r="AJ9" s="26"/>
      <c r="AK9" s="19"/>
    </row>
    <row r="10" spans="1:38" ht="16.5" customHeight="1">
      <c r="A10" s="19"/>
      <c r="B10" s="25"/>
      <c r="C10" s="47"/>
      <c r="D10" s="379"/>
      <c r="E10" s="40" t="s">
        <v>51</v>
      </c>
      <c r="F10" s="40" t="s">
        <v>8</v>
      </c>
      <c r="G10" s="102" t="s">
        <v>52</v>
      </c>
      <c r="H10" s="42">
        <v>45691</v>
      </c>
      <c r="I10" s="42">
        <v>45989</v>
      </c>
      <c r="J10" s="42"/>
      <c r="K10" s="42"/>
      <c r="L10" s="43">
        <v>1</v>
      </c>
      <c r="M10" s="43">
        <v>1</v>
      </c>
      <c r="N10" s="43">
        <v>1</v>
      </c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/>
      <c r="W10" s="43"/>
      <c r="X10" s="43"/>
      <c r="Y10" s="43"/>
      <c r="Z10" s="43"/>
      <c r="AA10" s="44"/>
      <c r="AB10" s="44"/>
      <c r="AC10" s="44"/>
      <c r="AD10" s="44"/>
      <c r="AE10" s="44"/>
      <c r="AF10" s="44"/>
      <c r="AG10" s="44"/>
      <c r="AH10" s="44"/>
      <c r="AI10" s="45">
        <f t="shared" si="0"/>
        <v>10</v>
      </c>
      <c r="AJ10" s="26"/>
      <c r="AK10" s="19"/>
    </row>
    <row r="11" spans="1:38" ht="16.5" customHeight="1">
      <c r="A11" s="19"/>
      <c r="B11" s="25"/>
      <c r="C11" s="50" t="s">
        <v>49</v>
      </c>
      <c r="D11" s="379"/>
      <c r="E11" s="40" t="s">
        <v>51</v>
      </c>
      <c r="F11" s="40" t="s">
        <v>21</v>
      </c>
      <c r="G11" s="102" t="s">
        <v>51</v>
      </c>
      <c r="H11" s="42">
        <v>45733</v>
      </c>
      <c r="I11" s="42">
        <v>45916</v>
      </c>
      <c r="J11" s="42"/>
      <c r="K11" s="42"/>
      <c r="L11" s="43"/>
      <c r="M11" s="43">
        <v>0.5</v>
      </c>
      <c r="N11" s="43">
        <v>1</v>
      </c>
      <c r="O11" s="43">
        <v>1</v>
      </c>
      <c r="P11" s="43">
        <v>1</v>
      </c>
      <c r="Q11" s="43">
        <v>1</v>
      </c>
      <c r="R11" s="43">
        <v>1</v>
      </c>
      <c r="S11" s="43">
        <v>0.5</v>
      </c>
      <c r="T11" s="43"/>
      <c r="U11" s="43"/>
      <c r="V11" s="43"/>
      <c r="W11" s="43"/>
      <c r="X11" s="46"/>
      <c r="Y11" s="46"/>
      <c r="Z11" s="46"/>
      <c r="AA11" s="44"/>
      <c r="AB11" s="44"/>
      <c r="AC11" s="44"/>
      <c r="AD11" s="44"/>
      <c r="AE11" s="44"/>
      <c r="AF11" s="44"/>
      <c r="AG11" s="44"/>
      <c r="AH11" s="44"/>
      <c r="AI11" s="45">
        <f t="shared" si="0"/>
        <v>6</v>
      </c>
      <c r="AJ11" s="26"/>
      <c r="AK11" s="19"/>
    </row>
    <row r="12" spans="1:38" ht="16.5" customHeight="1">
      <c r="A12" s="19"/>
      <c r="B12" s="25"/>
      <c r="C12" s="50" t="s">
        <v>49</v>
      </c>
      <c r="D12" s="379"/>
      <c r="E12" s="40" t="s">
        <v>51</v>
      </c>
      <c r="F12" s="40" t="s">
        <v>15</v>
      </c>
      <c r="G12" s="102" t="s">
        <v>52</v>
      </c>
      <c r="H12" s="42">
        <v>45748</v>
      </c>
      <c r="I12" s="42">
        <v>45961</v>
      </c>
      <c r="J12" s="42"/>
      <c r="K12" s="42"/>
      <c r="L12" s="43"/>
      <c r="M12" s="43"/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/>
      <c r="V12" s="43"/>
      <c r="W12" s="43"/>
      <c r="X12" s="46"/>
      <c r="Y12" s="46"/>
      <c r="Z12" s="46"/>
      <c r="AA12" s="44"/>
      <c r="AB12" s="44"/>
      <c r="AC12" s="44"/>
      <c r="AD12" s="44"/>
      <c r="AE12" s="44"/>
      <c r="AF12" s="44"/>
      <c r="AG12" s="44"/>
      <c r="AH12" s="44"/>
      <c r="AI12" s="45">
        <f t="shared" si="0"/>
        <v>7</v>
      </c>
      <c r="AJ12" s="26"/>
      <c r="AK12" s="19"/>
    </row>
    <row r="13" spans="1:38" ht="16.5" customHeight="1">
      <c r="A13" s="19"/>
      <c r="B13" s="25"/>
      <c r="C13" s="50" t="s">
        <v>49</v>
      </c>
      <c r="D13" s="379"/>
      <c r="E13" s="40" t="s">
        <v>51</v>
      </c>
      <c r="F13" s="40" t="s">
        <v>19</v>
      </c>
      <c r="G13" s="102" t="s">
        <v>52</v>
      </c>
      <c r="H13" s="42">
        <v>45748</v>
      </c>
      <c r="I13" s="42">
        <v>45961</v>
      </c>
      <c r="J13" s="42"/>
      <c r="K13" s="42"/>
      <c r="L13" s="43"/>
      <c r="M13" s="43"/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/>
      <c r="V13" s="43"/>
      <c r="W13" s="43"/>
      <c r="X13" s="46"/>
      <c r="Y13" s="46"/>
      <c r="Z13" s="46"/>
      <c r="AA13" s="44"/>
      <c r="AB13" s="44"/>
      <c r="AC13" s="44"/>
      <c r="AD13" s="44"/>
      <c r="AE13" s="44"/>
      <c r="AF13" s="44"/>
      <c r="AG13" s="44"/>
      <c r="AH13" s="44"/>
      <c r="AI13" s="45">
        <f t="shared" si="0"/>
        <v>7</v>
      </c>
      <c r="AJ13" s="26"/>
      <c r="AK13" s="19"/>
    </row>
    <row r="14" spans="1:38" ht="16.5" customHeight="1">
      <c r="A14" s="19"/>
      <c r="B14" s="25"/>
      <c r="C14" s="50" t="s">
        <v>49</v>
      </c>
      <c r="D14" s="379"/>
      <c r="E14" s="51" t="s">
        <v>57</v>
      </c>
      <c r="F14" s="51" t="s">
        <v>12</v>
      </c>
      <c r="G14" s="51" t="s">
        <v>51</v>
      </c>
      <c r="H14" s="53">
        <v>45691</v>
      </c>
      <c r="I14" s="53">
        <v>45960</v>
      </c>
      <c r="J14" s="53"/>
      <c r="K14" s="53"/>
      <c r="L14" s="55">
        <v>1</v>
      </c>
      <c r="M14" s="55">
        <v>1</v>
      </c>
      <c r="N14" s="55">
        <v>1</v>
      </c>
      <c r="O14" s="55">
        <v>1</v>
      </c>
      <c r="P14" s="55">
        <v>1</v>
      </c>
      <c r="Q14" s="55">
        <v>1</v>
      </c>
      <c r="R14" s="55">
        <v>1</v>
      </c>
      <c r="S14" s="55">
        <v>1</v>
      </c>
      <c r="T14" s="55">
        <v>1</v>
      </c>
      <c r="U14" s="55"/>
      <c r="V14" s="55"/>
      <c r="W14" s="55"/>
      <c r="X14" s="55"/>
      <c r="Y14" s="55"/>
      <c r="Z14" s="55"/>
      <c r="AA14" s="44"/>
      <c r="AB14" s="44"/>
      <c r="AC14" s="44"/>
      <c r="AD14" s="44"/>
      <c r="AE14" s="44"/>
      <c r="AF14" s="44"/>
      <c r="AG14" s="44"/>
      <c r="AH14" s="44"/>
      <c r="AI14" s="45">
        <f t="shared" si="0"/>
        <v>9</v>
      </c>
      <c r="AJ14" s="26"/>
      <c r="AK14" s="19"/>
    </row>
    <row r="15" spans="1:38" ht="16.5" customHeight="1">
      <c r="A15" s="19"/>
      <c r="B15" s="25"/>
      <c r="C15" s="50" t="s">
        <v>49</v>
      </c>
      <c r="D15" s="379"/>
      <c r="E15" s="51" t="s">
        <v>57</v>
      </c>
      <c r="F15" s="51" t="s">
        <v>16</v>
      </c>
      <c r="G15" s="51" t="s">
        <v>51</v>
      </c>
      <c r="H15" s="53">
        <v>45720</v>
      </c>
      <c r="I15" s="53">
        <v>46022</v>
      </c>
      <c r="J15" s="53"/>
      <c r="K15" s="53"/>
      <c r="L15" s="55"/>
      <c r="M15" s="55">
        <v>1</v>
      </c>
      <c r="N15" s="55">
        <v>1</v>
      </c>
      <c r="O15" s="55">
        <v>1</v>
      </c>
      <c r="P15" s="55">
        <v>1</v>
      </c>
      <c r="Q15" s="55">
        <v>1</v>
      </c>
      <c r="R15" s="55">
        <v>1</v>
      </c>
      <c r="S15" s="55">
        <v>1</v>
      </c>
      <c r="T15" s="55">
        <v>1</v>
      </c>
      <c r="U15" s="55">
        <v>1</v>
      </c>
      <c r="V15" s="55">
        <v>1</v>
      </c>
      <c r="W15" s="55"/>
      <c r="X15" s="55"/>
      <c r="Y15" s="55"/>
      <c r="Z15" s="55"/>
      <c r="AA15" s="44"/>
      <c r="AB15" s="44"/>
      <c r="AC15" s="44"/>
      <c r="AD15" s="44"/>
      <c r="AE15" s="44"/>
      <c r="AF15" s="44"/>
      <c r="AG15" s="44"/>
      <c r="AH15" s="44"/>
      <c r="AI15" s="45">
        <f t="shared" si="0"/>
        <v>10</v>
      </c>
      <c r="AJ15" s="26"/>
      <c r="AK15" s="19"/>
    </row>
    <row r="16" spans="1:38" ht="16.5" customHeight="1">
      <c r="A16" s="19"/>
      <c r="B16" s="25"/>
      <c r="C16" s="50" t="s">
        <v>49</v>
      </c>
      <c r="D16" s="379"/>
      <c r="E16" s="51" t="s">
        <v>57</v>
      </c>
      <c r="F16" s="51" t="s">
        <v>20</v>
      </c>
      <c r="G16" s="51" t="s">
        <v>51</v>
      </c>
      <c r="H16" s="53">
        <v>45720</v>
      </c>
      <c r="I16" s="53">
        <v>46022</v>
      </c>
      <c r="J16" s="53"/>
      <c r="K16" s="53"/>
      <c r="L16" s="55"/>
      <c r="M16" s="55">
        <v>1</v>
      </c>
      <c r="N16" s="55">
        <v>1</v>
      </c>
      <c r="O16" s="55">
        <v>1</v>
      </c>
      <c r="P16" s="55">
        <v>1</v>
      </c>
      <c r="Q16" s="55">
        <v>1</v>
      </c>
      <c r="R16" s="55">
        <v>1</v>
      </c>
      <c r="S16" s="44"/>
      <c r="T16" s="44"/>
      <c r="U16" s="44"/>
      <c r="V16" s="44"/>
      <c r="W16" s="55"/>
      <c r="X16" s="55"/>
      <c r="Y16" s="55"/>
      <c r="Z16" s="55"/>
      <c r="AA16" s="44"/>
      <c r="AB16" s="44"/>
      <c r="AC16" s="44"/>
      <c r="AD16" s="44"/>
      <c r="AE16" s="44"/>
      <c r="AF16" s="44"/>
      <c r="AG16" s="44"/>
      <c r="AH16" s="44"/>
      <c r="AI16" s="45">
        <f t="shared" si="0"/>
        <v>6</v>
      </c>
      <c r="AJ16" s="26"/>
      <c r="AK16" s="19"/>
      <c r="AL16" s="19"/>
    </row>
    <row r="17" spans="1:38" ht="16.5" customHeight="1">
      <c r="A17" s="19"/>
      <c r="B17" s="25"/>
      <c r="C17" s="50" t="s">
        <v>49</v>
      </c>
      <c r="D17" s="379"/>
      <c r="E17" s="57" t="s">
        <v>59</v>
      </c>
      <c r="F17" s="57" t="s">
        <v>13</v>
      </c>
      <c r="G17" s="57" t="s">
        <v>59</v>
      </c>
      <c r="H17" s="59">
        <v>45691</v>
      </c>
      <c r="I17" s="59">
        <v>45991</v>
      </c>
      <c r="J17" s="59"/>
      <c r="K17" s="59"/>
      <c r="L17" s="44">
        <v>1</v>
      </c>
      <c r="M17" s="44">
        <v>1</v>
      </c>
      <c r="N17" s="44">
        <v>1</v>
      </c>
      <c r="O17" s="44">
        <v>1</v>
      </c>
      <c r="P17" s="44">
        <v>1</v>
      </c>
      <c r="Q17" s="44">
        <v>1</v>
      </c>
      <c r="R17" s="44">
        <v>1</v>
      </c>
      <c r="S17" s="44">
        <v>1</v>
      </c>
      <c r="T17" s="44">
        <v>1</v>
      </c>
      <c r="U17" s="44">
        <v>1</v>
      </c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5">
        <f t="shared" si="0"/>
        <v>10</v>
      </c>
      <c r="AJ17" s="26"/>
      <c r="AK17" s="19"/>
      <c r="AL17" s="19"/>
    </row>
    <row r="18" spans="1:38" ht="16.5" customHeight="1">
      <c r="A18" s="19"/>
      <c r="B18" s="25"/>
      <c r="C18" s="50" t="s">
        <v>49</v>
      </c>
      <c r="D18" s="379"/>
      <c r="E18" s="57" t="s">
        <v>59</v>
      </c>
      <c r="F18" s="57" t="s">
        <v>17</v>
      </c>
      <c r="G18" s="103" t="s">
        <v>59</v>
      </c>
      <c r="H18" s="59">
        <v>45691</v>
      </c>
      <c r="I18" s="59">
        <v>45961</v>
      </c>
      <c r="J18" s="59"/>
      <c r="K18" s="59"/>
      <c r="L18" s="44">
        <v>1</v>
      </c>
      <c r="M18" s="44">
        <v>1</v>
      </c>
      <c r="N18" s="44">
        <v>1</v>
      </c>
      <c r="O18" s="44">
        <v>1</v>
      </c>
      <c r="P18" s="44">
        <v>1</v>
      </c>
      <c r="Q18" s="44">
        <v>1</v>
      </c>
      <c r="R18" s="44">
        <v>1</v>
      </c>
      <c r="S18" s="44">
        <v>1</v>
      </c>
      <c r="T18" s="44">
        <v>1</v>
      </c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5">
        <f t="shared" ref="AI18:AI19" si="1">SUM(L18:Z18)</f>
        <v>9</v>
      </c>
      <c r="AJ18" s="26"/>
      <c r="AK18" s="19"/>
      <c r="AL18" s="19"/>
    </row>
    <row r="19" spans="1:38" ht="16.5" hidden="1" customHeight="1">
      <c r="A19" s="19"/>
      <c r="B19" s="25"/>
      <c r="C19" s="50" t="s">
        <v>49</v>
      </c>
      <c r="D19" s="379"/>
      <c r="E19" s="57"/>
      <c r="F19" s="57"/>
      <c r="G19" s="57"/>
      <c r="H19" s="59"/>
      <c r="I19" s="59"/>
      <c r="J19" s="59"/>
      <c r="K19" s="5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5">
        <f t="shared" si="1"/>
        <v>0</v>
      </c>
      <c r="AJ19" s="26"/>
      <c r="AK19" s="19"/>
      <c r="AL19" s="19"/>
    </row>
    <row r="20" spans="1:38" ht="16.5" hidden="1" customHeight="1">
      <c r="A20" s="19"/>
      <c r="B20" s="25"/>
      <c r="C20" s="50" t="s">
        <v>49</v>
      </c>
      <c r="D20" s="379"/>
      <c r="E20" s="57"/>
      <c r="F20" s="57"/>
      <c r="G20" s="57"/>
      <c r="H20" s="59"/>
      <c r="I20" s="59"/>
      <c r="J20" s="59"/>
      <c r="K20" s="59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5">
        <f t="shared" ref="AI20:AI24" si="2">SUM(L20:AH20)</f>
        <v>0</v>
      </c>
      <c r="AJ20" s="26"/>
      <c r="AK20" s="19"/>
      <c r="AL20" s="19"/>
    </row>
    <row r="21" spans="1:38" ht="16.5" hidden="1" customHeight="1">
      <c r="A21" s="19"/>
      <c r="B21" s="25"/>
      <c r="C21" s="50" t="s">
        <v>49</v>
      </c>
      <c r="D21" s="380"/>
      <c r="E21" s="57"/>
      <c r="F21" s="57"/>
      <c r="G21" s="57"/>
      <c r="H21" s="59"/>
      <c r="I21" s="59"/>
      <c r="J21" s="59"/>
      <c r="K21" s="59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>
        <f t="shared" si="2"/>
        <v>0</v>
      </c>
      <c r="AJ21" s="26"/>
      <c r="AK21" s="19"/>
      <c r="AL21" s="19"/>
    </row>
    <row r="22" spans="1:38" ht="16.5" hidden="1" customHeight="1">
      <c r="A22" s="19"/>
      <c r="B22" s="25"/>
      <c r="C22" s="50" t="s">
        <v>49</v>
      </c>
      <c r="D22" s="378"/>
      <c r="E22" s="57"/>
      <c r="F22" s="57"/>
      <c r="G22" s="57"/>
      <c r="H22" s="59"/>
      <c r="I22" s="59"/>
      <c r="J22" s="59"/>
      <c r="K22" s="59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>
        <f t="shared" si="2"/>
        <v>0</v>
      </c>
      <c r="AJ22" s="26"/>
      <c r="AK22" s="19"/>
    </row>
    <row r="23" spans="1:38" ht="16.5" hidden="1" customHeight="1">
      <c r="A23" s="19"/>
      <c r="B23" s="25"/>
      <c r="C23" s="50" t="s">
        <v>49</v>
      </c>
      <c r="D23" s="379"/>
      <c r="E23" s="57"/>
      <c r="F23" s="57"/>
      <c r="G23" s="57"/>
      <c r="H23" s="59"/>
      <c r="I23" s="59"/>
      <c r="J23" s="59"/>
      <c r="K23" s="59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>
        <f t="shared" si="2"/>
        <v>0</v>
      </c>
      <c r="AJ23" s="26"/>
      <c r="AK23" s="19"/>
    </row>
    <row r="24" spans="1:38" ht="16.5" hidden="1" customHeight="1">
      <c r="A24" s="19"/>
      <c r="B24" s="25"/>
      <c r="C24" s="50" t="s">
        <v>49</v>
      </c>
      <c r="D24" s="380"/>
      <c r="E24" s="57"/>
      <c r="F24" s="57"/>
      <c r="G24" s="57"/>
      <c r="H24" s="59"/>
      <c r="I24" s="59"/>
      <c r="J24" s="59"/>
      <c r="K24" s="59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5">
        <f t="shared" si="2"/>
        <v>0</v>
      </c>
      <c r="AJ24" s="26"/>
      <c r="AK24" s="19"/>
    </row>
    <row r="25" spans="1:38" ht="16.5" customHeight="1">
      <c r="A25" s="19"/>
      <c r="B25" s="25"/>
      <c r="C25" s="61" t="s">
        <v>49</v>
      </c>
      <c r="D25" s="104" t="s">
        <v>60</v>
      </c>
      <c r="E25" s="66"/>
      <c r="F25" s="66"/>
      <c r="G25" s="66"/>
      <c r="H25" s="66"/>
      <c r="I25" s="66" t="s">
        <v>61</v>
      </c>
      <c r="J25" s="67"/>
      <c r="K25" s="67"/>
      <c r="L25" s="68">
        <f t="shared" ref="L25:Z25" si="3">SUM(L7:L24)</f>
        <v>6.5</v>
      </c>
      <c r="M25" s="68">
        <f t="shared" si="3"/>
        <v>9.5</v>
      </c>
      <c r="N25" s="68">
        <f t="shared" si="3"/>
        <v>12</v>
      </c>
      <c r="O25" s="68">
        <f t="shared" si="3"/>
        <v>12</v>
      </c>
      <c r="P25" s="68">
        <f t="shared" si="3"/>
        <v>12</v>
      </c>
      <c r="Q25" s="68">
        <f t="shared" si="3"/>
        <v>12</v>
      </c>
      <c r="R25" s="68">
        <f t="shared" si="3"/>
        <v>12</v>
      </c>
      <c r="S25" s="68">
        <f t="shared" si="3"/>
        <v>10.5</v>
      </c>
      <c r="T25" s="68">
        <f t="shared" si="3"/>
        <v>10</v>
      </c>
      <c r="U25" s="68">
        <f t="shared" si="3"/>
        <v>6</v>
      </c>
      <c r="V25" s="68">
        <f t="shared" si="3"/>
        <v>3.5</v>
      </c>
      <c r="W25" s="68">
        <f t="shared" si="3"/>
        <v>2</v>
      </c>
      <c r="X25" s="68">
        <f t="shared" si="3"/>
        <v>2</v>
      </c>
      <c r="Y25" s="68">
        <f t="shared" si="3"/>
        <v>2</v>
      </c>
      <c r="Z25" s="68">
        <f t="shared" si="3"/>
        <v>1</v>
      </c>
      <c r="AA25" s="68"/>
      <c r="AB25" s="68"/>
      <c r="AC25" s="68"/>
      <c r="AD25" s="68"/>
      <c r="AE25" s="68"/>
      <c r="AF25" s="68"/>
      <c r="AG25" s="68"/>
      <c r="AH25" s="68"/>
      <c r="AI25" s="69">
        <f>SUM(AI7:AI24)</f>
        <v>113</v>
      </c>
      <c r="AJ25" s="26"/>
      <c r="AK25" s="19"/>
    </row>
    <row r="26" spans="1:38" ht="4.5" customHeight="1">
      <c r="A26" s="70"/>
      <c r="B26" s="71"/>
      <c r="C26" s="72"/>
      <c r="D26" s="73"/>
      <c r="E26" s="74"/>
      <c r="F26" s="74"/>
      <c r="G26" s="74"/>
      <c r="H26" s="76"/>
      <c r="I26" s="76"/>
      <c r="J26" s="76"/>
      <c r="K26" s="76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8"/>
      <c r="AK26" s="70"/>
    </row>
    <row r="27" spans="1:38" ht="16.5" customHeight="1">
      <c r="A27" s="19"/>
      <c r="B27" s="25"/>
      <c r="C27" s="38" t="s">
        <v>62</v>
      </c>
      <c r="D27" s="79" t="s">
        <v>54</v>
      </c>
      <c r="E27" s="51" t="s">
        <v>57</v>
      </c>
      <c r="F27" s="51" t="s">
        <v>6</v>
      </c>
      <c r="G27" s="105" t="s">
        <v>56</v>
      </c>
      <c r="H27" s="53">
        <v>45726</v>
      </c>
      <c r="I27" s="53">
        <v>46127</v>
      </c>
      <c r="J27" s="53"/>
      <c r="K27" s="53"/>
      <c r="L27" s="55"/>
      <c r="M27" s="55">
        <v>0.75</v>
      </c>
      <c r="N27" s="55">
        <v>1</v>
      </c>
      <c r="O27" s="55">
        <v>1</v>
      </c>
      <c r="P27" s="55">
        <v>1</v>
      </c>
      <c r="Q27" s="55">
        <v>1</v>
      </c>
      <c r="R27" s="55">
        <v>1</v>
      </c>
      <c r="S27" s="55">
        <v>1</v>
      </c>
      <c r="T27" s="55">
        <v>1</v>
      </c>
      <c r="U27" s="55">
        <v>1</v>
      </c>
      <c r="V27" s="55">
        <v>1</v>
      </c>
      <c r="W27" s="55">
        <v>1</v>
      </c>
      <c r="X27" s="55">
        <v>1</v>
      </c>
      <c r="Y27" s="55">
        <v>1</v>
      </c>
      <c r="Z27" s="55">
        <v>0.5</v>
      </c>
      <c r="AA27" s="44"/>
      <c r="AB27" s="44"/>
      <c r="AC27" s="44"/>
      <c r="AD27" s="44"/>
      <c r="AE27" s="44"/>
      <c r="AF27" s="44"/>
      <c r="AG27" s="44"/>
      <c r="AH27" s="44"/>
      <c r="AI27" s="45">
        <f t="shared" ref="AI27:AI35" si="4">SUM(L27:AH27)</f>
        <v>13.25</v>
      </c>
      <c r="AJ27" s="26"/>
      <c r="AK27" s="19"/>
    </row>
    <row r="28" spans="1:38" ht="16.5" customHeight="1">
      <c r="A28" s="19"/>
      <c r="B28" s="25"/>
      <c r="C28" s="47"/>
      <c r="D28" s="390" t="s">
        <v>63</v>
      </c>
      <c r="E28" s="51" t="s">
        <v>57</v>
      </c>
      <c r="F28" s="51" t="s">
        <v>10</v>
      </c>
      <c r="G28" s="105" t="s">
        <v>56</v>
      </c>
      <c r="H28" s="53">
        <v>45726</v>
      </c>
      <c r="I28" s="53">
        <v>46127</v>
      </c>
      <c r="J28" s="53"/>
      <c r="K28" s="53"/>
      <c r="L28" s="55"/>
      <c r="M28" s="55">
        <v>0.75</v>
      </c>
      <c r="N28" s="55">
        <v>1</v>
      </c>
      <c r="O28" s="55">
        <v>1</v>
      </c>
      <c r="P28" s="55">
        <v>1</v>
      </c>
      <c r="Q28" s="55">
        <v>1</v>
      </c>
      <c r="R28" s="55">
        <v>1</v>
      </c>
      <c r="S28" s="55">
        <v>1</v>
      </c>
      <c r="T28" s="55">
        <v>1</v>
      </c>
      <c r="U28" s="55">
        <v>1</v>
      </c>
      <c r="V28" s="55">
        <v>1</v>
      </c>
      <c r="W28" s="55">
        <v>1</v>
      </c>
      <c r="X28" s="55">
        <v>1</v>
      </c>
      <c r="Y28" s="55">
        <v>1</v>
      </c>
      <c r="Z28" s="55">
        <v>0.5</v>
      </c>
      <c r="AA28" s="44"/>
      <c r="AB28" s="44"/>
      <c r="AC28" s="44"/>
      <c r="AD28" s="44"/>
      <c r="AE28" s="44"/>
      <c r="AF28" s="44"/>
      <c r="AG28" s="44"/>
      <c r="AH28" s="44"/>
      <c r="AI28" s="45">
        <f t="shared" si="4"/>
        <v>13.25</v>
      </c>
      <c r="AJ28" s="26"/>
      <c r="AK28" s="19"/>
    </row>
    <row r="29" spans="1:38" ht="16.5" customHeight="1">
      <c r="A29" s="19"/>
      <c r="B29" s="25"/>
      <c r="C29" s="47"/>
      <c r="D29" s="379"/>
      <c r="E29" s="51" t="s">
        <v>57</v>
      </c>
      <c r="F29" s="51" t="s">
        <v>22</v>
      </c>
      <c r="G29" s="51" t="s">
        <v>51</v>
      </c>
      <c r="H29" s="53">
        <v>45748</v>
      </c>
      <c r="I29" s="53">
        <v>46066</v>
      </c>
      <c r="J29" s="53"/>
      <c r="K29" s="53"/>
      <c r="L29" s="55"/>
      <c r="M29" s="55"/>
      <c r="N29" s="55">
        <v>1</v>
      </c>
      <c r="O29" s="55">
        <v>1</v>
      </c>
      <c r="P29" s="55">
        <v>1</v>
      </c>
      <c r="Q29" s="55">
        <v>1</v>
      </c>
      <c r="R29" s="55">
        <v>1</v>
      </c>
      <c r="S29" s="55">
        <v>1</v>
      </c>
      <c r="T29" s="55">
        <v>1</v>
      </c>
      <c r="U29" s="55">
        <v>1</v>
      </c>
      <c r="V29" s="110"/>
      <c r="W29" s="110"/>
      <c r="X29" s="112"/>
      <c r="Y29" s="55"/>
      <c r="Z29" s="55"/>
      <c r="AA29" s="44"/>
      <c r="AB29" s="44"/>
      <c r="AC29" s="44"/>
      <c r="AD29" s="44"/>
      <c r="AE29" s="44"/>
      <c r="AF29" s="44"/>
      <c r="AG29" s="44"/>
      <c r="AH29" s="44"/>
      <c r="AI29" s="45">
        <f t="shared" si="4"/>
        <v>8</v>
      </c>
      <c r="AJ29" s="26"/>
      <c r="AK29" s="19"/>
    </row>
    <row r="30" spans="1:38" ht="16.5" customHeight="1">
      <c r="A30" s="19"/>
      <c r="B30" s="25"/>
      <c r="C30" s="50" t="s">
        <v>62</v>
      </c>
      <c r="D30" s="379"/>
      <c r="E30" s="57" t="s">
        <v>59</v>
      </c>
      <c r="F30" s="130" t="s">
        <v>93</v>
      </c>
      <c r="G30" s="103"/>
      <c r="H30" s="59"/>
      <c r="I30" s="59"/>
      <c r="J30" s="59"/>
      <c r="K30" s="59"/>
      <c r="L30" s="44"/>
      <c r="M30" s="44"/>
      <c r="N30" s="44"/>
      <c r="O30" s="44"/>
      <c r="P30" s="132">
        <v>1</v>
      </c>
      <c r="Q30" s="132">
        <v>1</v>
      </c>
      <c r="R30" s="81">
        <v>1</v>
      </c>
      <c r="S30" s="81">
        <v>1</v>
      </c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5">
        <f t="shared" si="4"/>
        <v>4</v>
      </c>
      <c r="AJ30" s="26"/>
      <c r="AK30" s="19"/>
    </row>
    <row r="31" spans="1:38" ht="16.5" customHeight="1">
      <c r="A31" s="19" t="s">
        <v>86</v>
      </c>
      <c r="B31" s="25"/>
      <c r="C31" s="50" t="s">
        <v>62</v>
      </c>
      <c r="D31" s="379"/>
      <c r="E31" s="57" t="s">
        <v>59</v>
      </c>
      <c r="F31" s="131" t="s">
        <v>94</v>
      </c>
      <c r="G31" s="103"/>
      <c r="H31" s="59"/>
      <c r="I31" s="59"/>
      <c r="J31" s="59"/>
      <c r="K31" s="59"/>
      <c r="L31" s="44"/>
      <c r="M31" s="44"/>
      <c r="N31" s="44"/>
      <c r="O31" s="44"/>
      <c r="P31" s="132">
        <v>1</v>
      </c>
      <c r="Q31" s="113">
        <v>1</v>
      </c>
      <c r="R31" s="81">
        <v>1</v>
      </c>
      <c r="S31" s="81">
        <v>1</v>
      </c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5">
        <f t="shared" si="4"/>
        <v>4</v>
      </c>
      <c r="AJ31" s="26"/>
      <c r="AK31" s="19"/>
    </row>
    <row r="32" spans="1:38" ht="16.5" customHeight="1">
      <c r="A32" s="19"/>
      <c r="B32" s="25"/>
      <c r="C32" s="50" t="s">
        <v>62</v>
      </c>
      <c r="D32" s="379"/>
      <c r="E32" s="57" t="s">
        <v>59</v>
      </c>
      <c r="F32" s="57" t="s">
        <v>14</v>
      </c>
      <c r="G32" s="103" t="s">
        <v>56</v>
      </c>
      <c r="H32" s="59">
        <v>45726</v>
      </c>
      <c r="I32" s="59">
        <v>46127</v>
      </c>
      <c r="J32" s="59"/>
      <c r="K32" s="59"/>
      <c r="L32" s="44"/>
      <c r="M32" s="44">
        <v>0.75</v>
      </c>
      <c r="N32" s="44">
        <v>1</v>
      </c>
      <c r="O32" s="44">
        <v>1</v>
      </c>
      <c r="P32" s="44">
        <v>1</v>
      </c>
      <c r="Q32" s="44">
        <v>1</v>
      </c>
      <c r="R32" s="44">
        <v>1</v>
      </c>
      <c r="S32" s="44">
        <v>1</v>
      </c>
      <c r="T32" s="44">
        <v>1</v>
      </c>
      <c r="U32" s="44">
        <v>1</v>
      </c>
      <c r="V32" s="44">
        <v>1</v>
      </c>
      <c r="W32" s="44">
        <v>1</v>
      </c>
      <c r="X32" s="44">
        <v>1</v>
      </c>
      <c r="Y32" s="111">
        <v>0.5</v>
      </c>
      <c r="Z32" s="111"/>
      <c r="AA32" s="44"/>
      <c r="AB32" s="44"/>
      <c r="AC32" s="44"/>
      <c r="AD32" s="44"/>
      <c r="AE32" s="44"/>
      <c r="AF32" s="44"/>
      <c r="AG32" s="44"/>
      <c r="AH32" s="44"/>
      <c r="AI32" s="45">
        <f t="shared" si="4"/>
        <v>12.25</v>
      </c>
      <c r="AJ32" s="26"/>
      <c r="AK32" s="19"/>
    </row>
    <row r="33" spans="1:37" ht="16.5" customHeight="1">
      <c r="A33" s="19"/>
      <c r="B33" s="25"/>
      <c r="C33" s="50" t="s">
        <v>62</v>
      </c>
      <c r="D33" s="379"/>
      <c r="E33" s="57" t="s">
        <v>59</v>
      </c>
      <c r="F33" s="57" t="s">
        <v>7</v>
      </c>
      <c r="G33" s="103" t="s">
        <v>56</v>
      </c>
      <c r="H33" s="59">
        <v>45748</v>
      </c>
      <c r="I33" s="59">
        <v>45961</v>
      </c>
      <c r="J33" s="59"/>
      <c r="K33" s="59"/>
      <c r="L33" s="44"/>
      <c r="M33" s="44"/>
      <c r="N33" s="44">
        <v>1</v>
      </c>
      <c r="O33" s="44">
        <v>1</v>
      </c>
      <c r="P33" s="44">
        <v>1</v>
      </c>
      <c r="Q33" s="44">
        <v>1</v>
      </c>
      <c r="R33" s="44">
        <v>1</v>
      </c>
      <c r="S33" s="44">
        <v>1</v>
      </c>
      <c r="T33" s="44">
        <v>1</v>
      </c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5">
        <f t="shared" si="4"/>
        <v>7</v>
      </c>
      <c r="AJ33" s="26"/>
      <c r="AK33" s="19"/>
    </row>
    <row r="34" spans="1:37" ht="16.5" customHeight="1">
      <c r="A34" s="19"/>
      <c r="B34" s="25"/>
      <c r="C34" s="50" t="s">
        <v>62</v>
      </c>
      <c r="D34" s="379"/>
      <c r="E34" s="57" t="s">
        <v>59</v>
      </c>
      <c r="F34" s="57" t="s">
        <v>18</v>
      </c>
      <c r="G34" s="103" t="s">
        <v>56</v>
      </c>
      <c r="H34" s="59">
        <v>45726</v>
      </c>
      <c r="I34" s="59">
        <v>45989</v>
      </c>
      <c r="J34" s="59"/>
      <c r="K34" s="59"/>
      <c r="L34" s="44"/>
      <c r="M34" s="44">
        <v>0.75</v>
      </c>
      <c r="N34" s="44">
        <v>1</v>
      </c>
      <c r="O34" s="44">
        <v>1</v>
      </c>
      <c r="P34" s="44">
        <v>1</v>
      </c>
      <c r="Q34" s="44">
        <v>1</v>
      </c>
      <c r="R34" s="44">
        <v>1</v>
      </c>
      <c r="S34" s="44">
        <v>1</v>
      </c>
      <c r="T34" s="44">
        <v>1</v>
      </c>
      <c r="U34" s="44">
        <v>1</v>
      </c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5">
        <f t="shared" si="4"/>
        <v>8.75</v>
      </c>
      <c r="AJ34" s="26"/>
      <c r="AK34" s="19"/>
    </row>
    <row r="35" spans="1:37" ht="16.5" customHeight="1">
      <c r="A35" s="19"/>
      <c r="B35" s="25"/>
      <c r="C35" s="50" t="s">
        <v>62</v>
      </c>
      <c r="D35" s="380"/>
      <c r="E35" s="57" t="s">
        <v>59</v>
      </c>
      <c r="F35" s="57" t="s">
        <v>11</v>
      </c>
      <c r="G35" s="103" t="s">
        <v>56</v>
      </c>
      <c r="H35" s="59">
        <v>45748</v>
      </c>
      <c r="I35" s="59">
        <v>45961</v>
      </c>
      <c r="J35" s="59"/>
      <c r="K35" s="59"/>
      <c r="L35" s="44"/>
      <c r="M35" s="44"/>
      <c r="N35" s="44">
        <v>1</v>
      </c>
      <c r="O35" s="44">
        <v>1</v>
      </c>
      <c r="P35" s="44">
        <v>1</v>
      </c>
      <c r="Q35" s="44">
        <v>1</v>
      </c>
      <c r="R35" s="44">
        <v>1</v>
      </c>
      <c r="S35" s="44">
        <v>1</v>
      </c>
      <c r="T35" s="44">
        <v>1</v>
      </c>
      <c r="U35" s="81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5">
        <f t="shared" si="4"/>
        <v>7</v>
      </c>
      <c r="AJ35" s="26"/>
      <c r="AK35" s="19"/>
    </row>
    <row r="36" spans="1:37" ht="16.5" hidden="1" customHeight="1">
      <c r="A36" s="19"/>
      <c r="B36" s="25"/>
      <c r="C36" s="50" t="s">
        <v>62</v>
      </c>
      <c r="D36" s="378"/>
      <c r="E36" s="57" t="s">
        <v>51</v>
      </c>
      <c r="F36" s="57"/>
      <c r="G36" s="60"/>
      <c r="H36" s="59"/>
      <c r="I36" s="59"/>
      <c r="J36" s="59"/>
      <c r="K36" s="59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5">
        <v>0</v>
      </c>
      <c r="AJ36" s="26"/>
      <c r="AK36" s="19"/>
    </row>
    <row r="37" spans="1:37" ht="16.5" hidden="1" customHeight="1">
      <c r="A37" s="19"/>
      <c r="B37" s="25"/>
      <c r="C37" s="50" t="s">
        <v>62</v>
      </c>
      <c r="D37" s="379"/>
      <c r="E37" s="57" t="s">
        <v>57</v>
      </c>
      <c r="F37" s="57"/>
      <c r="G37" s="60"/>
      <c r="H37" s="59"/>
      <c r="I37" s="59"/>
      <c r="J37" s="59"/>
      <c r="K37" s="59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5">
        <v>0</v>
      </c>
      <c r="AJ37" s="26"/>
      <c r="AK37" s="19"/>
    </row>
    <row r="38" spans="1:37" ht="16.5" hidden="1" customHeight="1">
      <c r="A38" s="19"/>
      <c r="B38" s="25"/>
      <c r="C38" s="50" t="s">
        <v>62</v>
      </c>
      <c r="D38" s="380"/>
      <c r="E38" s="57" t="s">
        <v>59</v>
      </c>
      <c r="F38" s="57"/>
      <c r="G38" s="60"/>
      <c r="H38" s="59"/>
      <c r="I38" s="59"/>
      <c r="J38" s="59"/>
      <c r="K38" s="59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5">
        <v>0</v>
      </c>
      <c r="AJ38" s="26"/>
      <c r="AK38" s="19"/>
    </row>
    <row r="39" spans="1:37" ht="16.5" hidden="1" customHeight="1">
      <c r="A39" s="19"/>
      <c r="B39" s="25"/>
      <c r="C39" s="50" t="s">
        <v>62</v>
      </c>
      <c r="D39" s="378"/>
      <c r="E39" s="57" t="s">
        <v>51</v>
      </c>
      <c r="F39" s="57"/>
      <c r="G39" s="60"/>
      <c r="H39" s="59"/>
      <c r="I39" s="59"/>
      <c r="J39" s="59"/>
      <c r="K39" s="59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5">
        <v>0</v>
      </c>
      <c r="AJ39" s="26"/>
      <c r="AK39" s="19"/>
    </row>
    <row r="40" spans="1:37" ht="16.5" hidden="1" customHeight="1">
      <c r="A40" s="19"/>
      <c r="B40" s="25"/>
      <c r="C40" s="50" t="s">
        <v>62</v>
      </c>
      <c r="D40" s="379"/>
      <c r="E40" s="57" t="s">
        <v>57</v>
      </c>
      <c r="F40" s="57"/>
      <c r="G40" s="60"/>
      <c r="H40" s="59"/>
      <c r="I40" s="59"/>
      <c r="J40" s="59"/>
      <c r="K40" s="59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5">
        <v>0</v>
      </c>
      <c r="AJ40" s="26"/>
      <c r="AK40" s="19"/>
    </row>
    <row r="41" spans="1:37" ht="16.5" hidden="1" customHeight="1">
      <c r="A41" s="19"/>
      <c r="B41" s="25"/>
      <c r="C41" s="50" t="s">
        <v>62</v>
      </c>
      <c r="D41" s="380"/>
      <c r="E41" s="57" t="s">
        <v>59</v>
      </c>
      <c r="F41" s="57"/>
      <c r="G41" s="60"/>
      <c r="H41" s="59"/>
      <c r="I41" s="59"/>
      <c r="J41" s="59"/>
      <c r="K41" s="59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5">
        <v>0</v>
      </c>
      <c r="AJ41" s="26"/>
      <c r="AK41" s="19"/>
    </row>
    <row r="42" spans="1:37" ht="16.5" hidden="1" customHeight="1">
      <c r="A42" s="19"/>
      <c r="B42" s="25"/>
      <c r="C42" s="50" t="s">
        <v>62</v>
      </c>
      <c r="D42" s="391" t="s">
        <v>64</v>
      </c>
      <c r="E42" s="57" t="s">
        <v>51</v>
      </c>
      <c r="F42" s="57"/>
      <c r="G42" s="60"/>
      <c r="H42" s="59"/>
      <c r="I42" s="59"/>
      <c r="J42" s="59"/>
      <c r="K42" s="59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5">
        <v>0</v>
      </c>
      <c r="AJ42" s="26"/>
      <c r="AK42" s="19"/>
    </row>
    <row r="43" spans="1:37" ht="16.5" hidden="1" customHeight="1">
      <c r="A43" s="19"/>
      <c r="B43" s="25"/>
      <c r="C43" s="50" t="s">
        <v>62</v>
      </c>
      <c r="D43" s="379"/>
      <c r="E43" s="57" t="s">
        <v>57</v>
      </c>
      <c r="F43" s="57"/>
      <c r="G43" s="60"/>
      <c r="H43" s="59"/>
      <c r="I43" s="59"/>
      <c r="J43" s="59"/>
      <c r="K43" s="59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5">
        <v>0</v>
      </c>
      <c r="AJ43" s="26"/>
      <c r="AK43" s="19"/>
    </row>
    <row r="44" spans="1:37" ht="16.5" hidden="1" customHeight="1">
      <c r="A44" s="19"/>
      <c r="B44" s="25"/>
      <c r="C44" s="50" t="s">
        <v>62</v>
      </c>
      <c r="D44" s="380"/>
      <c r="E44" s="57" t="s">
        <v>59</v>
      </c>
      <c r="F44" s="57"/>
      <c r="G44" s="60"/>
      <c r="H44" s="59"/>
      <c r="I44" s="59"/>
      <c r="J44" s="59"/>
      <c r="K44" s="59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5">
        <v>0</v>
      </c>
      <c r="AJ44" s="26"/>
      <c r="AK44" s="19"/>
    </row>
    <row r="45" spans="1:37" ht="16.5" customHeight="1">
      <c r="A45" s="19"/>
      <c r="B45" s="25"/>
      <c r="C45" s="61" t="s">
        <v>62</v>
      </c>
      <c r="D45" s="104" t="s">
        <v>60</v>
      </c>
      <c r="E45" s="66"/>
      <c r="F45" s="66"/>
      <c r="G45" s="66" t="s">
        <v>77</v>
      </c>
      <c r="H45" s="66"/>
      <c r="I45" s="66" t="s">
        <v>61</v>
      </c>
      <c r="J45" s="67"/>
      <c r="K45" s="67"/>
      <c r="L45" s="68">
        <f t="shared" ref="L45:Z45" si="5">SUM(L27:L44)</f>
        <v>0</v>
      </c>
      <c r="M45" s="68">
        <f t="shared" si="5"/>
        <v>3</v>
      </c>
      <c r="N45" s="68">
        <f t="shared" si="5"/>
        <v>7</v>
      </c>
      <c r="O45" s="68">
        <f t="shared" si="5"/>
        <v>7</v>
      </c>
      <c r="P45" s="68">
        <f t="shared" si="5"/>
        <v>9</v>
      </c>
      <c r="Q45" s="68">
        <f t="shared" si="5"/>
        <v>9</v>
      </c>
      <c r="R45" s="68">
        <f t="shared" si="5"/>
        <v>9</v>
      </c>
      <c r="S45" s="68">
        <f t="shared" si="5"/>
        <v>9</v>
      </c>
      <c r="T45" s="68">
        <f t="shared" si="5"/>
        <v>7</v>
      </c>
      <c r="U45" s="68">
        <f t="shared" si="5"/>
        <v>5</v>
      </c>
      <c r="V45" s="68">
        <f t="shared" si="5"/>
        <v>3</v>
      </c>
      <c r="W45" s="68">
        <f t="shared" si="5"/>
        <v>3</v>
      </c>
      <c r="X45" s="68">
        <f t="shared" si="5"/>
        <v>3</v>
      </c>
      <c r="Y45" s="68">
        <f t="shared" si="5"/>
        <v>2.5</v>
      </c>
      <c r="Z45" s="68">
        <f t="shared" si="5"/>
        <v>1</v>
      </c>
      <c r="AA45" s="68"/>
      <c r="AB45" s="68"/>
      <c r="AC45" s="68"/>
      <c r="AD45" s="68"/>
      <c r="AE45" s="68"/>
      <c r="AF45" s="68"/>
      <c r="AG45" s="68"/>
      <c r="AH45" s="68"/>
      <c r="AI45" s="69">
        <f>SUM(AI27:AI44)</f>
        <v>77.5</v>
      </c>
      <c r="AJ45" s="26"/>
      <c r="AK45" s="19"/>
    </row>
    <row r="46" spans="1:37" ht="4.5" customHeight="1">
      <c r="A46" s="70"/>
      <c r="B46" s="71"/>
      <c r="C46" s="72"/>
      <c r="D46" s="73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8"/>
      <c r="AK46" s="70"/>
    </row>
    <row r="47" spans="1:37" ht="16.5" customHeight="1">
      <c r="A47" s="19"/>
      <c r="B47" s="25"/>
      <c r="C47" s="392" t="s">
        <v>60</v>
      </c>
      <c r="D47" s="393"/>
      <c r="E47" s="394"/>
      <c r="F47" s="84"/>
      <c r="G47" s="85"/>
      <c r="H47" s="85"/>
      <c r="I47" s="85" t="s">
        <v>65</v>
      </c>
      <c r="J47" s="86"/>
      <c r="K47" s="86"/>
      <c r="L47" s="68">
        <f t="shared" ref="L47:Z47" si="6">L25+L45</f>
        <v>6.5</v>
      </c>
      <c r="M47" s="68">
        <f t="shared" si="6"/>
        <v>12.5</v>
      </c>
      <c r="N47" s="68">
        <f t="shared" si="6"/>
        <v>19</v>
      </c>
      <c r="O47" s="68">
        <f t="shared" si="6"/>
        <v>19</v>
      </c>
      <c r="P47" s="68">
        <f t="shared" si="6"/>
        <v>21</v>
      </c>
      <c r="Q47" s="68">
        <f t="shared" si="6"/>
        <v>21</v>
      </c>
      <c r="R47" s="68">
        <f t="shared" si="6"/>
        <v>21</v>
      </c>
      <c r="S47" s="68">
        <f t="shared" si="6"/>
        <v>19.5</v>
      </c>
      <c r="T47" s="68">
        <f t="shared" si="6"/>
        <v>17</v>
      </c>
      <c r="U47" s="68">
        <f t="shared" si="6"/>
        <v>11</v>
      </c>
      <c r="V47" s="68">
        <f t="shared" si="6"/>
        <v>6.5</v>
      </c>
      <c r="W47" s="68">
        <f t="shared" si="6"/>
        <v>5</v>
      </c>
      <c r="X47" s="68">
        <f t="shared" si="6"/>
        <v>5</v>
      </c>
      <c r="Y47" s="68">
        <f t="shared" si="6"/>
        <v>4.5</v>
      </c>
      <c r="Z47" s="68">
        <f t="shared" si="6"/>
        <v>2</v>
      </c>
      <c r="AA47" s="68"/>
      <c r="AB47" s="68"/>
      <c r="AC47" s="68"/>
      <c r="AD47" s="68"/>
      <c r="AE47" s="68"/>
      <c r="AF47" s="68"/>
      <c r="AG47" s="68"/>
      <c r="AH47" s="68"/>
      <c r="AI47" s="69">
        <f>AI25+AI45</f>
        <v>190.5</v>
      </c>
      <c r="AJ47" s="26"/>
      <c r="AK47" s="19"/>
    </row>
    <row r="48" spans="1:37" ht="16.5" customHeight="1" thickBot="1">
      <c r="A48" s="19"/>
      <c r="B48" s="87"/>
      <c r="C48" s="88"/>
      <c r="D48" s="88"/>
      <c r="E48" s="89"/>
      <c r="F48" s="89"/>
      <c r="G48" s="89"/>
      <c r="H48" s="89"/>
      <c r="I48" s="88"/>
      <c r="J48" s="88"/>
      <c r="K48" s="90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91"/>
      <c r="AK48" s="19"/>
    </row>
    <row r="49" spans="1:45" ht="16.5" customHeight="1">
      <c r="C49" s="106"/>
      <c r="AL49" s="135" t="s">
        <v>102</v>
      </c>
    </row>
    <row r="50" spans="1:45" ht="27.75" customHeight="1">
      <c r="A50" s="19"/>
      <c r="B50" s="19"/>
      <c r="C50" s="149" t="s">
        <v>103</v>
      </c>
      <c r="D50" s="147"/>
      <c r="E50" s="148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20"/>
      <c r="S50" s="92" t="s">
        <v>66</v>
      </c>
      <c r="X50" s="92" t="s">
        <v>67</v>
      </c>
      <c r="AJ50" s="19"/>
      <c r="AK50" s="19"/>
      <c r="AL50" s="92" t="s">
        <v>66</v>
      </c>
      <c r="AQ50" s="92" t="s">
        <v>67</v>
      </c>
    </row>
    <row r="51" spans="1:45" ht="16.5" customHeight="1">
      <c r="A51" s="19"/>
      <c r="B51" s="19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0"/>
      <c r="R51" s="20"/>
      <c r="S51" s="93" t="s">
        <v>68</v>
      </c>
      <c r="T51" s="94" t="s">
        <v>69</v>
      </c>
      <c r="U51" s="93" t="s">
        <v>70</v>
      </c>
      <c r="V51" s="93" t="s">
        <v>60</v>
      </c>
      <c r="W51" s="107" t="s">
        <v>80</v>
      </c>
      <c r="X51" s="399" t="s">
        <v>71</v>
      </c>
      <c r="Y51" s="382"/>
      <c r="Z51" s="95">
        <v>172</v>
      </c>
      <c r="AA51" s="108"/>
      <c r="AB51" s="108"/>
      <c r="AC51" s="108"/>
      <c r="AD51" s="108"/>
      <c r="AE51" s="108"/>
      <c r="AF51" s="108"/>
      <c r="AG51" s="108"/>
      <c r="AH51" s="108"/>
      <c r="AJ51" s="19"/>
      <c r="AK51" s="19"/>
      <c r="AL51" s="143" t="s">
        <v>68</v>
      </c>
      <c r="AM51" s="144" t="s">
        <v>69</v>
      </c>
      <c r="AN51" s="143" t="s">
        <v>70</v>
      </c>
      <c r="AO51" s="143" t="s">
        <v>60</v>
      </c>
      <c r="AP51" s="107" t="s">
        <v>80</v>
      </c>
      <c r="AQ51" s="422" t="s">
        <v>71</v>
      </c>
      <c r="AR51" s="423"/>
      <c r="AS51" s="95">
        <v>172</v>
      </c>
    </row>
    <row r="52" spans="1:45" ht="16.5" customHeight="1">
      <c r="F52" s="1"/>
      <c r="G52" s="1"/>
      <c r="H52" s="1"/>
      <c r="I52" s="1"/>
      <c r="J52" s="1"/>
      <c r="K52" s="1"/>
      <c r="L52" s="1" t="s">
        <v>90</v>
      </c>
      <c r="M52" s="1"/>
      <c r="N52" s="1"/>
      <c r="O52" s="1"/>
      <c r="P52" s="1"/>
      <c r="Q52" s="20"/>
      <c r="S52" s="384" t="s">
        <v>53</v>
      </c>
      <c r="T52" s="96" t="s">
        <v>51</v>
      </c>
      <c r="U52" s="95">
        <f>SUMIF($E$7:$E$21,"고급",$AI$7:$AI$21)</f>
        <v>69</v>
      </c>
      <c r="V52" s="387">
        <f>SUM(U52:U54)</f>
        <v>113</v>
      </c>
      <c r="W52" s="107">
        <f>'250117 (제출본-최초)'!$U$46-U52</f>
        <v>-14</v>
      </c>
      <c r="X52" s="398" t="s">
        <v>81</v>
      </c>
      <c r="Y52" s="382"/>
      <c r="Z52" s="95">
        <f>204.5-Z51</f>
        <v>32.5</v>
      </c>
      <c r="AA52" s="109"/>
      <c r="AB52" s="109"/>
      <c r="AC52" s="109"/>
      <c r="AD52" s="109"/>
      <c r="AE52" s="109"/>
      <c r="AF52" s="109"/>
      <c r="AG52" s="109"/>
      <c r="AH52" s="109"/>
      <c r="AL52" s="384" t="s">
        <v>53</v>
      </c>
      <c r="AM52" s="96" t="s">
        <v>51</v>
      </c>
      <c r="AN52" s="95">
        <v>69</v>
      </c>
      <c r="AO52" s="387">
        <f>SUM(AN52:AN54)</f>
        <v>113</v>
      </c>
      <c r="AP52" s="107">
        <f>'250117 (제출본-최초)'!$U$46-AN52</f>
        <v>-14</v>
      </c>
      <c r="AQ52" s="424" t="s">
        <v>81</v>
      </c>
      <c r="AR52" s="423"/>
      <c r="AS52" s="95">
        <f>204.5-AS51</f>
        <v>32.5</v>
      </c>
    </row>
    <row r="53" spans="1:45" ht="16.5" customHeight="1">
      <c r="F53" s="1"/>
      <c r="G53" s="1"/>
      <c r="H53" s="1"/>
      <c r="I53" s="120" t="s">
        <v>91</v>
      </c>
      <c r="J53" s="1"/>
      <c r="K53" s="1"/>
      <c r="L53" s="138">
        <v>250425</v>
      </c>
      <c r="M53" s="139" t="s">
        <v>87</v>
      </c>
      <c r="N53" s="140"/>
      <c r="O53" s="140"/>
      <c r="P53" s="140"/>
      <c r="Q53" s="141"/>
      <c r="S53" s="385"/>
      <c r="T53" s="96" t="s">
        <v>57</v>
      </c>
      <c r="U53" s="95">
        <f>SUMIF($E$7:$E$21,"중급",$AI$7:$AI$21)</f>
        <v>25</v>
      </c>
      <c r="V53" s="385"/>
      <c r="W53" s="107">
        <f>'250117 (제출본-최초)'!$U$47-U53</f>
        <v>0</v>
      </c>
      <c r="X53" s="398" t="s">
        <v>73</v>
      </c>
      <c r="Y53" s="382"/>
      <c r="Z53" s="95">
        <v>204.5</v>
      </c>
      <c r="AA53" s="109"/>
      <c r="AB53" s="109"/>
      <c r="AC53" s="109"/>
      <c r="AD53" s="109"/>
      <c r="AE53" s="109"/>
      <c r="AF53" s="109"/>
      <c r="AG53" s="109"/>
      <c r="AH53" s="109"/>
      <c r="AL53" s="385"/>
      <c r="AM53" s="96" t="s">
        <v>57</v>
      </c>
      <c r="AN53" s="95">
        <v>25</v>
      </c>
      <c r="AO53" s="385"/>
      <c r="AP53" s="107">
        <f>'250117 (제출본-최초)'!$U$47-AN53</f>
        <v>0</v>
      </c>
      <c r="AQ53" s="424" t="s">
        <v>73</v>
      </c>
      <c r="AR53" s="423"/>
      <c r="AS53" s="95">
        <v>204.5</v>
      </c>
    </row>
    <row r="54" spans="1:45" ht="16.5" customHeight="1">
      <c r="F54" s="1"/>
      <c r="G54" s="1"/>
      <c r="H54" s="1"/>
      <c r="I54" s="1"/>
      <c r="J54" s="1"/>
      <c r="K54" s="1"/>
      <c r="L54" s="119"/>
      <c r="M54" s="114" t="s">
        <v>88</v>
      </c>
      <c r="N54" s="1"/>
      <c r="O54" s="1"/>
      <c r="P54" s="1"/>
      <c r="S54" s="386"/>
      <c r="T54" s="96" t="s">
        <v>59</v>
      </c>
      <c r="U54" s="95">
        <f>SUMIF($E$7:$E$21,"초급",$AI$7:$AI$21)</f>
        <v>19</v>
      </c>
      <c r="V54" s="386"/>
      <c r="W54" s="107">
        <f>'250117 (제출본-최초)'!$U$48-U54</f>
        <v>0</v>
      </c>
      <c r="AA54" s="109"/>
      <c r="AB54" s="109"/>
      <c r="AC54" s="109"/>
      <c r="AD54" s="109"/>
      <c r="AE54" s="109"/>
      <c r="AF54" s="109"/>
      <c r="AG54" s="109"/>
      <c r="AH54" s="109"/>
      <c r="AL54" s="386"/>
      <c r="AM54" s="96" t="s">
        <v>59</v>
      </c>
      <c r="AN54" s="95">
        <v>19</v>
      </c>
      <c r="AO54" s="386"/>
      <c r="AP54" s="107">
        <f>'250117 (제출본-최초)'!$U$48-AN54</f>
        <v>0</v>
      </c>
    </row>
    <row r="55" spans="1:45" ht="16.5" customHeight="1">
      <c r="F55" s="1"/>
      <c r="G55" s="1"/>
      <c r="H55" s="1"/>
      <c r="I55" s="1"/>
      <c r="J55" s="1"/>
      <c r="K55" s="1"/>
      <c r="L55" s="137" t="s">
        <v>100</v>
      </c>
      <c r="M55" s="133">
        <v>1</v>
      </c>
      <c r="N55" s="133">
        <v>1</v>
      </c>
      <c r="O55" s="1"/>
      <c r="P55" s="1"/>
      <c r="S55" s="384" t="s">
        <v>62</v>
      </c>
      <c r="T55" s="96" t="s">
        <v>51</v>
      </c>
      <c r="U55" s="95">
        <f>SUMIF($E$25:$E$35,"고급",$AI$25:$AI$35)</f>
        <v>0</v>
      </c>
      <c r="V55" s="387">
        <f>SUM(U55:U57)</f>
        <v>77.5</v>
      </c>
      <c r="W55" s="107">
        <f>'250117 (제출본-최초)'!$U$49-U55</f>
        <v>0</v>
      </c>
      <c r="AL55" s="384" t="s">
        <v>62</v>
      </c>
      <c r="AM55" s="96" t="s">
        <v>51</v>
      </c>
      <c r="AN55" s="95">
        <v>0</v>
      </c>
      <c r="AO55" s="387">
        <f>SUM(AN55:AN57)</f>
        <v>73</v>
      </c>
      <c r="AP55" s="107">
        <f>'250117 (제출본-최초)'!$U$49-AN55</f>
        <v>0</v>
      </c>
    </row>
    <row r="56" spans="1:45" ht="16.5" customHeight="1">
      <c r="F56" s="1"/>
      <c r="G56" s="1"/>
      <c r="H56" s="1"/>
      <c r="I56" s="1"/>
      <c r="J56" s="1"/>
      <c r="K56" s="1"/>
      <c r="L56" s="137" t="s">
        <v>94</v>
      </c>
      <c r="M56" s="133">
        <v>1</v>
      </c>
      <c r="N56" s="134">
        <v>0.5</v>
      </c>
      <c r="O56" s="1"/>
      <c r="P56" s="1"/>
      <c r="S56" s="385"/>
      <c r="T56" s="96" t="s">
        <v>57</v>
      </c>
      <c r="U56" s="145">
        <f>SUMIF($E$25:$E$35,"중급",$AI$25:$AI$35)</f>
        <v>34.5</v>
      </c>
      <c r="V56" s="385"/>
      <c r="W56" s="115">
        <f>'250117 (제출본-최초)'!$U$50-U56</f>
        <v>2.5</v>
      </c>
      <c r="X56" s="116"/>
      <c r="AL56" s="385"/>
      <c r="AM56" s="96" t="s">
        <v>57</v>
      </c>
      <c r="AN56" s="95">
        <v>37</v>
      </c>
      <c r="AO56" s="385"/>
      <c r="AP56" s="136">
        <f>'250117 (제출본-최초)'!$U$50-AN56</f>
        <v>0</v>
      </c>
      <c r="AQ56" s="116"/>
    </row>
    <row r="57" spans="1:45" ht="16.5" customHeight="1">
      <c r="F57" s="1"/>
      <c r="G57" s="1"/>
      <c r="H57" s="1"/>
      <c r="I57" s="1"/>
      <c r="J57" s="1"/>
      <c r="K57" s="1"/>
      <c r="L57" s="137"/>
      <c r="M57" s="118" t="s">
        <v>99</v>
      </c>
      <c r="N57" s="1"/>
      <c r="O57" s="1"/>
      <c r="P57" s="1"/>
      <c r="S57" s="386"/>
      <c r="T57" s="96" t="s">
        <v>59</v>
      </c>
      <c r="U57" s="145">
        <f>SUMIF($E$25:$E$35,"초급",$AI$25:$AI$35)</f>
        <v>43</v>
      </c>
      <c r="V57" s="386"/>
      <c r="W57" s="115">
        <f>'250117 (제출본-최초)'!$U$51-U57</f>
        <v>-7</v>
      </c>
      <c r="X57" s="117" t="s">
        <v>89</v>
      </c>
      <c r="AL57" s="386"/>
      <c r="AM57" s="96" t="s">
        <v>59</v>
      </c>
      <c r="AN57" s="95">
        <v>36</v>
      </c>
      <c r="AO57" s="386"/>
      <c r="AP57" s="136">
        <f>'250117 (제출본-최초)'!$U$51-AN57</f>
        <v>0</v>
      </c>
      <c r="AQ57" s="117"/>
    </row>
    <row r="58" spans="1:45" ht="16.5" customHeight="1">
      <c r="F58" s="1"/>
      <c r="G58" s="1"/>
      <c r="H58" s="1"/>
      <c r="I58" s="1"/>
      <c r="J58" s="1"/>
      <c r="K58" s="1"/>
      <c r="L58" s="137" t="s">
        <v>84</v>
      </c>
      <c r="O58" s="81">
        <v>1</v>
      </c>
      <c r="P58" s="81">
        <v>1</v>
      </c>
      <c r="S58" s="388" t="s">
        <v>74</v>
      </c>
      <c r="T58" s="389"/>
      <c r="U58" s="382"/>
      <c r="V58" s="97">
        <f t="shared" ref="V58:W58" si="7">SUM(V52:V57)</f>
        <v>190.5</v>
      </c>
      <c r="W58" s="107">
        <f t="shared" si="7"/>
        <v>-18.5</v>
      </c>
      <c r="AL58" s="388" t="s">
        <v>74</v>
      </c>
      <c r="AM58" s="389"/>
      <c r="AN58" s="382"/>
      <c r="AO58" s="97">
        <f t="shared" ref="AO58:AP58" si="8">SUM(AO52:AO57)</f>
        <v>186</v>
      </c>
      <c r="AP58" s="107">
        <f t="shared" si="8"/>
        <v>-14</v>
      </c>
    </row>
    <row r="59" spans="1:45" ht="16.5" customHeight="1">
      <c r="F59" s="1"/>
      <c r="G59" s="1"/>
      <c r="H59" s="1"/>
      <c r="I59" s="1"/>
      <c r="J59" s="1"/>
      <c r="K59" s="1"/>
      <c r="L59" s="137" t="s">
        <v>94</v>
      </c>
      <c r="N59" s="113">
        <v>0.5</v>
      </c>
      <c r="O59" s="81">
        <v>1</v>
      </c>
      <c r="P59" s="81">
        <v>1</v>
      </c>
      <c r="S59" s="388" t="s">
        <v>82</v>
      </c>
      <c r="T59" s="389"/>
      <c r="U59" s="382"/>
      <c r="V59" s="97">
        <f>Z53-V58</f>
        <v>14</v>
      </c>
      <c r="AL59" s="388" t="s">
        <v>82</v>
      </c>
      <c r="AM59" s="389"/>
      <c r="AN59" s="382"/>
      <c r="AO59" s="97">
        <f>AS53-AO58</f>
        <v>18.5</v>
      </c>
    </row>
    <row r="60" spans="1:45" ht="16.5" customHeight="1"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45" ht="16.5" customHeight="1"/>
    <row r="62" spans="1:45" ht="16.5" customHeight="1"/>
    <row r="63" spans="1:45" ht="16.5" customHeight="1"/>
    <row r="64" spans="1:45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</sheetData>
  <mergeCells count="29">
    <mergeCell ref="D22:D24"/>
    <mergeCell ref="C3:AI3"/>
    <mergeCell ref="C4:D4"/>
    <mergeCell ref="L5:M5"/>
    <mergeCell ref="N5:W5"/>
    <mergeCell ref="D9:D21"/>
    <mergeCell ref="D28:D35"/>
    <mergeCell ref="D36:D38"/>
    <mergeCell ref="D39:D41"/>
    <mergeCell ref="D42:D44"/>
    <mergeCell ref="C47:E47"/>
    <mergeCell ref="AO55:AO57"/>
    <mergeCell ref="S58:U58"/>
    <mergeCell ref="AL58:AN58"/>
    <mergeCell ref="AQ51:AR51"/>
    <mergeCell ref="S52:S54"/>
    <mergeCell ref="V52:V54"/>
    <mergeCell ref="X52:Y52"/>
    <mergeCell ref="AL52:AL54"/>
    <mergeCell ref="AO52:AO54"/>
    <mergeCell ref="AQ52:AR52"/>
    <mergeCell ref="X53:Y53"/>
    <mergeCell ref="AQ53:AR53"/>
    <mergeCell ref="X51:Y51"/>
    <mergeCell ref="S59:U59"/>
    <mergeCell ref="AL59:AN59"/>
    <mergeCell ref="S55:S57"/>
    <mergeCell ref="V55:V57"/>
    <mergeCell ref="AL55:AL57"/>
  </mergeCells>
  <phoneticPr fontId="22" type="noConversion"/>
  <pageMargins left="0.25" right="0.25" top="0.75" bottom="0.75" header="0.3" footer="0.3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workbookViewId="0"/>
  </sheetViews>
  <sheetFormatPr baseColWidth="10" defaultColWidth="14.5" defaultRowHeight="15" customHeight="1"/>
  <cols>
    <col min="1" max="2" width="10.83203125" customWidth="1"/>
    <col min="3" max="3" width="5.5" customWidth="1"/>
    <col min="4" max="5" width="10.83203125" customWidth="1"/>
    <col min="6" max="6" width="5.83203125" customWidth="1"/>
    <col min="7" max="7" width="10.83203125" customWidth="1"/>
    <col min="8" max="27" width="10.6640625" customWidth="1"/>
  </cols>
  <sheetData>
    <row r="1" spans="1:27" ht="16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.5" customHeight="1">
      <c r="A2" s="3" t="s">
        <v>0</v>
      </c>
      <c r="B2" s="1"/>
      <c r="C2" s="4"/>
      <c r="D2" s="5"/>
      <c r="E2" s="5"/>
      <c r="F2" s="5"/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7" customHeight="1">
      <c r="A3" s="425" t="s">
        <v>1</v>
      </c>
      <c r="B3" s="426"/>
      <c r="C3" s="6"/>
      <c r="D3" s="425" t="s">
        <v>2</v>
      </c>
      <c r="E3" s="375"/>
      <c r="F3" s="375"/>
      <c r="G3" s="375"/>
      <c r="H3" s="42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7" customHeight="1">
      <c r="A4" s="427"/>
      <c r="B4" s="428"/>
      <c r="C4" s="6"/>
      <c r="D4" s="427"/>
      <c r="E4" s="431"/>
      <c r="F4" s="431"/>
      <c r="G4" s="431"/>
      <c r="H4" s="42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7.75" customHeight="1">
      <c r="A5" s="429"/>
      <c r="B5" s="430"/>
      <c r="C5" s="6"/>
      <c r="D5" s="429"/>
      <c r="E5" s="432"/>
      <c r="F5" s="432"/>
      <c r="G5" s="432"/>
      <c r="H5" s="430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.5" customHeight="1">
      <c r="A6" s="1"/>
      <c r="B6" s="1"/>
      <c r="C6" s="7"/>
      <c r="D6" s="8"/>
      <c r="E6" s="8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.5" customHeight="1">
      <c r="A7" s="433" t="s">
        <v>3</v>
      </c>
      <c r="B7" s="9" t="s">
        <v>4</v>
      </c>
      <c r="C7" s="2"/>
      <c r="D7" s="9" t="s">
        <v>5</v>
      </c>
      <c r="E7" s="10" t="s">
        <v>6</v>
      </c>
      <c r="F7" s="11"/>
      <c r="G7" s="10" t="s">
        <v>7</v>
      </c>
      <c r="H7" s="43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.5" customHeight="1">
      <c r="A8" s="434"/>
      <c r="B8" s="12">
        <v>383</v>
      </c>
      <c r="C8" s="2"/>
      <c r="D8" s="12">
        <v>702</v>
      </c>
      <c r="E8" s="12"/>
      <c r="F8" s="13"/>
      <c r="G8" s="12"/>
      <c r="H8" s="43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.5" customHeight="1">
      <c r="A9" s="434"/>
      <c r="B9" s="14">
        <v>45695</v>
      </c>
      <c r="C9" s="2"/>
      <c r="D9" s="14">
        <v>45691</v>
      </c>
      <c r="E9" s="14">
        <v>45726</v>
      </c>
      <c r="F9" s="15"/>
      <c r="G9" s="14">
        <v>45748</v>
      </c>
      <c r="H9" s="43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.5" customHeight="1">
      <c r="A10" s="434"/>
      <c r="B10" s="9" t="s">
        <v>8</v>
      </c>
      <c r="C10" s="2"/>
      <c r="D10" s="9" t="s">
        <v>9</v>
      </c>
      <c r="E10" s="10" t="s">
        <v>10</v>
      </c>
      <c r="F10" s="11"/>
      <c r="G10" s="10" t="s">
        <v>11</v>
      </c>
      <c r="H10" s="43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.5" customHeight="1">
      <c r="A11" s="434"/>
      <c r="B11" s="12">
        <v>346</v>
      </c>
      <c r="C11" s="2"/>
      <c r="D11" s="12">
        <v>58</v>
      </c>
      <c r="E11" s="12"/>
      <c r="F11" s="16"/>
      <c r="G11" s="12"/>
      <c r="H11" s="43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>
      <c r="A12" s="434"/>
      <c r="B12" s="14">
        <v>45691</v>
      </c>
      <c r="C12" s="2"/>
      <c r="D12" s="14">
        <v>45691</v>
      </c>
      <c r="E12" s="14">
        <v>45726</v>
      </c>
      <c r="F12" s="15"/>
      <c r="G12" s="14">
        <v>45748</v>
      </c>
      <c r="H12" s="43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>
      <c r="A13" s="434"/>
      <c r="B13" s="9" t="s">
        <v>12</v>
      </c>
      <c r="C13" s="2"/>
      <c r="D13" s="9" t="s">
        <v>13</v>
      </c>
      <c r="E13" s="10" t="s">
        <v>14</v>
      </c>
      <c r="F13" s="17"/>
      <c r="G13" s="9" t="s">
        <v>15</v>
      </c>
      <c r="H13" s="43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>
      <c r="A14" s="434"/>
      <c r="B14" s="12">
        <v>1012</v>
      </c>
      <c r="C14" s="2"/>
      <c r="D14" s="12">
        <v>63</v>
      </c>
      <c r="E14" s="12"/>
      <c r="F14" s="13"/>
      <c r="G14" s="18"/>
      <c r="H14" s="43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>
      <c r="A15" s="434"/>
      <c r="B15" s="14">
        <v>45691</v>
      </c>
      <c r="C15" s="2"/>
      <c r="D15" s="14">
        <v>45691</v>
      </c>
      <c r="E15" s="14">
        <v>45726</v>
      </c>
      <c r="F15" s="15"/>
      <c r="G15" s="14">
        <v>45748</v>
      </c>
      <c r="H15" s="43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>
      <c r="A16" s="434"/>
      <c r="B16" s="9" t="s">
        <v>16</v>
      </c>
      <c r="C16" s="2"/>
      <c r="D16" s="9" t="s">
        <v>17</v>
      </c>
      <c r="E16" s="10" t="s">
        <v>18</v>
      </c>
      <c r="F16" s="11"/>
      <c r="G16" s="9" t="s">
        <v>19</v>
      </c>
      <c r="H16" s="43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>
      <c r="A17" s="434"/>
      <c r="B17" s="12">
        <v>419</v>
      </c>
      <c r="C17" s="2"/>
      <c r="D17" s="12">
        <v>1017</v>
      </c>
      <c r="E17" s="12"/>
      <c r="F17" s="13"/>
      <c r="G17" s="18"/>
      <c r="H17" s="43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6.5" customHeight="1">
      <c r="A18" s="434"/>
      <c r="B18" s="14">
        <v>45720</v>
      </c>
      <c r="C18" s="2"/>
      <c r="D18" s="14">
        <v>45691</v>
      </c>
      <c r="E18" s="14">
        <v>45726</v>
      </c>
      <c r="F18" s="15"/>
      <c r="G18" s="14">
        <v>45748</v>
      </c>
      <c r="H18" s="43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6.5" customHeight="1">
      <c r="A19" s="434"/>
      <c r="B19" s="9" t="s">
        <v>20</v>
      </c>
      <c r="C19" s="2"/>
      <c r="D19" s="9" t="s">
        <v>21</v>
      </c>
      <c r="E19" s="10" t="s">
        <v>22</v>
      </c>
      <c r="F19" s="11"/>
      <c r="G19" s="433"/>
      <c r="H19" s="43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6.5" customHeight="1">
      <c r="A20" s="434"/>
      <c r="B20" s="12">
        <v>320</v>
      </c>
      <c r="C20" s="2"/>
      <c r="D20" s="12"/>
      <c r="E20" s="12"/>
      <c r="F20" s="13"/>
      <c r="G20" s="434"/>
      <c r="H20" s="43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6.5" customHeight="1">
      <c r="A21" s="435"/>
      <c r="B21" s="14">
        <v>45720</v>
      </c>
      <c r="C21" s="2"/>
      <c r="D21" s="14">
        <v>45733</v>
      </c>
      <c r="E21" s="14">
        <v>45748</v>
      </c>
      <c r="F21" s="15"/>
      <c r="G21" s="435"/>
      <c r="H21" s="43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6.5" customHeight="1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6.5" customHeight="1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6.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6.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6.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6.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6.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">
    <mergeCell ref="A3:B5"/>
    <mergeCell ref="D3:H5"/>
    <mergeCell ref="A7:A21"/>
    <mergeCell ref="H7:H21"/>
    <mergeCell ref="G19:G21"/>
  </mergeCells>
  <phoneticPr fontId="22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250117 (제출본-최초)</vt:lpstr>
      <vt:lpstr>@250217 (제출본-최종)</vt:lpstr>
      <vt:lpstr>@250305</vt:lpstr>
      <vt:lpstr>250718_기획디자인변경(계약기준)</vt:lpstr>
      <vt:lpstr>history_@250326추가</vt:lpstr>
      <vt:lpstr>history_250425_디자인추가</vt:lpstr>
      <vt:lpstr>자리배치도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user</cp:lastModifiedBy>
  <cp:lastPrinted>2025-07-17T05:41:13Z</cp:lastPrinted>
  <dcterms:created xsi:type="dcterms:W3CDTF">2025-01-15T10:03:09Z</dcterms:created>
  <dcterms:modified xsi:type="dcterms:W3CDTF">2025-07-22T08:04:41Z</dcterms:modified>
</cp:coreProperties>
</file>