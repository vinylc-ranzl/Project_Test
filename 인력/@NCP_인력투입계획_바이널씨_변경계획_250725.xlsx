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720"/>
  <workbookPr/>
  <mc:AlternateContent xmlns:mc="http://schemas.openxmlformats.org/markup-compatibility/2006">
    <mc:Choice Requires="x15">
      <x15ac:absPath xmlns:x15ac="http://schemas.microsoft.com/office/spreadsheetml/2010/11/ac" url="/Users/user/Downloads/인력/"/>
    </mc:Choice>
  </mc:AlternateContent>
  <xr:revisionPtr revIDLastSave="0" documentId="13_ncr:1_{DCAAEB28-D12A-3646-B35A-A6955F6D2C03}" xr6:coauthVersionLast="47" xr6:coauthVersionMax="47" xr10:uidLastSave="{00000000-0000-0000-0000-000000000000}"/>
  <bookViews>
    <workbookView xWindow="0" yWindow="780" windowWidth="34200" windowHeight="19660" tabRatio="805" activeTab="3" xr2:uid="{00000000-000D-0000-FFFF-FFFF00000000}"/>
  </bookViews>
  <sheets>
    <sheet name="250117 (제출본-최초)" sheetId="2" r:id="rId1"/>
    <sheet name="@250217 (제출본-최종)" sheetId="3" r:id="rId2"/>
    <sheet name="@250305" sheetId="4" r:id="rId3"/>
    <sheet name="250728_기획디자인변경(계약기준)" sheetId="22" r:id="rId4"/>
    <sheet name="250718_기획디자인변경(계약기준)" sheetId="21" r:id="rId5"/>
    <sheet name="history_@250326추가" sheetId="5" r:id="rId6"/>
    <sheet name="history_250425_디자인추가" sheetId="18" r:id="rId7"/>
    <sheet name="자리배치도" sheetId="1" r:id="rId8"/>
  </sheets>
  <externalReferences>
    <externalReference r:id="rId9"/>
  </externalReferences>
  <definedNames>
    <definedName name="프로젝트유형">[1]기준!$B$28:$B$34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  <ext uri="GoogleSheetsCustomDataVersion2">
      <go:sheetsCustomData xmlns:go="http://customooxmlschemas.google.com/" r:id="rId20" roundtripDataChecksum="nTm5C4j3MGzs1buDs1ooUyskuHITmbBcQc1pPimAWKc="/>
    </ext>
  </extLst>
</workbook>
</file>

<file path=xl/calcChain.xml><?xml version="1.0" encoding="utf-8"?>
<calcChain xmlns="http://schemas.openxmlformats.org/spreadsheetml/2006/main">
  <c r="S48" i="22" l="1"/>
  <c r="U48" i="22" s="1"/>
  <c r="S47" i="22"/>
  <c r="U47" i="22" s="1"/>
  <c r="S46" i="22"/>
  <c r="U46" i="22" s="1"/>
  <c r="O46" i="22"/>
  <c r="S44" i="22"/>
  <c r="U44" i="22" s="1"/>
  <c r="S43" i="22"/>
  <c r="U43" i="22" s="1"/>
  <c r="O43" i="22"/>
  <c r="O49" i="22" s="1"/>
  <c r="G42" i="22"/>
  <c r="Q40" i="22"/>
  <c r="AD37" i="22"/>
  <c r="U37" i="22"/>
  <c r="P37" i="22"/>
  <c r="O37" i="22"/>
  <c r="M37" i="22"/>
  <c r="AD35" i="22"/>
  <c r="Z35" i="22"/>
  <c r="Y35" i="22"/>
  <c r="X35" i="22"/>
  <c r="W35" i="22"/>
  <c r="V35" i="22"/>
  <c r="U35" i="22"/>
  <c r="T35" i="22"/>
  <c r="S35" i="22"/>
  <c r="R35" i="22"/>
  <c r="Q35" i="22"/>
  <c r="P35" i="22"/>
  <c r="O35" i="22"/>
  <c r="N35" i="22"/>
  <c r="M35" i="22"/>
  <c r="L35" i="22"/>
  <c r="AA34" i="22"/>
  <c r="AE34" i="22" s="1"/>
  <c r="AE33" i="22"/>
  <c r="AA33" i="22"/>
  <c r="AA32" i="22"/>
  <c r="AE32" i="22" s="1"/>
  <c r="AA31" i="22"/>
  <c r="AE31" i="22" s="1"/>
  <c r="AA30" i="22"/>
  <c r="AE30" i="22" s="1"/>
  <c r="AE29" i="22"/>
  <c r="AA29" i="22"/>
  <c r="AA28" i="22"/>
  <c r="AE28" i="22" s="1"/>
  <c r="AA27" i="22"/>
  <c r="AE27" i="22" s="1"/>
  <c r="X51" i="22" s="1"/>
  <c r="AA26" i="22"/>
  <c r="AA35" i="22" s="1"/>
  <c r="AE25" i="22"/>
  <c r="AA25" i="22"/>
  <c r="AA24" i="22"/>
  <c r="AE24" i="22" s="1"/>
  <c r="AD22" i="22"/>
  <c r="Z22" i="22"/>
  <c r="Z37" i="22" s="1"/>
  <c r="Y22" i="22"/>
  <c r="Y37" i="22" s="1"/>
  <c r="X22" i="22"/>
  <c r="X37" i="22" s="1"/>
  <c r="W22" i="22"/>
  <c r="W37" i="22" s="1"/>
  <c r="V22" i="22"/>
  <c r="V37" i="22" s="1"/>
  <c r="U22" i="22"/>
  <c r="T22" i="22"/>
  <c r="T37" i="22" s="1"/>
  <c r="S22" i="22"/>
  <c r="S37" i="22" s="1"/>
  <c r="R22" i="22"/>
  <c r="R37" i="22" s="1"/>
  <c r="Q22" i="22"/>
  <c r="Q37" i="22" s="1"/>
  <c r="P22" i="22"/>
  <c r="O22" i="22"/>
  <c r="N22" i="22"/>
  <c r="N37" i="22" s="1"/>
  <c r="M22" i="22"/>
  <c r="L22" i="22"/>
  <c r="L37" i="22" s="1"/>
  <c r="AA21" i="22"/>
  <c r="AE21" i="22" s="1"/>
  <c r="Y45" i="22" s="1"/>
  <c r="AE20" i="22"/>
  <c r="X45" i="22" s="1"/>
  <c r="AA20" i="22"/>
  <c r="AA19" i="22"/>
  <c r="AE19" i="22" s="1"/>
  <c r="Y44" i="22" s="1"/>
  <c r="Y57" i="22" s="1"/>
  <c r="AA18" i="22"/>
  <c r="AE18" i="22" s="1"/>
  <c r="AA17" i="22"/>
  <c r="AE17" i="22" s="1"/>
  <c r="X44" i="22" s="1"/>
  <c r="AE16" i="22"/>
  <c r="AA16" i="22"/>
  <c r="AA15" i="22"/>
  <c r="AE15" i="22" s="1"/>
  <c r="AA14" i="22"/>
  <c r="AE14" i="22" s="1"/>
  <c r="AA13" i="22"/>
  <c r="AE13" i="22" s="1"/>
  <c r="AE12" i="22"/>
  <c r="AA12" i="22"/>
  <c r="AA11" i="22"/>
  <c r="AE11" i="22" s="1"/>
  <c r="AA10" i="22"/>
  <c r="AE10" i="22" s="1"/>
  <c r="AA9" i="22"/>
  <c r="AE8" i="22"/>
  <c r="AA8" i="22"/>
  <c r="AA7" i="22"/>
  <c r="AE7" i="22" s="1"/>
  <c r="AE5" i="22"/>
  <c r="AE5" i="21"/>
  <c r="S46" i="21"/>
  <c r="U46" i="21" s="1"/>
  <c r="O46" i="21"/>
  <c r="O43" i="21"/>
  <c r="G42" i="21"/>
  <c r="Q40" i="21"/>
  <c r="AD35" i="21"/>
  <c r="Z35" i="21"/>
  <c r="Y35" i="21"/>
  <c r="X35" i="21"/>
  <c r="W35" i="21"/>
  <c r="V35" i="21"/>
  <c r="U35" i="21"/>
  <c r="T35" i="21"/>
  <c r="S35" i="21"/>
  <c r="R35" i="21"/>
  <c r="Q35" i="21"/>
  <c r="P35" i="21"/>
  <c r="O35" i="21"/>
  <c r="N35" i="21"/>
  <c r="M35" i="21"/>
  <c r="L35" i="21"/>
  <c r="AA34" i="21"/>
  <c r="AE34" i="21" s="1"/>
  <c r="AA33" i="21"/>
  <c r="AE33" i="21" s="1"/>
  <c r="AA32" i="21"/>
  <c r="AE32" i="21" s="1"/>
  <c r="AA31" i="21"/>
  <c r="AE31" i="21" s="1"/>
  <c r="AA30" i="21"/>
  <c r="AE30" i="21" s="1"/>
  <c r="AA29" i="21"/>
  <c r="AE29" i="21" s="1"/>
  <c r="AA28" i="21"/>
  <c r="AE28" i="21" s="1"/>
  <c r="AA27" i="21"/>
  <c r="AE27" i="21" s="1"/>
  <c r="X51" i="21" s="1"/>
  <c r="AA26" i="21"/>
  <c r="AA25" i="21"/>
  <c r="AE25" i="21" s="1"/>
  <c r="AA24" i="21"/>
  <c r="S47" i="21" s="1"/>
  <c r="U47" i="21" s="1"/>
  <c r="AD22" i="21"/>
  <c r="Z22" i="21"/>
  <c r="Y22" i="21"/>
  <c r="Y37" i="21" s="1"/>
  <c r="X22" i="21"/>
  <c r="W22" i="21"/>
  <c r="V22" i="21"/>
  <c r="U22" i="21"/>
  <c r="T22" i="21"/>
  <c r="S22" i="21"/>
  <c r="S37" i="21" s="1"/>
  <c r="R22" i="21"/>
  <c r="Q22" i="21"/>
  <c r="Q37" i="21" s="1"/>
  <c r="P22" i="21"/>
  <c r="O22" i="21"/>
  <c r="N22" i="21"/>
  <c r="M22" i="21"/>
  <c r="L22" i="21"/>
  <c r="AA21" i="21"/>
  <c r="AE21" i="21" s="1"/>
  <c r="Y45" i="21" s="1"/>
  <c r="AA20" i="21"/>
  <c r="S45" i="21" s="1"/>
  <c r="U45" i="21" s="1"/>
  <c r="AA19" i="21"/>
  <c r="AE19" i="21" s="1"/>
  <c r="Y44" i="21" s="1"/>
  <c r="Y57" i="21" s="1"/>
  <c r="AA18" i="21"/>
  <c r="AE18" i="21" s="1"/>
  <c r="AA17" i="21"/>
  <c r="AE17" i="21" s="1"/>
  <c r="AA16" i="21"/>
  <c r="AE16" i="21" s="1"/>
  <c r="AA15" i="21"/>
  <c r="AE15" i="21" s="1"/>
  <c r="AA14" i="21"/>
  <c r="AE14" i="21" s="1"/>
  <c r="AA13" i="21"/>
  <c r="AE13" i="21" s="1"/>
  <c r="AA12" i="21"/>
  <c r="AE12" i="21" s="1"/>
  <c r="AA11" i="21"/>
  <c r="AE11" i="21" s="1"/>
  <c r="AA10" i="21"/>
  <c r="AE10" i="21" s="1"/>
  <c r="AA9" i="21"/>
  <c r="AE9" i="21" s="1"/>
  <c r="AA8" i="21"/>
  <c r="AE8" i="21" s="1"/>
  <c r="AA7" i="21"/>
  <c r="AE7" i="21" s="1"/>
  <c r="S45" i="22" l="1"/>
  <c r="U45" i="22" s="1"/>
  <c r="U49" i="22" s="1"/>
  <c r="AA22" i="22"/>
  <c r="AA37" i="22" s="1"/>
  <c r="Y51" i="22"/>
  <c r="Y52" i="22" s="1"/>
  <c r="W51" i="22"/>
  <c r="W44" i="22"/>
  <c r="X57" i="22"/>
  <c r="W57" i="22" s="1"/>
  <c r="AE22" i="22"/>
  <c r="X43" i="22"/>
  <c r="X58" i="22"/>
  <c r="W45" i="22"/>
  <c r="AE9" i="22"/>
  <c r="Y43" i="22" s="1"/>
  <c r="AE26" i="22"/>
  <c r="X50" i="22" s="1"/>
  <c r="T46" i="22"/>
  <c r="T37" i="21"/>
  <c r="L37" i="21"/>
  <c r="X43" i="21"/>
  <c r="X56" i="21" s="1"/>
  <c r="O37" i="21"/>
  <c r="W37" i="21"/>
  <c r="P37" i="21"/>
  <c r="X37" i="21"/>
  <c r="O49" i="21"/>
  <c r="M37" i="21"/>
  <c r="U37" i="21"/>
  <c r="N37" i="21"/>
  <c r="V37" i="21"/>
  <c r="AA35" i="21"/>
  <c r="AE26" i="21"/>
  <c r="X50" i="21" s="1"/>
  <c r="X52" i="21" s="1"/>
  <c r="R37" i="21"/>
  <c r="Z37" i="21"/>
  <c r="Y51" i="21"/>
  <c r="Y52" i="21" s="1"/>
  <c r="AD37" i="21"/>
  <c r="X44" i="21"/>
  <c r="Y43" i="21"/>
  <c r="W43" i="21" s="1"/>
  <c r="AA22" i="21"/>
  <c r="S44" i="21"/>
  <c r="U44" i="21" s="1"/>
  <c r="S48" i="21"/>
  <c r="U48" i="21" s="1"/>
  <c r="S43" i="21"/>
  <c r="U43" i="21" s="1"/>
  <c r="AE24" i="21"/>
  <c r="AE20" i="21"/>
  <c r="X45" i="21" s="1"/>
  <c r="T43" i="22" l="1"/>
  <c r="X56" i="22"/>
  <c r="X46" i="22"/>
  <c r="W43" i="22"/>
  <c r="W50" i="22"/>
  <c r="X52" i="22"/>
  <c r="W52" i="22" s="1"/>
  <c r="T49" i="22"/>
  <c r="AE35" i="22"/>
  <c r="AE37" i="22" s="1"/>
  <c r="Y56" i="22"/>
  <c r="Y46" i="22"/>
  <c r="Y58" i="22"/>
  <c r="W58" i="22" s="1"/>
  <c r="W50" i="21"/>
  <c r="AE35" i="21"/>
  <c r="AA37" i="21"/>
  <c r="Y58" i="21"/>
  <c r="W51" i="21"/>
  <c r="W52" i="21"/>
  <c r="W44" i="21"/>
  <c r="X57" i="21"/>
  <c r="W57" i="21" s="1"/>
  <c r="AE22" i="21"/>
  <c r="T46" i="21"/>
  <c r="X58" i="21"/>
  <c r="W45" i="21"/>
  <c r="Y56" i="21"/>
  <c r="Y46" i="21"/>
  <c r="U49" i="21"/>
  <c r="T43" i="21"/>
  <c r="X46" i="21"/>
  <c r="AI12" i="18"/>
  <c r="AI13" i="18"/>
  <c r="AO55" i="18"/>
  <c r="U55" i="18"/>
  <c r="AS52" i="18"/>
  <c r="AO52" i="18"/>
  <c r="Z52" i="18"/>
  <c r="Z45" i="18"/>
  <c r="Y45" i="18"/>
  <c r="X45" i="18"/>
  <c r="W45" i="18"/>
  <c r="V45" i="18"/>
  <c r="U45" i="18"/>
  <c r="T45" i="18"/>
  <c r="S45" i="18"/>
  <c r="R45" i="18"/>
  <c r="Q45" i="18"/>
  <c r="P45" i="18"/>
  <c r="O45" i="18"/>
  <c r="N45" i="18"/>
  <c r="M45" i="18"/>
  <c r="L45" i="18"/>
  <c r="AI35" i="18"/>
  <c r="AI34" i="18"/>
  <c r="AI33" i="18"/>
  <c r="U57" i="18" s="1"/>
  <c r="AI32" i="18"/>
  <c r="AI31" i="18"/>
  <c r="AI30" i="18"/>
  <c r="AI29" i="18"/>
  <c r="AI28" i="18"/>
  <c r="AI27" i="18"/>
  <c r="Z25" i="18"/>
  <c r="Z47" i="18" s="1"/>
  <c r="Y25" i="18"/>
  <c r="X25" i="18"/>
  <c r="X47" i="18" s="1"/>
  <c r="W25" i="18"/>
  <c r="W47" i="18" s="1"/>
  <c r="V25" i="18"/>
  <c r="U25" i="18"/>
  <c r="U47" i="18" s="1"/>
  <c r="T25" i="18"/>
  <c r="T47" i="18" s="1"/>
  <c r="S25" i="18"/>
  <c r="R25" i="18"/>
  <c r="R47" i="18" s="1"/>
  <c r="Q25" i="18"/>
  <c r="P25" i="18"/>
  <c r="P47" i="18" s="1"/>
  <c r="O25" i="18"/>
  <c r="O47" i="18" s="1"/>
  <c r="N25" i="18"/>
  <c r="M25" i="18"/>
  <c r="M47" i="18" s="1"/>
  <c r="L25" i="18"/>
  <c r="L47" i="18" s="1"/>
  <c r="AI24" i="18"/>
  <c r="AI23" i="18"/>
  <c r="AI22" i="18"/>
  <c r="AI21" i="18"/>
  <c r="AI20" i="18"/>
  <c r="AI19" i="18"/>
  <c r="AI18" i="18"/>
  <c r="AI17" i="18"/>
  <c r="U54" i="18" s="1"/>
  <c r="AI16" i="18"/>
  <c r="AI15" i="18"/>
  <c r="U53" i="18" s="1"/>
  <c r="AI14" i="18"/>
  <c r="AI11" i="18"/>
  <c r="AI10" i="18"/>
  <c r="AI9" i="18"/>
  <c r="AI8" i="18"/>
  <c r="AI7" i="18"/>
  <c r="U52" i="18" s="1"/>
  <c r="T51" i="22" l="1"/>
  <c r="T50" i="22"/>
  <c r="W46" i="22"/>
  <c r="Y59" i="22"/>
  <c r="X59" i="22"/>
  <c r="W56" i="22"/>
  <c r="Q47" i="18"/>
  <c r="Y47" i="18"/>
  <c r="AI45" i="18"/>
  <c r="AO58" i="18"/>
  <c r="AO59" i="18" s="1"/>
  <c r="N47" i="18"/>
  <c r="AE37" i="21"/>
  <c r="W58" i="21"/>
  <c r="Y59" i="21"/>
  <c r="W56" i="21"/>
  <c r="X59" i="21"/>
  <c r="T49" i="21"/>
  <c r="W46" i="21"/>
  <c r="V47" i="18"/>
  <c r="S47" i="18"/>
  <c r="V52" i="18"/>
  <c r="AI25" i="18"/>
  <c r="AI47" i="18" s="1"/>
  <c r="U56" i="18"/>
  <c r="W59" i="22" l="1"/>
  <c r="W59" i="21"/>
  <c r="T51" i="21"/>
  <c r="T50" i="21"/>
  <c r="V55" i="18"/>
  <c r="V58" i="18" s="1"/>
  <c r="V59" i="18" s="1"/>
  <c r="U53" i="5" l="1"/>
  <c r="Z50" i="5"/>
  <c r="Z43" i="5"/>
  <c r="Y43" i="5"/>
  <c r="X43" i="5"/>
  <c r="W43" i="5"/>
  <c r="V43" i="5"/>
  <c r="U43" i="5"/>
  <c r="T43" i="5"/>
  <c r="S43" i="5"/>
  <c r="R43" i="5"/>
  <c r="Q43" i="5"/>
  <c r="P43" i="5"/>
  <c r="O43" i="5"/>
  <c r="N43" i="5"/>
  <c r="M43" i="5"/>
  <c r="L43" i="5"/>
  <c r="AI33" i="5"/>
  <c r="AI32" i="5"/>
  <c r="AI31" i="5"/>
  <c r="AI30" i="5"/>
  <c r="AI29" i="5"/>
  <c r="U54" i="5" s="1"/>
  <c r="AI28" i="5"/>
  <c r="AI27" i="5"/>
  <c r="Z25" i="5"/>
  <c r="Z45" i="5" s="1"/>
  <c r="Y25" i="5"/>
  <c r="X25" i="5"/>
  <c r="W25" i="5"/>
  <c r="V25" i="5"/>
  <c r="V45" i="5" s="1"/>
  <c r="U25" i="5"/>
  <c r="U45" i="5" s="1"/>
  <c r="T25" i="5"/>
  <c r="S25" i="5"/>
  <c r="R25" i="5"/>
  <c r="R45" i="5" s="1"/>
  <c r="Q25" i="5"/>
  <c r="P25" i="5"/>
  <c r="O25" i="5"/>
  <c r="N25" i="5"/>
  <c r="N45" i="5" s="1"/>
  <c r="M25" i="5"/>
  <c r="L25" i="5"/>
  <c r="AI24" i="5"/>
  <c r="AI23" i="5"/>
  <c r="AI22" i="5"/>
  <c r="AI21" i="5"/>
  <c r="AI20" i="5"/>
  <c r="AI19" i="5"/>
  <c r="AI18" i="5"/>
  <c r="U52" i="5" s="1"/>
  <c r="AI17" i="5"/>
  <c r="AI16" i="5"/>
  <c r="AI15" i="5"/>
  <c r="AI14" i="5"/>
  <c r="AI13" i="5"/>
  <c r="AI12" i="5"/>
  <c r="AI11" i="5"/>
  <c r="AI10" i="5"/>
  <c r="AI9" i="5"/>
  <c r="AI8" i="5"/>
  <c r="AI7" i="5"/>
  <c r="U52" i="4"/>
  <c r="Z49" i="4"/>
  <c r="W43" i="4"/>
  <c r="P43" i="4"/>
  <c r="Z41" i="4"/>
  <c r="Z43" i="4" s="1"/>
  <c r="Y41" i="4"/>
  <c r="X41" i="4"/>
  <c r="W41" i="4"/>
  <c r="V41" i="4"/>
  <c r="U41" i="4"/>
  <c r="T41" i="4"/>
  <c r="S41" i="4"/>
  <c r="R41" i="4"/>
  <c r="R43" i="4" s="1"/>
  <c r="Q41" i="4"/>
  <c r="P41" i="4"/>
  <c r="O41" i="4"/>
  <c r="N41" i="4"/>
  <c r="N43" i="4" s="1"/>
  <c r="M41" i="4"/>
  <c r="L41" i="4"/>
  <c r="AI31" i="4"/>
  <c r="AI30" i="4"/>
  <c r="AI29" i="4"/>
  <c r="AI28" i="4"/>
  <c r="AI27" i="4"/>
  <c r="AI26" i="4"/>
  <c r="U53" i="4" s="1"/>
  <c r="AI25" i="4"/>
  <c r="Z23" i="4"/>
  <c r="Y23" i="4"/>
  <c r="X23" i="4"/>
  <c r="W23" i="4"/>
  <c r="V23" i="4"/>
  <c r="V43" i="4" s="1"/>
  <c r="U23" i="4"/>
  <c r="U43" i="4" s="1"/>
  <c r="T23" i="4"/>
  <c r="T43" i="4" s="1"/>
  <c r="S23" i="4"/>
  <c r="R23" i="4"/>
  <c r="Q23" i="4"/>
  <c r="P23" i="4"/>
  <c r="O23" i="4"/>
  <c r="O43" i="4" s="1"/>
  <c r="N23" i="4"/>
  <c r="M23" i="4"/>
  <c r="M43" i="4" s="1"/>
  <c r="L23" i="4"/>
  <c r="L43" i="4" s="1"/>
  <c r="AI22" i="4"/>
  <c r="AI21" i="4"/>
  <c r="AI20" i="4"/>
  <c r="AI19" i="4"/>
  <c r="AI18" i="4"/>
  <c r="AI17" i="4"/>
  <c r="AI16" i="4"/>
  <c r="AI15" i="4"/>
  <c r="U51" i="4" s="1"/>
  <c r="AI14" i="4"/>
  <c r="AI13" i="4"/>
  <c r="AI12" i="4"/>
  <c r="U50" i="4" s="1"/>
  <c r="AI11" i="4"/>
  <c r="AI10" i="4"/>
  <c r="AI9" i="4"/>
  <c r="AI8" i="4"/>
  <c r="AI7" i="4"/>
  <c r="AI23" i="4" s="1"/>
  <c r="U52" i="3"/>
  <c r="U50" i="3"/>
  <c r="Z49" i="3"/>
  <c r="U49" i="3"/>
  <c r="Y43" i="3"/>
  <c r="M43" i="3"/>
  <c r="Z41" i="3"/>
  <c r="Z43" i="3" s="1"/>
  <c r="Y41" i="3"/>
  <c r="X41" i="3"/>
  <c r="W41" i="3"/>
  <c r="V41" i="3"/>
  <c r="U41" i="3"/>
  <c r="T41" i="3"/>
  <c r="S41" i="3"/>
  <c r="R41" i="3"/>
  <c r="Q41" i="3"/>
  <c r="P41" i="3"/>
  <c r="O41" i="3"/>
  <c r="N41" i="3"/>
  <c r="M41" i="3"/>
  <c r="L41" i="3"/>
  <c r="AI31" i="3"/>
  <c r="AI30" i="3"/>
  <c r="AI29" i="3"/>
  <c r="AI28" i="3"/>
  <c r="U54" i="3" s="1"/>
  <c r="AI27" i="3"/>
  <c r="AI26" i="3"/>
  <c r="AI25" i="3"/>
  <c r="Z23" i="3"/>
  <c r="Y23" i="3"/>
  <c r="X23" i="3"/>
  <c r="W23" i="3"/>
  <c r="W43" i="3" s="1"/>
  <c r="V23" i="3"/>
  <c r="U23" i="3"/>
  <c r="U43" i="3" s="1"/>
  <c r="T23" i="3"/>
  <c r="T43" i="3" s="1"/>
  <c r="S23" i="3"/>
  <c r="R23" i="3"/>
  <c r="Q23" i="3"/>
  <c r="P23" i="3"/>
  <c r="P43" i="3" s="1"/>
  <c r="O23" i="3"/>
  <c r="O43" i="3" s="1"/>
  <c r="N23" i="3"/>
  <c r="N43" i="3" s="1"/>
  <c r="M23" i="3"/>
  <c r="L23" i="3"/>
  <c r="AI22" i="3"/>
  <c r="AI21" i="3"/>
  <c r="AI20" i="3"/>
  <c r="AI19" i="3"/>
  <c r="AI18" i="3"/>
  <c r="AI17" i="3"/>
  <c r="AI16" i="3"/>
  <c r="AI15" i="3"/>
  <c r="U51" i="3" s="1"/>
  <c r="AI14" i="3"/>
  <c r="AI13" i="3"/>
  <c r="AI12" i="3"/>
  <c r="AI11" i="3"/>
  <c r="AI10" i="3"/>
  <c r="AI9" i="3"/>
  <c r="AI8" i="3"/>
  <c r="AI7" i="3"/>
  <c r="U49" i="2"/>
  <c r="U47" i="2"/>
  <c r="Z46" i="2"/>
  <c r="W41" i="2"/>
  <c r="P41" i="2"/>
  <c r="Z39" i="2"/>
  <c r="Y39" i="2"/>
  <c r="X39" i="2"/>
  <c r="W39" i="2"/>
  <c r="V39" i="2"/>
  <c r="U39" i="2"/>
  <c r="U41" i="2" s="1"/>
  <c r="T39" i="2"/>
  <c r="S39" i="2"/>
  <c r="R39" i="2"/>
  <c r="Q39" i="2"/>
  <c r="P39" i="2"/>
  <c r="O39" i="2"/>
  <c r="N39" i="2"/>
  <c r="M39" i="2"/>
  <c r="L39" i="2"/>
  <c r="AI29" i="2"/>
  <c r="AI28" i="2"/>
  <c r="AI27" i="2"/>
  <c r="AI26" i="2"/>
  <c r="U51" i="2" s="1"/>
  <c r="AI25" i="2"/>
  <c r="AI24" i="2"/>
  <c r="AI23" i="2"/>
  <c r="U50" i="2" s="1"/>
  <c r="Z21" i="2"/>
  <c r="Z41" i="2" s="1"/>
  <c r="Y21" i="2"/>
  <c r="Y41" i="2" s="1"/>
  <c r="X21" i="2"/>
  <c r="W21" i="2"/>
  <c r="V21" i="2"/>
  <c r="V41" i="2" s="1"/>
  <c r="U21" i="2"/>
  <c r="T21" i="2"/>
  <c r="T41" i="2" s="1"/>
  <c r="S21" i="2"/>
  <c r="R21" i="2"/>
  <c r="R41" i="2" s="1"/>
  <c r="Q21" i="2"/>
  <c r="Q41" i="2" s="1"/>
  <c r="P21" i="2"/>
  <c r="O21" i="2"/>
  <c r="N21" i="2"/>
  <c r="N41" i="2" s="1"/>
  <c r="M21" i="2"/>
  <c r="L21" i="2"/>
  <c r="L41" i="2" s="1"/>
  <c r="AI14" i="2"/>
  <c r="AI13" i="2"/>
  <c r="AI12" i="2"/>
  <c r="AI11" i="2"/>
  <c r="AI10" i="2"/>
  <c r="AI9" i="2"/>
  <c r="AI8" i="2"/>
  <c r="AI7" i="2"/>
  <c r="AP56" i="18" l="1"/>
  <c r="W56" i="18"/>
  <c r="AP57" i="18"/>
  <c r="W57" i="18"/>
  <c r="S41" i="2"/>
  <c r="V43" i="3"/>
  <c r="M41" i="2"/>
  <c r="W52" i="4"/>
  <c r="AP55" i="18"/>
  <c r="W55" i="18"/>
  <c r="Q43" i="3"/>
  <c r="U46" i="2"/>
  <c r="O41" i="2"/>
  <c r="AI39" i="2"/>
  <c r="R43" i="3"/>
  <c r="L43" i="3"/>
  <c r="X41" i="2"/>
  <c r="S43" i="3"/>
  <c r="AI41" i="3"/>
  <c r="U53" i="3"/>
  <c r="W53" i="3" s="1"/>
  <c r="S43" i="4"/>
  <c r="U48" i="2"/>
  <c r="U49" i="4"/>
  <c r="V49" i="4" s="1"/>
  <c r="V55" i="4" s="1"/>
  <c r="V49" i="3"/>
  <c r="U54" i="4"/>
  <c r="V52" i="4" s="1"/>
  <c r="O45" i="5"/>
  <c r="W45" i="5"/>
  <c r="X43" i="3"/>
  <c r="AI23" i="3"/>
  <c r="AI43" i="3" s="1"/>
  <c r="X43" i="4"/>
  <c r="AP53" i="18"/>
  <c r="W53" i="18"/>
  <c r="Q43" i="4"/>
  <c r="Y43" i="4"/>
  <c r="U50" i="5"/>
  <c r="M45" i="5"/>
  <c r="P45" i="5"/>
  <c r="X45" i="5"/>
  <c r="S45" i="5"/>
  <c r="L45" i="5"/>
  <c r="Q45" i="5"/>
  <c r="AI25" i="5"/>
  <c r="AI43" i="5"/>
  <c r="T45" i="5"/>
  <c r="U55" i="5"/>
  <c r="V53" i="5" s="1"/>
  <c r="U51" i="5"/>
  <c r="V50" i="5" s="1"/>
  <c r="Y45" i="5"/>
  <c r="W54" i="3"/>
  <c r="W51" i="4"/>
  <c r="W51" i="3"/>
  <c r="W52" i="5"/>
  <c r="AI45" i="5"/>
  <c r="W53" i="4"/>
  <c r="W50" i="3"/>
  <c r="W54" i="4"/>
  <c r="W53" i="5"/>
  <c r="V49" i="2"/>
  <c r="W50" i="4"/>
  <c r="W54" i="5"/>
  <c r="AI41" i="4"/>
  <c r="AI43" i="4" s="1"/>
  <c r="W52" i="3"/>
  <c r="AI21" i="2"/>
  <c r="AI41" i="2" s="1"/>
  <c r="AP54" i="18" l="1"/>
  <c r="W54" i="18"/>
  <c r="AP52" i="18"/>
  <c r="AP58" i="18" s="1"/>
  <c r="W52" i="18"/>
  <c r="W58" i="18" s="1"/>
  <c r="V46" i="2"/>
  <c r="W49" i="4"/>
  <c r="V52" i="3"/>
  <c r="V55" i="3" s="1"/>
  <c r="W50" i="5"/>
  <c r="W49" i="3"/>
  <c r="V56" i="5"/>
  <c r="V57" i="5" s="1"/>
  <c r="W55" i="5"/>
  <c r="W51" i="5"/>
  <c r="W55" i="3"/>
  <c r="V52" i="2"/>
  <c r="W55" i="4"/>
  <c r="W56" i="5" l="1"/>
</calcChain>
</file>

<file path=xl/sharedStrings.xml><?xml version="1.0" encoding="utf-8"?>
<sst xmlns="http://schemas.openxmlformats.org/spreadsheetml/2006/main" count="1375" uniqueCount="184">
  <si>
    <t>바이널씨 자리배치도</t>
  </si>
  <si>
    <t>4C</t>
  </si>
  <si>
    <t>4D</t>
  </si>
  <si>
    <t>커
머
스
웨
어</t>
  </si>
  <si>
    <t>고우정</t>
  </si>
  <si>
    <t>황세진</t>
  </si>
  <si>
    <t>배지효</t>
  </si>
  <si>
    <t>이경진</t>
  </si>
  <si>
    <t>정수정</t>
  </si>
  <si>
    <t>우미숙</t>
  </si>
  <si>
    <t>윤혜림</t>
  </si>
  <si>
    <t>박성호</t>
  </si>
  <si>
    <t>김강현</t>
  </si>
  <si>
    <t>김세진</t>
  </si>
  <si>
    <t>김민지</t>
  </si>
  <si>
    <t>조선자</t>
  </si>
  <si>
    <t>장익준</t>
  </si>
  <si>
    <t>이태림</t>
  </si>
  <si>
    <t>민수연</t>
  </si>
  <si>
    <t>안광훈</t>
  </si>
  <si>
    <t>김영근</t>
  </si>
  <si>
    <t>유경구</t>
  </si>
  <si>
    <t>박민정</t>
  </si>
  <si>
    <t>현대백화점 New 커머스 플랫폼 구축</t>
  </si>
  <si>
    <t>업무구분</t>
  </si>
  <si>
    <t>역할</t>
  </si>
  <si>
    <t>계약등급</t>
  </si>
  <si>
    <t>이름</t>
  </si>
  <si>
    <t>실등급</t>
  </si>
  <si>
    <t>계약투입일</t>
  </si>
  <si>
    <t>계약철수일</t>
  </si>
  <si>
    <t>실투입일</t>
  </si>
  <si>
    <t>실철수일</t>
  </si>
  <si>
    <t>M1
(2월)</t>
  </si>
  <si>
    <t>M2
(3월)</t>
  </si>
  <si>
    <t>M3
(4월)</t>
  </si>
  <si>
    <t>M4
(5월)</t>
  </si>
  <si>
    <t>M5
(6월)</t>
  </si>
  <si>
    <t>M6
(7월)</t>
  </si>
  <si>
    <t>M7
(8월)</t>
  </si>
  <si>
    <t>M8
(9월)</t>
  </si>
  <si>
    <t>M9
(10월)</t>
  </si>
  <si>
    <t>M10
(11월)</t>
  </si>
  <si>
    <t>M11
(12월)</t>
  </si>
  <si>
    <t>M12
(1월)</t>
  </si>
  <si>
    <t>M13
(2월)</t>
  </si>
  <si>
    <t>M14
(3월)</t>
  </si>
  <si>
    <t>M15
(4월)</t>
  </si>
  <si>
    <t>M/M계</t>
  </si>
  <si>
    <t>현장관리</t>
  </si>
  <si>
    <t>기획/디자인 총괄 (바이널씨 PM)</t>
  </si>
  <si>
    <t>고급</t>
  </si>
  <si>
    <t>특급</t>
  </si>
  <si>
    <t>기획</t>
  </si>
  <si>
    <t>PL (제작가이드, 산출물 검수)</t>
  </si>
  <si>
    <t xml:space="preserve">앱웹 Front UXUI 상세 화면설계
</t>
  </si>
  <si>
    <t>-</t>
  </si>
  <si>
    <t>중급</t>
  </si>
  <si>
    <t>최철원</t>
  </si>
  <si>
    <t>초급</t>
  </si>
  <si>
    <t>합계</t>
  </si>
  <si>
    <t>mm</t>
  </si>
  <si>
    <t>디자인</t>
  </si>
  <si>
    <t>앱웹 화면 UI 디자인</t>
  </si>
  <si>
    <t>인터렉션 디자인
(Interaction 설계 및 구현)</t>
  </si>
  <si>
    <t>MM</t>
  </si>
  <si>
    <t>등급별 계획공수</t>
  </si>
  <si>
    <t>계획공수</t>
  </si>
  <si>
    <t>부문</t>
  </si>
  <si>
    <t>등급</t>
  </si>
  <si>
    <t>공수</t>
  </si>
  <si>
    <t>계약공수</t>
  </si>
  <si>
    <t>본사 추가지원 공수</t>
  </si>
  <si>
    <t>총 가용 공수</t>
  </si>
  <si>
    <t>총계</t>
  </si>
  <si>
    <t xml:space="preserve">월별 인력 투입 계획 </t>
  </si>
  <si>
    <t>TBD</t>
  </si>
  <si>
    <t xml:space="preserve"> </t>
  </si>
  <si>
    <t>&gt; 최초 인력투입 계획 (1/17)에서는 정수정님, 김강현님이 2월까지로 되어 있었으나, 실제 두 분 계약은 각각 11월/10월로 되어있어서 수정</t>
  </si>
  <si>
    <t>&gt; 설계 범위가 당초 예상보다 매우 클 것으로 예상되어 설계단계까지 인력이 더 많이 필요할 것 같아 통테 지원을 줄이기로 PM과 합의하여 조정</t>
  </si>
  <si>
    <t>차이</t>
  </si>
  <si>
    <t>본사 추가지원 가능 공수</t>
  </si>
  <si>
    <t>잔여 가용 공수</t>
    <phoneticPr fontId="22" type="noConversion"/>
  </si>
  <si>
    <t>박지황</t>
    <phoneticPr fontId="22" type="noConversion"/>
  </si>
  <si>
    <t>김단비</t>
    <phoneticPr fontId="22" type="noConversion"/>
  </si>
  <si>
    <t>김원경</t>
    <phoneticPr fontId="22" type="noConversion"/>
  </si>
  <si>
    <t>`</t>
    <phoneticPr fontId="22" type="noConversion"/>
  </si>
  <si>
    <t>김단비,김원경 투입 시 박민정,김민지 뒷공수 활용분</t>
    <phoneticPr fontId="22" type="noConversion"/>
  </si>
  <si>
    <t>- 3.5MM(중급2.5, 초급1.0)</t>
    <phoneticPr fontId="22" type="noConversion"/>
  </si>
  <si>
    <t>추가4.5MM활용</t>
    <phoneticPr fontId="22" type="noConversion"/>
  </si>
  <si>
    <t>(등급 미고려)</t>
    <phoneticPr fontId="22" type="noConversion"/>
  </si>
  <si>
    <t>디자인변동검토</t>
    <phoneticPr fontId="22" type="noConversion"/>
  </si>
  <si>
    <t>계약 버전</t>
    <phoneticPr fontId="22" type="noConversion"/>
  </si>
  <si>
    <t>김단비</t>
    <phoneticPr fontId="22" type="noConversion"/>
  </si>
  <si>
    <t>김원형</t>
    <phoneticPr fontId="22" type="noConversion"/>
  </si>
  <si>
    <t>유지현</t>
    <phoneticPr fontId="22" type="noConversion"/>
  </si>
  <si>
    <t>유승용</t>
    <phoneticPr fontId="22" type="noConversion"/>
  </si>
  <si>
    <t>추가 기획 투입 건</t>
    <phoneticPr fontId="22" type="noConversion"/>
  </si>
  <si>
    <r>
      <t>추가</t>
    </r>
    <r>
      <rPr>
        <b/>
        <sz val="11"/>
        <color rgb="FFFF0000"/>
        <rFont val="Calibri"/>
        <family val="2"/>
        <scheme val="minor"/>
      </rPr>
      <t xml:space="preserve"> 14.0MM </t>
    </r>
    <r>
      <rPr>
        <b/>
        <sz val="11"/>
        <color rgb="FFFF0000"/>
        <rFont val="Calibri"/>
        <family val="3"/>
        <charset val="129"/>
        <scheme val="minor"/>
      </rPr>
      <t>활용</t>
    </r>
    <phoneticPr fontId="22" type="noConversion"/>
  </si>
  <si>
    <r>
      <t>추가</t>
    </r>
    <r>
      <rPr>
        <b/>
        <sz val="11"/>
        <color rgb="FFFF0000"/>
        <rFont val="Calibri"/>
        <family val="2"/>
        <scheme val="minor"/>
      </rPr>
      <t xml:space="preserve"> 4.5MM </t>
    </r>
    <r>
      <rPr>
        <b/>
        <sz val="11"/>
        <color rgb="FFFF0000"/>
        <rFont val="Calibri"/>
        <family val="3"/>
        <charset val="129"/>
        <scheme val="minor"/>
      </rPr>
      <t>활용</t>
    </r>
    <phoneticPr fontId="22" type="noConversion"/>
  </si>
  <si>
    <t>김단비</t>
    <phoneticPr fontId="22" type="noConversion"/>
  </si>
  <si>
    <t>기획변동검토</t>
    <phoneticPr fontId="22" type="noConversion"/>
  </si>
  <si>
    <r>
      <t xml:space="preserve">25/04/11 </t>
    </r>
    <r>
      <rPr>
        <sz val="11"/>
        <color theme="1"/>
        <rFont val="Calibri"/>
        <family val="3"/>
        <charset val="129"/>
        <scheme val="minor"/>
      </rPr>
      <t>버전</t>
    </r>
    <phoneticPr fontId="22" type="noConversion"/>
  </si>
  <si>
    <r>
      <rPr>
        <b/>
        <sz val="12"/>
        <color theme="1"/>
        <rFont val="Malgun Gothic"/>
        <family val="2"/>
        <charset val="129"/>
      </rPr>
      <t xml:space="preserve">변경 내용 설명 </t>
    </r>
    <r>
      <rPr>
        <b/>
        <sz val="12"/>
        <color theme="1"/>
        <rFont val="맑은 고딕"/>
        <family val="3"/>
        <charset val="129"/>
      </rPr>
      <t>↓</t>
    </r>
    <phoneticPr fontId="22" type="noConversion"/>
  </si>
  <si>
    <t>8월 - 9월</t>
    <phoneticPr fontId="35" type="noConversion"/>
  </si>
  <si>
    <t>단위테스트케이스 산출물 관리 / 테스트 시행</t>
    <phoneticPr fontId="35" type="noConversion"/>
  </si>
  <si>
    <t>추가요건에 대한 설계</t>
    <phoneticPr fontId="35" type="noConversion"/>
  </si>
  <si>
    <t>산출물(설계) 품질관리 및 현행화</t>
    <phoneticPr fontId="35" type="noConversion"/>
  </si>
  <si>
    <t>요구사항 추적표 관리</t>
    <phoneticPr fontId="35" type="noConversion"/>
  </si>
  <si>
    <t>메뉴구조도 관리</t>
    <phoneticPr fontId="35" type="noConversion"/>
  </si>
  <si>
    <t>10월 ~ 12월</t>
    <phoneticPr fontId="35" type="noConversion"/>
  </si>
  <si>
    <t>요구사항 추적표 관리</t>
    <phoneticPr fontId="35" type="noConversion"/>
  </si>
  <si>
    <t>1월 ~ 3월</t>
    <phoneticPr fontId="35" type="noConversion"/>
  </si>
  <si>
    <t>통합테스트 (개발대응)</t>
    <phoneticPr fontId="35" type="noConversion"/>
  </si>
  <si>
    <t>로그인, 회원, 상품, 주문, 마이페이지 관리</t>
  </si>
  <si>
    <t>장바구니, 주문서, 주문완료</t>
  </si>
  <si>
    <t>구독, 마이페이지(주문관리)</t>
  </si>
  <si>
    <t>프로모션, 이벤트, 마이페이지(나의활동, 나의혜택)</t>
  </si>
  <si>
    <t>(김강현)</t>
  </si>
  <si>
    <t>로그인, 회원가입, 마이페이지(나의정보)</t>
  </si>
  <si>
    <t>(장익준)</t>
  </si>
  <si>
    <t>상품 (유형, 무형)</t>
  </si>
  <si>
    <t>모듈, 피드/샵메인, 전문관, 브랜드관, 콘텐츠, 신규기능(미스페이스, 잼/마이컬렉션) 고객센터, 공통</t>
  </si>
  <si>
    <t>모듈, 브랜드관, 콘텐츠</t>
  </si>
  <si>
    <t>신규기능(미스페이스, 잼/마이컬렉션), 고객센터, 공통, 전문관</t>
  </si>
  <si>
    <t>변경MM</t>
    <phoneticPr fontId="22" type="noConversion"/>
  </si>
  <si>
    <t>등급별 계약공수</t>
    <phoneticPr fontId="22" type="noConversion"/>
  </si>
  <si>
    <t>조기철수</t>
    <phoneticPr fontId="22" type="noConversion"/>
  </si>
  <si>
    <t>바이널씨 내부 계획 공수</t>
    <phoneticPr fontId="22" type="noConversion"/>
  </si>
  <si>
    <t>현재</t>
    <phoneticPr fontId="22" type="noConversion"/>
  </si>
  <si>
    <t>계약대비 MM 차이</t>
    <phoneticPr fontId="22" type="noConversion"/>
  </si>
  <si>
    <t>고</t>
    <phoneticPr fontId="22" type="noConversion"/>
  </si>
  <si>
    <t>중</t>
    <phoneticPr fontId="22" type="noConversion"/>
  </si>
  <si>
    <t>초</t>
    <phoneticPr fontId="22" type="noConversion"/>
  </si>
  <si>
    <t>연장</t>
    <phoneticPr fontId="22" type="noConversion"/>
  </si>
  <si>
    <t>연장</t>
    <phoneticPr fontId="22" type="noConversion"/>
  </si>
  <si>
    <t>추가투입</t>
    <phoneticPr fontId="22" type="noConversion"/>
  </si>
  <si>
    <t>Gap</t>
    <phoneticPr fontId="22" type="noConversion"/>
  </si>
  <si>
    <t>*추가지원 가능 공수는 내부적으로만 소통</t>
    <phoneticPr fontId="22" type="noConversion"/>
  </si>
  <si>
    <t xml:space="preserve">앱웹 Front UXUI 상세 화면설계
</t>
    <phoneticPr fontId="22" type="noConversion"/>
  </si>
  <si>
    <t>앱웹 Front UXUI 상세 화면설계</t>
  </si>
  <si>
    <t>앱웹 Front UXUI 상세 화면설계</t>
    <phoneticPr fontId="22" type="noConversion"/>
  </si>
  <si>
    <t>현장관리</t>
    <phoneticPr fontId="22" type="noConversion"/>
  </si>
  <si>
    <t>계약MM</t>
    <phoneticPr fontId="22" type="noConversion"/>
  </si>
  <si>
    <t>잔여 가용 공수</t>
  </si>
  <si>
    <t>추가연장</t>
    <phoneticPr fontId="22" type="noConversion"/>
  </si>
  <si>
    <t>추가연장</t>
    <phoneticPr fontId="22" type="noConversion"/>
  </si>
  <si>
    <t>통합(기획/디자인) 인력 변경</t>
    <phoneticPr fontId="22" type="noConversion"/>
  </si>
  <si>
    <t>황세진,우미숙 조기철수 ▶ 조선자,유경구,안광훈 연장, *유승용,유지현 추가</t>
    <phoneticPr fontId="22" type="noConversion"/>
  </si>
  <si>
    <t>김세진 조기철수 ▶ 이태림 연장</t>
    <phoneticPr fontId="22" type="noConversion"/>
  </si>
  <si>
    <t>김민지 조기철수 ▶ 민수연,김단비,김원경 연장, TBD1, TBD2 추가</t>
    <phoneticPr fontId="22" type="noConversion"/>
  </si>
  <si>
    <t>현대백화점 New 커머스 플랫폼 구축</t>
    <phoneticPr fontId="22" type="noConversion"/>
  </si>
  <si>
    <t>비고(KTDS 이번 공유사항)</t>
    <phoneticPr fontId="22" type="noConversion"/>
  </si>
  <si>
    <t>PL연장확정(전PM공수)</t>
    <phoneticPr fontId="22" type="noConversion"/>
  </si>
  <si>
    <t>조기철수</t>
    <phoneticPr fontId="22" type="noConversion"/>
  </si>
  <si>
    <t>25/02/17</t>
    <phoneticPr fontId="22" type="noConversion"/>
  </si>
  <si>
    <t>1. 기간별 TASK</t>
    <phoneticPr fontId="22" type="noConversion"/>
  </si>
  <si>
    <t>조기철수(확정)_특급아님(고급)</t>
    <phoneticPr fontId="22" type="noConversion"/>
  </si>
  <si>
    <t>PM교체</t>
    <phoneticPr fontId="22" type="noConversion"/>
  </si>
  <si>
    <t>조기철수(확정)</t>
    <phoneticPr fontId="22" type="noConversion"/>
  </si>
  <si>
    <t>추가투입(철수상태)</t>
    <phoneticPr fontId="22" type="noConversion"/>
  </si>
  <si>
    <t>추가투입</t>
    <phoneticPr fontId="22" type="noConversion"/>
  </si>
  <si>
    <t>추가투입(연장)</t>
    <phoneticPr fontId="22" type="noConversion"/>
  </si>
  <si>
    <t>조기철수(검토)</t>
    <phoneticPr fontId="22" type="noConversion"/>
  </si>
  <si>
    <t>2. 각 파트별 작업 영역</t>
    <phoneticPr fontId="22" type="noConversion"/>
  </si>
  <si>
    <t>연장확정</t>
    <phoneticPr fontId="22" type="noConversion"/>
  </si>
  <si>
    <t>조기철수(희망검토)</t>
    <phoneticPr fontId="22" type="noConversion"/>
  </si>
  <si>
    <t>연장검토</t>
    <phoneticPr fontId="22" type="noConversion"/>
  </si>
  <si>
    <t>조기철수</t>
    <phoneticPr fontId="22" type="noConversion"/>
  </si>
  <si>
    <t>25/02/17 시작 버전</t>
    <phoneticPr fontId="22" type="noConversion"/>
  </si>
  <si>
    <t>투입변경 상세 내용</t>
    <phoneticPr fontId="22" type="noConversion"/>
  </si>
  <si>
    <t>기획 부문 인력 변경</t>
    <phoneticPr fontId="22" type="noConversion"/>
  </si>
  <si>
    <t>*고객/협력사 노출 금지</t>
    <phoneticPr fontId="22" type="noConversion"/>
  </si>
  <si>
    <t>디자인 부문 인력 변경</t>
    <phoneticPr fontId="22" type="noConversion"/>
  </si>
  <si>
    <t>중</t>
    <phoneticPr fontId="22" type="noConversion"/>
  </si>
  <si>
    <t>박민경 조기철수</t>
    <phoneticPr fontId="22" type="noConversion"/>
  </si>
  <si>
    <t>초</t>
    <phoneticPr fontId="22" type="noConversion"/>
  </si>
  <si>
    <t>변경버전</t>
    <phoneticPr fontId="22" type="noConversion"/>
  </si>
  <si>
    <t>바이널씨 PM/기획,디자인 인력투입 변경 사항</t>
    <phoneticPr fontId="22" type="noConversion"/>
  </si>
  <si>
    <t>작성 : 25/07/18</t>
    <phoneticPr fontId="22" type="noConversion"/>
  </si>
  <si>
    <t>바이널씨 인력투입 추가 공수(계획)</t>
    <phoneticPr fontId="22" type="noConversion"/>
  </si>
  <si>
    <r>
      <rPr>
        <sz val="9"/>
        <color theme="0"/>
        <rFont val="Noto Sans KR Medium"/>
        <charset val="129"/>
      </rPr>
      <t>김강현,</t>
    </r>
    <r>
      <rPr>
        <sz val="9"/>
        <color theme="1"/>
        <rFont val="Noto Sans KR Medium"/>
        <family val="3"/>
        <charset val="129"/>
      </rPr>
      <t>장익준 조기철수 ▶ 김영근 연장</t>
    </r>
    <phoneticPr fontId="22" type="noConversion"/>
  </si>
  <si>
    <t>김유진</t>
    <phoneticPr fontId="22" type="noConversion"/>
  </si>
  <si>
    <t>손성미</t>
    <phoneticPr fontId="2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</si>
</sst>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0">
    <numFmt numFmtId="176" formatCode="m&quot;/&quot;d"/>
    <numFmt numFmtId="177" formatCode="@\ \ &quot;인력투입계획&quot;"/>
    <numFmt numFmtId="178" formatCode="&quot;작성일 : &quot;m&quot;월&quot;\ d&quot;일&quot;"/>
    <numFmt numFmtId="179" formatCode="0.0_ "/>
    <numFmt numFmtId="180" formatCode="yy/mm/dd"/>
    <numFmt numFmtId="181" formatCode="0.00_);[Red]\(0.00\)"/>
    <numFmt numFmtId="182" formatCode="_-* #,##0_-;\-* #,##0_-;_-* &quot;-&quot;_-;_-@"/>
    <numFmt numFmtId="183" formatCode="#,##0.00_ "/>
    <numFmt numFmtId="184" formatCode="0.00_ ;[Red]\-0.00\ "/>
    <numFmt numFmtId="185" formatCode="yy\/mm\/dd"/>
  </numFmts>
  <fonts count="63">
    <font>
      <sz val="11"/>
      <color theme="1"/>
      <name val="Calibri"/>
      <scheme val="minor"/>
    </font>
    <font>
      <sz val="11"/>
      <color theme="1"/>
      <name val="Malgun Gothic"/>
      <family val="2"/>
      <charset val="129"/>
    </font>
    <font>
      <sz val="18"/>
      <color theme="1"/>
      <name val="Malgun Gothic"/>
      <family val="2"/>
      <charset val="129"/>
    </font>
    <font>
      <sz val="11"/>
      <name val="Calibri"/>
      <family val="2"/>
    </font>
    <font>
      <sz val="11"/>
      <color theme="1"/>
      <name val="Calibri"/>
      <family val="2"/>
      <scheme val="minor"/>
    </font>
    <font>
      <b/>
      <sz val="11"/>
      <color theme="1"/>
      <name val="Malgun Gothic"/>
      <family val="2"/>
      <charset val="129"/>
    </font>
    <font>
      <sz val="16"/>
      <color theme="1"/>
      <name val="Malgun Gothic"/>
      <family val="2"/>
      <charset val="129"/>
    </font>
    <font>
      <sz val="9"/>
      <color theme="1"/>
      <name val="Malgun Gothic"/>
      <family val="2"/>
      <charset val="129"/>
    </font>
    <font>
      <b/>
      <sz val="22"/>
      <color theme="1"/>
      <name val="Malgun Gothic"/>
      <family val="2"/>
      <charset val="129"/>
    </font>
    <font>
      <b/>
      <sz val="8"/>
      <color rgb="FFFF0000"/>
      <name val="Malgun Gothic"/>
      <family val="2"/>
      <charset val="129"/>
    </font>
    <font>
      <b/>
      <sz val="10"/>
      <color theme="1"/>
      <name val="Malgun Gothic"/>
      <family val="2"/>
      <charset val="129"/>
    </font>
    <font>
      <b/>
      <sz val="9"/>
      <color theme="1"/>
      <name val="Malgun Gothic"/>
      <family val="2"/>
      <charset val="129"/>
    </font>
    <font>
      <b/>
      <sz val="9"/>
      <color rgb="FFC00000"/>
      <name val="Malgun Gothic"/>
      <family val="2"/>
      <charset val="129"/>
    </font>
    <font>
      <sz val="9"/>
      <color rgb="FFC00000"/>
      <name val="Malgun Gothic"/>
      <family val="2"/>
      <charset val="129"/>
    </font>
    <font>
      <sz val="9"/>
      <color rgb="FFFF0000"/>
      <name val="Malgun Gothic"/>
      <family val="2"/>
      <charset val="129"/>
    </font>
    <font>
      <sz val="9"/>
      <color theme="0"/>
      <name val="Malgun Gothic"/>
      <family val="2"/>
      <charset val="129"/>
    </font>
    <font>
      <sz val="11"/>
      <color theme="1"/>
      <name val="Dotum"/>
      <family val="2"/>
      <charset val="129"/>
    </font>
    <font>
      <sz val="11"/>
      <color rgb="FFC00000"/>
      <name val="Dotum"/>
      <family val="2"/>
      <charset val="129"/>
    </font>
    <font>
      <b/>
      <sz val="12"/>
      <color rgb="FF00B0F0"/>
      <name val="Malgun Gothic"/>
      <family val="2"/>
      <charset val="129"/>
    </font>
    <font>
      <b/>
      <sz val="8"/>
      <color theme="1"/>
      <name val="Malgun Gothic"/>
      <family val="2"/>
      <charset val="129"/>
    </font>
    <font>
      <b/>
      <sz val="9"/>
      <color theme="0"/>
      <name val="Malgun Gothic"/>
      <family val="2"/>
      <charset val="129"/>
    </font>
    <font>
      <sz val="11"/>
      <color rgb="FFFF0000"/>
      <name val="Malgun Gothic"/>
      <family val="2"/>
      <charset val="129"/>
    </font>
    <font>
      <sz val="8"/>
      <name val="Calibri"/>
      <family val="3"/>
      <charset val="129"/>
      <scheme val="minor"/>
    </font>
    <font>
      <b/>
      <sz val="11"/>
      <color theme="1"/>
      <name val="Malgun Gothic"/>
      <family val="3"/>
      <charset val="129"/>
    </font>
    <font>
      <sz val="11"/>
      <color theme="1"/>
      <name val="Calibri"/>
      <family val="3"/>
      <charset val="129"/>
      <scheme val="minor"/>
    </font>
    <font>
      <sz val="11"/>
      <color rgb="FFFF0000"/>
      <name val="Calibri"/>
      <family val="2"/>
      <scheme val="minor"/>
    </font>
    <font>
      <sz val="11"/>
      <color rgb="FFFF0000"/>
      <name val="Calibri"/>
      <family val="3"/>
      <charset val="129"/>
      <scheme val="minor"/>
    </font>
    <font>
      <b/>
      <sz val="11"/>
      <color rgb="FFFF0000"/>
      <name val="Calibri"/>
      <family val="2"/>
      <scheme val="minor"/>
    </font>
    <font>
      <b/>
      <sz val="11"/>
      <color rgb="FFFF0000"/>
      <name val="Calibri"/>
      <family val="3"/>
      <charset val="129"/>
      <scheme val="minor"/>
    </font>
    <font>
      <sz val="9"/>
      <color rgb="FFFF0000"/>
      <name val="Malgun Gothic"/>
      <family val="3"/>
      <charset val="129"/>
    </font>
    <font>
      <b/>
      <sz val="22"/>
      <color rgb="FFFF0000"/>
      <name val="Malgun Gothic"/>
      <family val="3"/>
      <charset val="129"/>
    </font>
    <font>
      <sz val="11"/>
      <name val="Malgun Gothic"/>
      <family val="2"/>
      <charset val="129"/>
    </font>
    <font>
      <b/>
      <sz val="9"/>
      <color rgb="FFFF0000"/>
      <name val="Malgun Gothic"/>
      <family val="2"/>
      <charset val="129"/>
    </font>
    <font>
      <b/>
      <sz val="12"/>
      <color theme="1"/>
      <name val="Malgun Gothic"/>
      <family val="2"/>
      <charset val="129"/>
    </font>
    <font>
      <b/>
      <sz val="12"/>
      <color theme="1"/>
      <name val="맑은 고딕"/>
      <family val="3"/>
      <charset val="129"/>
    </font>
    <font>
      <sz val="8"/>
      <name val="Calibri"/>
      <family val="2"/>
      <charset val="129"/>
      <scheme val="minor"/>
    </font>
    <font>
      <sz val="9"/>
      <color theme="1"/>
      <name val="Noto Sans KR Medium"/>
      <family val="3"/>
      <charset val="129"/>
    </font>
    <font>
      <sz val="11"/>
      <color theme="1"/>
      <name val="Noto Sans KR Medium"/>
      <family val="3"/>
      <charset val="129"/>
    </font>
    <font>
      <b/>
      <sz val="22"/>
      <color theme="1"/>
      <name val="Noto Sans KR Medium"/>
      <family val="3"/>
      <charset val="129"/>
    </font>
    <font>
      <sz val="11"/>
      <name val="Noto Sans KR Medium"/>
      <family val="3"/>
      <charset val="129"/>
    </font>
    <font>
      <b/>
      <sz val="11"/>
      <color theme="1"/>
      <name val="Noto Sans KR Medium"/>
      <family val="3"/>
      <charset val="129"/>
    </font>
    <font>
      <b/>
      <sz val="10"/>
      <color theme="1"/>
      <name val="Noto Sans KR Medium"/>
      <family val="3"/>
      <charset val="129"/>
    </font>
    <font>
      <b/>
      <sz val="9"/>
      <color theme="0"/>
      <name val="Noto Sans KR Medium"/>
      <family val="3"/>
      <charset val="129"/>
    </font>
    <font>
      <b/>
      <sz val="9"/>
      <color theme="1"/>
      <name val="Noto Sans KR Medium"/>
      <family val="3"/>
      <charset val="129"/>
    </font>
    <font>
      <b/>
      <sz val="9"/>
      <color rgb="FFFF0000"/>
      <name val="Noto Sans KR Medium"/>
      <family val="3"/>
      <charset val="129"/>
    </font>
    <font>
      <sz val="9"/>
      <color rgb="FFFF0000"/>
      <name val="Noto Sans KR Medium"/>
      <family val="3"/>
      <charset val="129"/>
    </font>
    <font>
      <sz val="9"/>
      <name val="Noto Sans KR Medium"/>
      <family val="3"/>
      <charset val="129"/>
    </font>
    <font>
      <sz val="9"/>
      <color theme="1" tint="0.499984740745262"/>
      <name val="Noto Sans KR Medium"/>
      <family val="3"/>
      <charset val="129"/>
    </font>
    <font>
      <sz val="9"/>
      <color theme="0" tint="-0.34998626667073579"/>
      <name val="Noto Sans KR Medium"/>
      <family val="3"/>
      <charset val="129"/>
    </font>
    <font>
      <sz val="11"/>
      <color rgb="FFFF0000"/>
      <name val="Noto Sans KR Medium"/>
      <family val="3"/>
      <charset val="129"/>
    </font>
    <font>
      <sz val="9"/>
      <color theme="0"/>
      <name val="Noto Sans KR Medium"/>
      <family val="3"/>
      <charset val="129"/>
    </font>
    <font>
      <sz val="11"/>
      <color theme="1" tint="0.499984740745262"/>
      <name val="Noto Sans KR Medium"/>
      <family val="3"/>
      <charset val="129"/>
    </font>
    <font>
      <sz val="11"/>
      <color theme="0"/>
      <name val="Noto Sans KR Medium"/>
      <family val="3"/>
      <charset val="129"/>
    </font>
    <font>
      <b/>
      <sz val="12"/>
      <color theme="1" tint="0.499984740745262"/>
      <name val="Noto Sans KR Medium"/>
      <family val="3"/>
      <charset val="129"/>
    </font>
    <font>
      <b/>
      <sz val="12"/>
      <color theme="1"/>
      <name val="Noto Sans KR Medium"/>
      <family val="3"/>
      <charset val="129"/>
    </font>
    <font>
      <b/>
      <sz val="12"/>
      <color rgb="FF00B0F0"/>
      <name val="Noto Sans KR Medium"/>
      <family val="3"/>
      <charset val="129"/>
    </font>
    <font>
      <b/>
      <sz val="9"/>
      <color theme="0" tint="-4.9989318521683403E-2"/>
      <name val="Noto Sans KR Medium"/>
      <family val="3"/>
      <charset val="129"/>
    </font>
    <font>
      <b/>
      <sz val="9"/>
      <color theme="1" tint="0.499984740745262"/>
      <name val="Noto Sans KR Medium"/>
      <family val="3"/>
      <charset val="129"/>
    </font>
    <font>
      <b/>
      <sz val="11"/>
      <color theme="0" tint="-4.9989318521683403E-2"/>
      <name val="Noto Sans KR Medium"/>
      <family val="3"/>
      <charset val="129"/>
    </font>
    <font>
      <sz val="9"/>
      <color theme="0" tint="-4.9989318521683403E-2"/>
      <name val="Noto Sans KR Medium"/>
      <family val="3"/>
      <charset val="129"/>
    </font>
    <font>
      <b/>
      <u/>
      <sz val="11"/>
      <color theme="1"/>
      <name val="Noto Sans KR Medium"/>
      <family val="3"/>
      <charset val="129"/>
    </font>
    <font>
      <sz val="9"/>
      <color theme="0"/>
      <name val="Noto Sans KR Medium"/>
      <charset val="129"/>
    </font>
    <font>
      <sz val="9"/>
      <color theme="1"/>
      <name val="Noto Sans KR Medium"/>
      <charset val="129"/>
    </font>
  </fonts>
  <fills count="45">
    <fill>
      <patternFill patternType="none"/>
    </fill>
    <fill>
      <patternFill patternType="gray125"/>
    </fill>
    <fill>
      <patternFill patternType="solid">
        <fgColor theme="0"/>
        <bgColor theme="0"/>
      </patternFill>
    </fill>
    <fill>
      <patternFill patternType="solid">
        <fgColor rgb="FFFFFFFF"/>
        <bgColor rgb="FFFFFFFF"/>
      </patternFill>
    </fill>
    <fill>
      <patternFill patternType="solid">
        <fgColor rgb="FFD9D9D9"/>
        <bgColor rgb="FFD9D9D9"/>
      </patternFill>
    </fill>
    <fill>
      <patternFill patternType="solid">
        <fgColor rgb="FFD9EAD3"/>
        <bgColor rgb="FFD9EAD3"/>
      </patternFill>
    </fill>
    <fill>
      <patternFill patternType="solid">
        <fgColor rgb="FFFCE5CD"/>
        <bgColor rgb="FFFCE5CD"/>
      </patternFill>
    </fill>
    <fill>
      <patternFill patternType="solid">
        <fgColor rgb="FFD8D8D8"/>
        <bgColor rgb="FFD8D8D8"/>
      </patternFill>
    </fill>
    <fill>
      <patternFill patternType="solid">
        <fgColor rgb="FF99CCFF"/>
        <bgColor rgb="FF99CCFF"/>
      </patternFill>
    </fill>
    <fill>
      <patternFill patternType="solid">
        <fgColor rgb="FFCCECFF"/>
        <bgColor rgb="FFCCECFF"/>
      </patternFill>
    </fill>
    <fill>
      <patternFill patternType="solid">
        <fgColor rgb="FFE7E6E6"/>
        <bgColor rgb="FFE7E6E6"/>
      </patternFill>
    </fill>
    <fill>
      <patternFill patternType="solid">
        <fgColor rgb="FFEAEAEA"/>
        <bgColor rgb="FFEAEAEA"/>
      </patternFill>
    </fill>
    <fill>
      <patternFill patternType="solid">
        <fgColor rgb="FF9CC2E5"/>
        <bgColor rgb="FF9CC2E5"/>
      </patternFill>
    </fill>
    <fill>
      <patternFill patternType="solid">
        <fgColor rgb="FFDEEAF6"/>
        <bgColor rgb="FFDEEAF6"/>
      </patternFill>
    </fill>
    <fill>
      <patternFill patternType="solid">
        <fgColor rgb="FFA5A5A5"/>
        <bgColor rgb="FFA5A5A5"/>
      </patternFill>
    </fill>
    <fill>
      <patternFill patternType="solid">
        <fgColor theme="0"/>
        <bgColor indexed="64"/>
      </patternFill>
    </fill>
    <fill>
      <patternFill patternType="solid">
        <fgColor theme="9" tint="0.59999389629810485"/>
        <bgColor rgb="FFCCECFF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FF00"/>
        <bgColor rgb="FFCCECFF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7" tint="0.79998168889431442"/>
        <bgColor rgb="FFCCECFF"/>
      </patternFill>
    </fill>
    <fill>
      <patternFill patternType="solid">
        <fgColor rgb="FFFFFF00"/>
        <bgColor theme="0"/>
      </patternFill>
    </fill>
    <fill>
      <patternFill patternType="solid">
        <fgColor rgb="FFFFFF00"/>
        <bgColor rgb="FF99CCFF"/>
      </patternFill>
    </fill>
    <fill>
      <patternFill patternType="solid">
        <fgColor theme="7" tint="0.79998168889431442"/>
        <bgColor rgb="FF99CCFF"/>
      </patternFill>
    </fill>
    <fill>
      <patternFill patternType="solid">
        <fgColor theme="2" tint="-0.14999847407452621"/>
        <bgColor indexed="64"/>
      </patternFill>
    </fill>
    <fill>
      <patternFill patternType="solid">
        <fgColor theme="7" tint="0.79998168889431442"/>
        <bgColor theme="0"/>
      </patternFill>
    </fill>
    <fill>
      <patternFill patternType="solid">
        <fgColor theme="2" tint="-0.14999847407452621"/>
        <bgColor rgb="FF9CC2E5"/>
      </patternFill>
    </fill>
    <fill>
      <patternFill patternType="solid">
        <fgColor theme="2" tint="-0.14999847407452621"/>
        <bgColor rgb="FFDEEAF6"/>
      </patternFill>
    </fill>
    <fill>
      <patternFill patternType="solid">
        <fgColor rgb="FF99CCFF"/>
        <bgColor indexed="64"/>
      </patternFill>
    </fill>
    <fill>
      <patternFill patternType="solid">
        <fgColor rgb="FF92D050"/>
        <bgColor theme="0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5" tint="0.59999389629810485"/>
        <bgColor rgb="FFCCECFF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1"/>
        <bgColor rgb="FF9CC2E5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0.39997558519241921"/>
        <bgColor rgb="FFD8D8D8"/>
      </patternFill>
    </fill>
    <fill>
      <patternFill patternType="solid">
        <fgColor theme="1"/>
        <bgColor rgb="FFDEEAF6"/>
      </patternFill>
    </fill>
    <fill>
      <patternFill patternType="solid">
        <fgColor theme="1"/>
        <bgColor indexed="64"/>
      </patternFill>
    </fill>
    <fill>
      <patternFill patternType="solid">
        <fgColor rgb="FF99CCFF"/>
        <bgColor rgb="FFA5A5A5"/>
      </patternFill>
    </fill>
    <fill>
      <patternFill patternType="solid">
        <fgColor rgb="FFFFD966"/>
        <bgColor rgb="FF99CCFF"/>
      </patternFill>
    </fill>
  </fills>
  <borders count="85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/>
      <right/>
      <top/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/>
      <top/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/>
      <top/>
      <bottom style="hair">
        <color rgb="FF000000"/>
      </bottom>
      <diagonal/>
    </border>
    <border>
      <left/>
      <right style="hair">
        <color rgb="FF000000"/>
      </right>
      <top style="hair">
        <color rgb="FF000000"/>
      </top>
      <bottom style="hair">
        <color rgb="FF000000"/>
      </bottom>
      <diagonal/>
    </border>
    <border>
      <left style="hair">
        <color rgb="FF000000"/>
      </left>
      <right style="hair">
        <color rgb="FF000000"/>
      </right>
      <top style="hair">
        <color rgb="FF000000"/>
      </top>
      <bottom style="hair">
        <color rgb="FF000000"/>
      </bottom>
      <diagonal/>
    </border>
    <border>
      <left style="hair">
        <color rgb="FF000000"/>
      </left>
      <right/>
      <top style="hair">
        <color rgb="FF000000"/>
      </top>
      <bottom style="hair">
        <color rgb="FF000000"/>
      </bottom>
      <diagonal/>
    </border>
    <border>
      <left/>
      <right style="hair">
        <color rgb="FF000000"/>
      </right>
      <top style="hair">
        <color rgb="FF000000"/>
      </top>
      <bottom/>
      <diagonal/>
    </border>
    <border>
      <left style="hair">
        <color rgb="FF000000"/>
      </left>
      <right style="hair">
        <color rgb="FF000000"/>
      </right>
      <top style="hair">
        <color rgb="FF000000"/>
      </top>
      <bottom/>
      <diagonal/>
    </border>
    <border>
      <left/>
      <right style="hair">
        <color rgb="FF000000"/>
      </right>
      <top/>
      <bottom/>
      <diagonal/>
    </border>
    <border>
      <left style="hair">
        <color rgb="FF000000"/>
      </left>
      <right style="hair">
        <color rgb="FF000000"/>
      </right>
      <top/>
      <bottom/>
      <diagonal/>
    </border>
    <border>
      <left style="hair">
        <color rgb="FF000000"/>
      </left>
      <right style="hair">
        <color rgb="FF000000"/>
      </right>
      <top/>
      <bottom style="hair">
        <color rgb="FF000000"/>
      </bottom>
      <diagonal/>
    </border>
    <border>
      <left/>
      <right style="hair">
        <color rgb="FF000000"/>
      </right>
      <top/>
      <bottom style="hair">
        <color rgb="FF000000"/>
      </bottom>
      <diagonal/>
    </border>
    <border>
      <left style="hair">
        <color rgb="FF000000"/>
      </left>
      <right/>
      <top style="hair">
        <color rgb="FF000000"/>
      </top>
      <bottom style="hair">
        <color rgb="FF000000"/>
      </bottom>
      <diagonal/>
    </border>
    <border>
      <left/>
      <right style="hair">
        <color rgb="FF000000"/>
      </right>
      <top style="hair">
        <color rgb="FF000000"/>
      </top>
      <bottom style="hair">
        <color rgb="FF000000"/>
      </bottom>
      <diagonal/>
    </border>
    <border>
      <left/>
      <right/>
      <top style="hair">
        <color rgb="FF000000"/>
      </top>
      <bottom style="hair">
        <color rgb="FF000000"/>
      </bottom>
      <diagonal/>
    </border>
    <border>
      <left/>
      <right/>
      <top style="hair">
        <color rgb="FF000000"/>
      </top>
      <bottom/>
      <diagonal/>
    </border>
    <border>
      <left/>
      <right/>
      <top style="hair">
        <color rgb="FF000000"/>
      </top>
      <bottom/>
      <diagonal/>
    </border>
    <border>
      <left/>
      <right style="hair">
        <color rgb="FF000000"/>
      </right>
      <top style="hair">
        <color rgb="FF000000"/>
      </top>
      <bottom/>
      <diagonal/>
    </border>
    <border>
      <left/>
      <right/>
      <top style="hair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theme="1"/>
      </left>
      <right style="thin">
        <color theme="1"/>
      </right>
      <top style="thin">
        <color theme="1"/>
      </top>
      <bottom/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 style="thin">
        <color theme="1"/>
      </right>
      <top/>
      <bottom/>
      <diagonal/>
    </border>
    <border>
      <left style="thin">
        <color theme="1"/>
      </left>
      <right style="thin">
        <color theme="1"/>
      </right>
      <top/>
      <bottom style="thin">
        <color theme="1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hair">
        <color auto="1"/>
      </right>
      <top/>
      <bottom/>
      <diagonal/>
    </border>
    <border>
      <left style="hair">
        <color auto="1"/>
      </left>
      <right style="hair">
        <color auto="1"/>
      </right>
      <top/>
      <bottom/>
      <diagonal/>
    </border>
    <border>
      <left style="hair">
        <color auto="1"/>
      </left>
      <right/>
      <top/>
      <bottom/>
      <diagonal/>
    </border>
    <border>
      <left/>
      <right style="hair">
        <color auto="1"/>
      </right>
      <top style="hair">
        <color auto="1"/>
      </top>
      <bottom/>
      <diagonal/>
    </border>
    <border>
      <left style="hair">
        <color auto="1"/>
      </left>
      <right style="hair">
        <color auto="1"/>
      </right>
      <top style="hair">
        <color auto="1"/>
      </top>
      <bottom/>
      <diagonal/>
    </border>
    <border>
      <left/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/>
      <right style="hair">
        <color auto="1"/>
      </right>
      <top style="hair">
        <color auto="1"/>
      </top>
      <bottom style="hair">
        <color auto="1"/>
      </bottom>
      <diagonal/>
    </border>
    <border>
      <left/>
      <right style="hair">
        <color auto="1"/>
      </right>
      <top style="thin">
        <color auto="1"/>
      </top>
      <bottom/>
      <diagonal/>
    </border>
    <border>
      <left style="hair">
        <color auto="1"/>
      </left>
      <right style="hair">
        <color auto="1"/>
      </right>
      <top style="thin">
        <color auto="1"/>
      </top>
      <bottom/>
      <diagonal/>
    </border>
    <border>
      <left style="hair">
        <color auto="1"/>
      </left>
      <right/>
      <top style="thin">
        <color auto="1"/>
      </top>
      <bottom/>
      <diagonal/>
    </border>
    <border>
      <left/>
      <right style="hair">
        <color auto="1"/>
      </right>
      <top/>
      <bottom style="thin">
        <color auto="1"/>
      </bottom>
      <diagonal/>
    </border>
    <border>
      <left style="hair">
        <color auto="1"/>
      </left>
      <right style="hair">
        <color auto="1"/>
      </right>
      <top/>
      <bottom style="thin">
        <color auto="1"/>
      </bottom>
      <diagonal/>
    </border>
    <border>
      <left style="hair">
        <color auto="1"/>
      </left>
      <right/>
      <top/>
      <bottom style="thin">
        <color auto="1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4" fillId="0" borderId="18"/>
  </cellStyleXfs>
  <cellXfs count="441">
    <xf numFmtId="0" fontId="0" fillId="0" borderId="0" xfId="0" applyAlignment="1">
      <alignment vertical="center"/>
    </xf>
    <xf numFmtId="0" fontId="1" fillId="2" borderId="1" xfId="0" applyFont="1" applyFill="1" applyBorder="1" applyAlignment="1">
      <alignment vertical="center"/>
    </xf>
    <xf numFmtId="0" fontId="1" fillId="3" borderId="1" xfId="0" applyFont="1" applyFill="1" applyBorder="1" applyAlignment="1">
      <alignment vertical="center"/>
    </xf>
    <xf numFmtId="0" fontId="2" fillId="2" borderId="1" xfId="0" applyFont="1" applyFill="1" applyBorder="1" applyAlignment="1">
      <alignment vertical="center"/>
    </xf>
    <xf numFmtId="0" fontId="1" fillId="3" borderId="2" xfId="0" applyFont="1" applyFill="1" applyBorder="1" applyAlignment="1">
      <alignment vertical="center"/>
    </xf>
    <xf numFmtId="0" fontId="1" fillId="2" borderId="2" xfId="0" applyFont="1" applyFill="1" applyBorder="1" applyAlignment="1">
      <alignment vertical="center"/>
    </xf>
    <xf numFmtId="0" fontId="4" fillId="3" borderId="0" xfId="0" applyFont="1" applyFill="1" applyAlignment="1">
      <alignment vertical="center"/>
    </xf>
    <xf numFmtId="0" fontId="1" fillId="3" borderId="11" xfId="0" applyFont="1" applyFill="1" applyBorder="1" applyAlignment="1">
      <alignment vertical="center"/>
    </xf>
    <xf numFmtId="0" fontId="1" fillId="2" borderId="11" xfId="0" applyFont="1" applyFill="1" applyBorder="1" applyAlignment="1">
      <alignment vertical="center"/>
    </xf>
    <xf numFmtId="0" fontId="1" fillId="5" borderId="13" xfId="0" applyFont="1" applyFill="1" applyBorder="1" applyAlignment="1">
      <alignment horizontal="center" vertical="center"/>
    </xf>
    <xf numFmtId="0" fontId="1" fillId="6" borderId="13" xfId="0" applyFont="1" applyFill="1" applyBorder="1" applyAlignment="1">
      <alignment horizontal="center" vertical="center"/>
    </xf>
    <xf numFmtId="0" fontId="1" fillId="2" borderId="0" xfId="0" applyFont="1" applyFill="1" applyAlignment="1">
      <alignment vertical="center"/>
    </xf>
    <xf numFmtId="0" fontId="1" fillId="2" borderId="15" xfId="0" applyFont="1" applyFill="1" applyBorder="1" applyAlignment="1">
      <alignment horizontal="center" vertical="center"/>
    </xf>
    <xf numFmtId="0" fontId="1" fillId="2" borderId="16" xfId="0" applyFont="1" applyFill="1" applyBorder="1" applyAlignment="1">
      <alignment vertical="center"/>
    </xf>
    <xf numFmtId="176" fontId="1" fillId="2" borderId="17" xfId="0" applyNumberFormat="1" applyFont="1" applyFill="1" applyBorder="1" applyAlignment="1">
      <alignment horizontal="center" vertical="center"/>
    </xf>
    <xf numFmtId="0" fontId="1" fillId="2" borderId="18" xfId="0" applyFont="1" applyFill="1" applyBorder="1" applyAlignment="1">
      <alignment vertical="center"/>
    </xf>
    <xf numFmtId="0" fontId="5" fillId="2" borderId="16" xfId="0" applyFont="1" applyFill="1" applyBorder="1" applyAlignment="1">
      <alignment vertical="center"/>
    </xf>
    <xf numFmtId="0" fontId="6" fillId="2" borderId="0" xfId="0" applyFont="1" applyFill="1" applyAlignment="1">
      <alignment horizontal="center" vertical="center"/>
    </xf>
    <xf numFmtId="0" fontId="1" fillId="0" borderId="15" xfId="0" applyFont="1" applyBorder="1" applyAlignment="1">
      <alignment horizontal="center" vertical="center"/>
    </xf>
    <xf numFmtId="0" fontId="7" fillId="0" borderId="0" xfId="0" applyFont="1" applyAlignment="1">
      <alignment vertical="center"/>
    </xf>
    <xf numFmtId="0" fontId="7" fillId="0" borderId="0" xfId="0" applyFont="1" applyAlignment="1">
      <alignment horizontal="center" vertical="center"/>
    </xf>
    <xf numFmtId="0" fontId="7" fillId="0" borderId="3" xfId="0" applyFont="1" applyBorder="1" applyAlignment="1">
      <alignment vertical="center"/>
    </xf>
    <xf numFmtId="0" fontId="7" fillId="0" borderId="5" xfId="0" applyFont="1" applyBorder="1" applyAlignment="1">
      <alignment vertical="center"/>
    </xf>
    <xf numFmtId="0" fontId="7" fillId="0" borderId="5" xfId="0" applyFont="1" applyBorder="1" applyAlignment="1">
      <alignment horizontal="center" vertical="center"/>
    </xf>
    <xf numFmtId="0" fontId="7" fillId="0" borderId="4" xfId="0" applyFont="1" applyBorder="1" applyAlignment="1">
      <alignment vertical="center"/>
    </xf>
    <xf numFmtId="0" fontId="7" fillId="0" borderId="6" xfId="0" applyFont="1" applyBorder="1" applyAlignment="1">
      <alignment vertical="center"/>
    </xf>
    <xf numFmtId="0" fontId="7" fillId="0" borderId="7" xfId="0" applyFont="1" applyBorder="1" applyAlignment="1">
      <alignment vertical="center"/>
    </xf>
    <xf numFmtId="0" fontId="1" fillId="0" borderId="5" xfId="0" applyFont="1" applyBorder="1" applyAlignment="1">
      <alignment vertical="center"/>
    </xf>
    <xf numFmtId="0" fontId="1" fillId="0" borderId="5" xfId="0" applyFont="1" applyBorder="1" applyAlignment="1">
      <alignment horizontal="center" vertical="center"/>
    </xf>
    <xf numFmtId="0" fontId="10" fillId="0" borderId="0" xfId="0" applyFont="1" applyAlignment="1">
      <alignment vertical="center"/>
    </xf>
    <xf numFmtId="0" fontId="1" fillId="0" borderId="0" xfId="0" applyFont="1" applyAlignment="1">
      <alignment vertical="center"/>
    </xf>
    <xf numFmtId="0" fontId="1" fillId="0" borderId="23" xfId="0" applyFont="1" applyBorder="1" applyAlignment="1">
      <alignment vertical="center"/>
    </xf>
    <xf numFmtId="0" fontId="7" fillId="0" borderId="23" xfId="0" applyFont="1" applyBorder="1" applyAlignment="1">
      <alignment horizontal="center" vertical="center"/>
    </xf>
    <xf numFmtId="0" fontId="11" fillId="7" borderId="24" xfId="0" applyFont="1" applyFill="1" applyBorder="1" applyAlignment="1">
      <alignment horizontal="center" vertical="center"/>
    </xf>
    <xf numFmtId="0" fontId="11" fillId="7" borderId="25" xfId="0" applyFont="1" applyFill="1" applyBorder="1" applyAlignment="1">
      <alignment horizontal="center" vertical="center"/>
    </xf>
    <xf numFmtId="0" fontId="12" fillId="7" borderId="25" xfId="0" applyFont="1" applyFill="1" applyBorder="1" applyAlignment="1">
      <alignment horizontal="center" vertical="center"/>
    </xf>
    <xf numFmtId="0" fontId="11" fillId="7" borderId="25" xfId="0" applyFont="1" applyFill="1" applyBorder="1" applyAlignment="1">
      <alignment horizontal="center" vertical="center" wrapText="1"/>
    </xf>
    <xf numFmtId="0" fontId="11" fillId="7" borderId="26" xfId="0" applyFont="1" applyFill="1" applyBorder="1" applyAlignment="1">
      <alignment horizontal="center" vertical="center"/>
    </xf>
    <xf numFmtId="179" fontId="11" fillId="0" borderId="27" xfId="0" applyNumberFormat="1" applyFont="1" applyBorder="1" applyAlignment="1">
      <alignment horizontal="center" vertical="center" wrapText="1"/>
    </xf>
    <xf numFmtId="179" fontId="11" fillId="0" borderId="28" xfId="0" applyNumberFormat="1" applyFont="1" applyBorder="1" applyAlignment="1">
      <alignment vertical="center" wrapText="1"/>
    </xf>
    <xf numFmtId="179" fontId="7" fillId="8" borderId="25" xfId="0" applyNumberFormat="1" applyFont="1" applyFill="1" applyBorder="1" applyAlignment="1">
      <alignment horizontal="center" vertical="center"/>
    </xf>
    <xf numFmtId="179" fontId="13" fillId="8" borderId="25" xfId="0" applyNumberFormat="1" applyFont="1" applyFill="1" applyBorder="1" applyAlignment="1">
      <alignment horizontal="center" vertical="center"/>
    </xf>
    <xf numFmtId="180" fontId="7" fillId="8" borderId="25" xfId="0" applyNumberFormat="1" applyFont="1" applyFill="1" applyBorder="1" applyAlignment="1">
      <alignment vertical="center"/>
    </xf>
    <xf numFmtId="181" fontId="7" fillId="8" borderId="25" xfId="0" applyNumberFormat="1" applyFont="1" applyFill="1" applyBorder="1" applyAlignment="1">
      <alignment horizontal="center" vertical="center"/>
    </xf>
    <xf numFmtId="181" fontId="7" fillId="0" borderId="25" xfId="0" applyNumberFormat="1" applyFont="1" applyBorder="1" applyAlignment="1">
      <alignment horizontal="center" vertical="center"/>
    </xf>
    <xf numFmtId="181" fontId="7" fillId="7" borderId="26" xfId="0" applyNumberFormat="1" applyFont="1" applyFill="1" applyBorder="1" applyAlignment="1">
      <alignment horizontal="center" vertical="center"/>
    </xf>
    <xf numFmtId="181" fontId="14" fillId="8" borderId="25" xfId="0" applyNumberFormat="1" applyFont="1" applyFill="1" applyBorder="1" applyAlignment="1">
      <alignment horizontal="center" vertical="center"/>
    </xf>
    <xf numFmtId="0" fontId="11" fillId="0" borderId="29" xfId="0" applyFont="1" applyBorder="1" applyAlignment="1">
      <alignment horizontal="center" vertical="center"/>
    </xf>
    <xf numFmtId="179" fontId="13" fillId="8" borderId="25" xfId="0" quotePrefix="1" applyNumberFormat="1" applyFont="1" applyFill="1" applyBorder="1" applyAlignment="1">
      <alignment horizontal="center" vertical="center"/>
    </xf>
    <xf numFmtId="180" fontId="14" fillId="8" borderId="25" xfId="0" applyNumberFormat="1" applyFont="1" applyFill="1" applyBorder="1" applyAlignment="1">
      <alignment vertical="center"/>
    </xf>
    <xf numFmtId="0" fontId="15" fillId="0" borderId="29" xfId="0" applyFont="1" applyBorder="1" applyAlignment="1">
      <alignment horizontal="center" vertical="center"/>
    </xf>
    <xf numFmtId="179" fontId="7" fillId="9" borderId="25" xfId="0" applyNumberFormat="1" applyFont="1" applyFill="1" applyBorder="1" applyAlignment="1">
      <alignment horizontal="center" vertical="center"/>
    </xf>
    <xf numFmtId="179" fontId="13" fillId="9" borderId="25" xfId="0" applyNumberFormat="1" applyFont="1" applyFill="1" applyBorder="1" applyAlignment="1">
      <alignment horizontal="center" vertical="center"/>
    </xf>
    <xf numFmtId="180" fontId="7" fillId="9" borderId="25" xfId="0" applyNumberFormat="1" applyFont="1" applyFill="1" applyBorder="1" applyAlignment="1">
      <alignment vertical="center"/>
    </xf>
    <xf numFmtId="181" fontId="14" fillId="9" borderId="25" xfId="0" applyNumberFormat="1" applyFont="1" applyFill="1" applyBorder="1" applyAlignment="1">
      <alignment horizontal="center" vertical="center"/>
    </xf>
    <xf numFmtId="181" fontId="7" fillId="9" borderId="25" xfId="0" applyNumberFormat="1" applyFont="1" applyFill="1" applyBorder="1" applyAlignment="1">
      <alignment horizontal="center" vertical="center"/>
    </xf>
    <xf numFmtId="180" fontId="14" fillId="9" borderId="25" xfId="0" applyNumberFormat="1" applyFont="1" applyFill="1" applyBorder="1" applyAlignment="1">
      <alignment vertical="center"/>
    </xf>
    <xf numFmtId="179" fontId="7" fillId="0" borderId="25" xfId="0" applyNumberFormat="1" applyFont="1" applyBorder="1" applyAlignment="1">
      <alignment horizontal="center" vertical="center"/>
    </xf>
    <xf numFmtId="179" fontId="13" fillId="0" borderId="25" xfId="0" quotePrefix="1" applyNumberFormat="1" applyFont="1" applyBorder="1" applyAlignment="1">
      <alignment horizontal="center" vertical="center"/>
    </xf>
    <xf numFmtId="180" fontId="7" fillId="0" borderId="25" xfId="0" applyNumberFormat="1" applyFont="1" applyBorder="1" applyAlignment="1">
      <alignment vertical="center"/>
    </xf>
    <xf numFmtId="179" fontId="13" fillId="0" borderId="25" xfId="0" applyNumberFormat="1" applyFont="1" applyBorder="1" applyAlignment="1">
      <alignment horizontal="center" vertical="center"/>
    </xf>
    <xf numFmtId="0" fontId="15" fillId="0" borderId="32" xfId="0" applyFont="1" applyBorder="1" applyAlignment="1">
      <alignment horizontal="center" vertical="center"/>
    </xf>
    <xf numFmtId="179" fontId="7" fillId="0" borderId="33" xfId="0" applyNumberFormat="1" applyFont="1" applyBorder="1" applyAlignment="1">
      <alignment vertical="center"/>
    </xf>
    <xf numFmtId="179" fontId="16" fillId="0" borderId="34" xfId="0" applyNumberFormat="1" applyFont="1" applyBorder="1" applyAlignment="1">
      <alignment vertical="center"/>
    </xf>
    <xf numFmtId="179" fontId="17" fillId="0" borderId="34" xfId="0" applyNumberFormat="1" applyFont="1" applyBorder="1" applyAlignment="1">
      <alignment vertical="center"/>
    </xf>
    <xf numFmtId="180" fontId="7" fillId="10" borderId="25" xfId="0" applyNumberFormat="1" applyFont="1" applyFill="1" applyBorder="1" applyAlignment="1">
      <alignment horizontal="center" vertical="center"/>
    </xf>
    <xf numFmtId="180" fontId="7" fillId="10" borderId="25" xfId="0" applyNumberFormat="1" applyFont="1" applyFill="1" applyBorder="1" applyAlignment="1">
      <alignment horizontal="right" vertical="center"/>
    </xf>
    <xf numFmtId="180" fontId="11" fillId="7" borderId="25" xfId="0" applyNumberFormat="1" applyFont="1" applyFill="1" applyBorder="1" applyAlignment="1">
      <alignment vertical="center"/>
    </xf>
    <xf numFmtId="181" fontId="11" fillId="7" borderId="25" xfId="0" applyNumberFormat="1" applyFont="1" applyFill="1" applyBorder="1" applyAlignment="1">
      <alignment horizontal="center" vertical="center"/>
    </xf>
    <xf numFmtId="181" fontId="11" fillId="7" borderId="26" xfId="0" applyNumberFormat="1" applyFont="1" applyFill="1" applyBorder="1" applyAlignment="1">
      <alignment horizontal="center" vertical="center"/>
    </xf>
    <xf numFmtId="0" fontId="11" fillId="0" borderId="0" xfId="0" applyFont="1" applyAlignment="1">
      <alignment vertical="center"/>
    </xf>
    <xf numFmtId="0" fontId="11" fillId="0" borderId="6" xfId="0" applyFont="1" applyBorder="1" applyAlignment="1">
      <alignment vertical="center"/>
    </xf>
    <xf numFmtId="179" fontId="11" fillId="11" borderId="35" xfId="0" applyNumberFormat="1" applyFont="1" applyFill="1" applyBorder="1" applyAlignment="1">
      <alignment horizontal="center" vertical="center" wrapText="1"/>
    </xf>
    <xf numFmtId="179" fontId="11" fillId="11" borderId="35" xfId="0" applyNumberFormat="1" applyFont="1" applyFill="1" applyBorder="1" applyAlignment="1">
      <alignment vertical="center" wrapText="1"/>
    </xf>
    <xf numFmtId="0" fontId="16" fillId="11" borderId="35" xfId="0" applyFont="1" applyFill="1" applyBorder="1" applyAlignment="1">
      <alignment vertical="center"/>
    </xf>
    <xf numFmtId="0" fontId="17" fillId="11" borderId="35" xfId="0" applyFont="1" applyFill="1" applyBorder="1" applyAlignment="1">
      <alignment vertical="center"/>
    </xf>
    <xf numFmtId="180" fontId="16" fillId="11" borderId="35" xfId="0" applyNumberFormat="1" applyFont="1" applyFill="1" applyBorder="1" applyAlignment="1">
      <alignment vertical="center"/>
    </xf>
    <xf numFmtId="0" fontId="16" fillId="7" borderId="35" xfId="0" applyFont="1" applyFill="1" applyBorder="1" applyAlignment="1">
      <alignment vertical="center"/>
    </xf>
    <xf numFmtId="0" fontId="11" fillId="0" borderId="7" xfId="0" applyFont="1" applyBorder="1" applyAlignment="1">
      <alignment vertical="center"/>
    </xf>
    <xf numFmtId="179" fontId="11" fillId="0" borderId="25" xfId="0" applyNumberFormat="1" applyFont="1" applyBorder="1" applyAlignment="1">
      <alignment vertical="center" wrapText="1"/>
    </xf>
    <xf numFmtId="179" fontId="13" fillId="9" borderId="25" xfId="0" quotePrefix="1" applyNumberFormat="1" applyFont="1" applyFill="1" applyBorder="1" applyAlignment="1">
      <alignment horizontal="center" vertical="center"/>
    </xf>
    <xf numFmtId="181" fontId="14" fillId="0" borderId="25" xfId="0" applyNumberFormat="1" applyFont="1" applyBorder="1" applyAlignment="1">
      <alignment horizontal="center" vertical="center"/>
    </xf>
    <xf numFmtId="0" fontId="16" fillId="0" borderId="34" xfId="0" applyFont="1" applyBorder="1" applyAlignment="1">
      <alignment vertical="center"/>
    </xf>
    <xf numFmtId="0" fontId="17" fillId="0" borderId="34" xfId="0" applyFont="1" applyBorder="1" applyAlignment="1">
      <alignment vertical="center"/>
    </xf>
    <xf numFmtId="179" fontId="11" fillId="7" borderId="39" xfId="0" applyNumberFormat="1" applyFont="1" applyFill="1" applyBorder="1" applyAlignment="1">
      <alignment horizontal="center" vertical="center"/>
    </xf>
    <xf numFmtId="0" fontId="1" fillId="7" borderId="26" xfId="0" applyFont="1" applyFill="1" applyBorder="1" applyAlignment="1">
      <alignment horizontal="right" vertical="center"/>
    </xf>
    <xf numFmtId="182" fontId="10" fillId="7" borderId="25" xfId="0" applyNumberFormat="1" applyFont="1" applyFill="1" applyBorder="1" applyAlignment="1">
      <alignment vertical="center"/>
    </xf>
    <xf numFmtId="0" fontId="7" fillId="0" borderId="8" xfId="0" applyFont="1" applyBorder="1" applyAlignment="1">
      <alignment vertical="center"/>
    </xf>
    <xf numFmtId="0" fontId="7" fillId="0" borderId="10" xfId="0" applyFont="1" applyBorder="1" applyAlignment="1">
      <alignment vertical="center"/>
    </xf>
    <xf numFmtId="0" fontId="7" fillId="0" borderId="10" xfId="0" applyFont="1" applyBorder="1" applyAlignment="1">
      <alignment horizontal="center" vertical="center"/>
    </xf>
    <xf numFmtId="0" fontId="7" fillId="0" borderId="10" xfId="0" applyFont="1" applyBorder="1" applyAlignment="1">
      <alignment horizontal="right" vertical="center"/>
    </xf>
    <xf numFmtId="0" fontId="7" fillId="0" borderId="9" xfId="0" applyFont="1" applyBorder="1" applyAlignment="1">
      <alignment vertical="center"/>
    </xf>
    <xf numFmtId="0" fontId="18" fillId="0" borderId="0" xfId="0" applyFont="1" applyAlignment="1">
      <alignment vertical="center"/>
    </xf>
    <xf numFmtId="0" fontId="5" fillId="12" borderId="40" xfId="0" applyFont="1" applyFill="1" applyBorder="1" applyAlignment="1">
      <alignment horizontal="center" vertical="center"/>
    </xf>
    <xf numFmtId="0" fontId="5" fillId="12" borderId="41" xfId="0" applyFont="1" applyFill="1" applyBorder="1" applyAlignment="1">
      <alignment horizontal="center" vertical="center"/>
    </xf>
    <xf numFmtId="181" fontId="11" fillId="0" borderId="40" xfId="0" applyNumberFormat="1" applyFont="1" applyBorder="1" applyAlignment="1">
      <alignment vertical="center"/>
    </xf>
    <xf numFmtId="0" fontId="11" fillId="0" borderId="40" xfId="0" applyFont="1" applyBorder="1" applyAlignment="1">
      <alignment horizontal="center" vertical="center"/>
    </xf>
    <xf numFmtId="181" fontId="11" fillId="0" borderId="40" xfId="0" applyNumberFormat="1" applyFont="1" applyBorder="1" applyAlignment="1">
      <alignment horizontal="right" vertical="center"/>
    </xf>
    <xf numFmtId="0" fontId="20" fillId="14" borderId="24" xfId="0" applyFont="1" applyFill="1" applyBorder="1" applyAlignment="1">
      <alignment horizontal="center" vertical="center"/>
    </xf>
    <xf numFmtId="0" fontId="20" fillId="14" borderId="25" xfId="0" applyFont="1" applyFill="1" applyBorder="1" applyAlignment="1">
      <alignment horizontal="center" vertical="center"/>
    </xf>
    <xf numFmtId="0" fontId="20" fillId="14" borderId="25" xfId="0" applyFont="1" applyFill="1" applyBorder="1" applyAlignment="1">
      <alignment horizontal="center" vertical="center" wrapText="1"/>
    </xf>
    <xf numFmtId="0" fontId="20" fillId="14" borderId="26" xfId="0" applyFont="1" applyFill="1" applyBorder="1" applyAlignment="1">
      <alignment horizontal="center" vertical="center"/>
    </xf>
    <xf numFmtId="179" fontId="7" fillId="8" borderId="25" xfId="0" quotePrefix="1" applyNumberFormat="1" applyFont="1" applyFill="1" applyBorder="1" applyAlignment="1">
      <alignment horizontal="center" vertical="center"/>
    </xf>
    <xf numFmtId="179" fontId="7" fillId="0" borderId="25" xfId="0" quotePrefix="1" applyNumberFormat="1" applyFont="1" applyBorder="1" applyAlignment="1">
      <alignment horizontal="center" vertical="center"/>
    </xf>
    <xf numFmtId="180" fontId="7" fillId="10" borderId="25" xfId="0" applyNumberFormat="1" applyFont="1" applyFill="1" applyBorder="1" applyAlignment="1">
      <alignment horizontal="left" vertical="center"/>
    </xf>
    <xf numFmtId="179" fontId="7" fillId="9" borderId="25" xfId="0" quotePrefix="1" applyNumberFormat="1" applyFont="1" applyFill="1" applyBorder="1" applyAlignment="1">
      <alignment horizontal="center" vertical="center"/>
    </xf>
    <xf numFmtId="0" fontId="21" fillId="0" borderId="0" xfId="0" applyFont="1" applyAlignment="1">
      <alignment vertical="center"/>
    </xf>
    <xf numFmtId="183" fontId="1" fillId="0" borderId="0" xfId="0" applyNumberFormat="1" applyFont="1" applyAlignment="1">
      <alignment horizontal="left" vertical="center"/>
    </xf>
    <xf numFmtId="0" fontId="20" fillId="12" borderId="40" xfId="0" applyFont="1" applyFill="1" applyBorder="1" applyAlignment="1">
      <alignment vertical="center"/>
    </xf>
    <xf numFmtId="0" fontId="7" fillId="0" borderId="40" xfId="0" applyFont="1" applyBorder="1" applyAlignment="1">
      <alignment vertical="center"/>
    </xf>
    <xf numFmtId="181" fontId="7" fillId="18" borderId="25" xfId="0" applyNumberFormat="1" applyFont="1" applyFill="1" applyBorder="1" applyAlignment="1">
      <alignment horizontal="center" vertical="center"/>
    </xf>
    <xf numFmtId="181" fontId="7" fillId="21" borderId="25" xfId="0" applyNumberFormat="1" applyFont="1" applyFill="1" applyBorder="1" applyAlignment="1">
      <alignment horizontal="center" vertical="center"/>
    </xf>
    <xf numFmtId="181" fontId="7" fillId="22" borderId="25" xfId="0" applyNumberFormat="1" applyFont="1" applyFill="1" applyBorder="1" applyAlignment="1">
      <alignment horizontal="center" vertical="center"/>
    </xf>
    <xf numFmtId="181" fontId="14" fillId="21" borderId="25" xfId="0" applyNumberFormat="1" applyFont="1" applyFill="1" applyBorder="1" applyAlignment="1">
      <alignment horizontal="center" vertical="center"/>
    </xf>
    <xf numFmtId="0" fontId="1" fillId="2" borderId="1" xfId="0" quotePrefix="1" applyFont="1" applyFill="1" applyBorder="1" applyAlignment="1">
      <alignment vertical="center"/>
    </xf>
    <xf numFmtId="183" fontId="21" fillId="0" borderId="0" xfId="0" applyNumberFormat="1" applyFont="1" applyAlignment="1">
      <alignment horizontal="left" vertical="center"/>
    </xf>
    <xf numFmtId="0" fontId="25" fillId="0" borderId="0" xfId="0" applyFont="1" applyAlignment="1">
      <alignment vertical="center"/>
    </xf>
    <xf numFmtId="0" fontId="26" fillId="0" borderId="0" xfId="0" applyFont="1" applyAlignment="1">
      <alignment vertical="center"/>
    </xf>
    <xf numFmtId="0" fontId="28" fillId="0" borderId="0" xfId="0" applyFont="1" applyAlignment="1">
      <alignment vertical="center"/>
    </xf>
    <xf numFmtId="0" fontId="1" fillId="23" borderId="1" xfId="0" applyFont="1" applyFill="1" applyBorder="1" applyAlignment="1">
      <alignment vertical="center"/>
    </xf>
    <xf numFmtId="0" fontId="23" fillId="2" borderId="1" xfId="0" applyFont="1" applyFill="1" applyBorder="1" applyAlignment="1">
      <alignment horizontal="right" vertical="center"/>
    </xf>
    <xf numFmtId="181" fontId="14" fillId="7" borderId="26" xfId="0" applyNumberFormat="1" applyFont="1" applyFill="1" applyBorder="1" applyAlignment="1">
      <alignment horizontal="center" vertical="center"/>
    </xf>
    <xf numFmtId="179" fontId="14" fillId="8" borderId="25" xfId="0" applyNumberFormat="1" applyFont="1" applyFill="1" applyBorder="1" applyAlignment="1">
      <alignment horizontal="center" vertical="center"/>
    </xf>
    <xf numFmtId="179" fontId="29" fillId="8" borderId="25" xfId="0" applyNumberFormat="1" applyFont="1" applyFill="1" applyBorder="1" applyAlignment="1">
      <alignment horizontal="center" vertical="center"/>
    </xf>
    <xf numFmtId="179" fontId="29" fillId="8" borderId="25" xfId="0" quotePrefix="1" applyNumberFormat="1" applyFont="1" applyFill="1" applyBorder="1" applyAlignment="1">
      <alignment horizontal="center" vertical="center"/>
    </xf>
    <xf numFmtId="179" fontId="14" fillId="9" borderId="25" xfId="0" applyNumberFormat="1" applyFont="1" applyFill="1" applyBorder="1" applyAlignment="1">
      <alignment horizontal="center" vertical="center"/>
    </xf>
    <xf numFmtId="179" fontId="29" fillId="9" borderId="25" xfId="0" applyNumberFormat="1" applyFont="1" applyFill="1" applyBorder="1" applyAlignment="1">
      <alignment horizontal="center" vertical="center"/>
    </xf>
    <xf numFmtId="0" fontId="30" fillId="19" borderId="0" xfId="0" applyFont="1" applyFill="1" applyAlignment="1">
      <alignment vertical="center"/>
    </xf>
    <xf numFmtId="0" fontId="7" fillId="19" borderId="0" xfId="0" applyFont="1" applyFill="1" applyAlignment="1">
      <alignment vertical="center"/>
    </xf>
    <xf numFmtId="0" fontId="7" fillId="19" borderId="0" xfId="0" applyFont="1" applyFill="1" applyAlignment="1">
      <alignment horizontal="center" vertical="center"/>
    </xf>
    <xf numFmtId="179" fontId="14" fillId="0" borderId="25" xfId="0" applyNumberFormat="1" applyFont="1" applyBorder="1" applyAlignment="1">
      <alignment horizontal="center" vertical="center"/>
    </xf>
    <xf numFmtId="179" fontId="29" fillId="0" borderId="25" xfId="0" applyNumberFormat="1" applyFont="1" applyBorder="1" applyAlignment="1">
      <alignment horizontal="center" vertical="center"/>
    </xf>
    <xf numFmtId="181" fontId="14" fillId="19" borderId="25" xfId="0" applyNumberFormat="1" applyFont="1" applyFill="1" applyBorder="1" applyAlignment="1">
      <alignment horizontal="center" vertical="center"/>
    </xf>
    <xf numFmtId="181" fontId="14" fillId="18" borderId="25" xfId="0" applyNumberFormat="1" applyFont="1" applyFill="1" applyBorder="1" applyAlignment="1">
      <alignment horizontal="center" vertical="center"/>
    </xf>
    <xf numFmtId="181" fontId="14" fillId="22" borderId="25" xfId="0" applyNumberFormat="1" applyFont="1" applyFill="1" applyBorder="1" applyAlignment="1">
      <alignment horizontal="center" vertical="center"/>
    </xf>
    <xf numFmtId="0" fontId="4" fillId="0" borderId="0" xfId="0" applyFont="1" applyAlignment="1">
      <alignment vertical="center"/>
    </xf>
    <xf numFmtId="183" fontId="31" fillId="0" borderId="0" xfId="0" applyNumberFormat="1" applyFont="1" applyAlignment="1">
      <alignment horizontal="left" vertical="center"/>
    </xf>
    <xf numFmtId="0" fontId="1" fillId="23" borderId="1" xfId="0" applyFont="1" applyFill="1" applyBorder="1" applyAlignment="1">
      <alignment horizontal="right" vertical="center"/>
    </xf>
    <xf numFmtId="0" fontId="1" fillId="27" borderId="1" xfId="0" applyFont="1" applyFill="1" applyBorder="1" applyAlignment="1">
      <alignment vertical="center"/>
    </xf>
    <xf numFmtId="0" fontId="23" fillId="27" borderId="1" xfId="0" applyFont="1" applyFill="1" applyBorder="1" applyAlignment="1">
      <alignment vertical="center"/>
    </xf>
    <xf numFmtId="0" fontId="0" fillId="21" borderId="0" xfId="0" applyFill="1" applyAlignment="1">
      <alignment vertical="center"/>
    </xf>
    <xf numFmtId="0" fontId="7" fillId="21" borderId="0" xfId="0" applyFont="1" applyFill="1" applyAlignment="1">
      <alignment horizontal="center" vertical="center"/>
    </xf>
    <xf numFmtId="0" fontId="4" fillId="21" borderId="0" xfId="0" applyFont="1" applyFill="1" applyAlignment="1">
      <alignment vertical="center"/>
    </xf>
    <xf numFmtId="0" fontId="5" fillId="28" borderId="40" xfId="0" applyFont="1" applyFill="1" applyBorder="1" applyAlignment="1">
      <alignment horizontal="center" vertical="center"/>
    </xf>
    <xf numFmtId="0" fontId="5" fillId="28" borderId="41" xfId="0" applyFont="1" applyFill="1" applyBorder="1" applyAlignment="1">
      <alignment horizontal="center" vertical="center"/>
    </xf>
    <xf numFmtId="181" fontId="32" fillId="0" borderId="40" xfId="0" applyNumberFormat="1" applyFont="1" applyBorder="1" applyAlignment="1">
      <alignment vertical="center"/>
    </xf>
    <xf numFmtId="0" fontId="1" fillId="31" borderId="1" xfId="0" applyFont="1" applyFill="1" applyBorder="1" applyAlignment="1">
      <alignment vertical="center"/>
    </xf>
    <xf numFmtId="0" fontId="7" fillId="20" borderId="0" xfId="0" applyFont="1" applyFill="1" applyAlignment="1">
      <alignment vertical="center"/>
    </xf>
    <xf numFmtId="0" fontId="7" fillId="20" borderId="0" xfId="0" applyFont="1" applyFill="1" applyAlignment="1">
      <alignment horizontal="center" vertical="center"/>
    </xf>
    <xf numFmtId="0" fontId="33" fillId="31" borderId="1" xfId="0" applyFont="1" applyFill="1" applyBorder="1" applyAlignment="1">
      <alignment vertical="center"/>
    </xf>
    <xf numFmtId="0" fontId="36" fillId="0" borderId="0" xfId="0" applyFont="1" applyAlignment="1">
      <alignment vertical="center"/>
    </xf>
    <xf numFmtId="0" fontId="36" fillId="0" borderId="0" xfId="0" applyFont="1" applyAlignment="1">
      <alignment horizontal="center" vertical="center"/>
    </xf>
    <xf numFmtId="0" fontId="37" fillId="0" borderId="0" xfId="0" applyFont="1" applyAlignment="1">
      <alignment vertical="center"/>
    </xf>
    <xf numFmtId="0" fontId="36" fillId="0" borderId="3" xfId="0" applyFont="1" applyBorder="1" applyAlignment="1">
      <alignment vertical="center"/>
    </xf>
    <xf numFmtId="0" fontId="36" fillId="0" borderId="5" xfId="0" applyFont="1" applyBorder="1" applyAlignment="1">
      <alignment vertical="center"/>
    </xf>
    <xf numFmtId="0" fontId="36" fillId="0" borderId="5" xfId="0" applyFont="1" applyBorder="1" applyAlignment="1">
      <alignment horizontal="center" vertical="center"/>
    </xf>
    <xf numFmtId="0" fontId="36" fillId="0" borderId="4" xfId="0" applyFont="1" applyBorder="1" applyAlignment="1">
      <alignment vertical="center"/>
    </xf>
    <xf numFmtId="0" fontId="36" fillId="0" borderId="6" xfId="0" applyFont="1" applyBorder="1" applyAlignment="1">
      <alignment vertical="center"/>
    </xf>
    <xf numFmtId="0" fontId="36" fillId="0" borderId="7" xfId="0" applyFont="1" applyBorder="1" applyAlignment="1">
      <alignment vertical="center"/>
    </xf>
    <xf numFmtId="0" fontId="37" fillId="0" borderId="5" xfId="0" applyFont="1" applyBorder="1" applyAlignment="1">
      <alignment vertical="center"/>
    </xf>
    <xf numFmtId="0" fontId="37" fillId="0" borderId="5" xfId="0" applyFont="1" applyBorder="1" applyAlignment="1">
      <alignment horizontal="center" vertical="center"/>
    </xf>
    <xf numFmtId="0" fontId="41" fillId="0" borderId="0" xfId="0" applyFont="1" applyAlignment="1">
      <alignment vertical="center"/>
    </xf>
    <xf numFmtId="0" fontId="37" fillId="0" borderId="23" xfId="0" applyFont="1" applyBorder="1" applyAlignment="1">
      <alignment vertical="center"/>
    </xf>
    <xf numFmtId="0" fontId="36" fillId="0" borderId="23" xfId="0" applyFont="1" applyBorder="1" applyAlignment="1">
      <alignment horizontal="center" vertical="center"/>
    </xf>
    <xf numFmtId="0" fontId="37" fillId="0" borderId="68" xfId="0" quotePrefix="1" applyFont="1" applyBorder="1" applyAlignment="1">
      <alignment vertical="center"/>
    </xf>
    <xf numFmtId="185" fontId="37" fillId="32" borderId="69" xfId="0" applyNumberFormat="1" applyFont="1" applyFill="1" applyBorder="1" applyAlignment="1">
      <alignment vertical="center"/>
    </xf>
    <xf numFmtId="0" fontId="37" fillId="0" borderId="70" xfId="0" applyFont="1" applyBorder="1" applyAlignment="1">
      <alignment vertical="center"/>
    </xf>
    <xf numFmtId="0" fontId="42" fillId="14" borderId="24" xfId="0" applyFont="1" applyFill="1" applyBorder="1" applyAlignment="1">
      <alignment horizontal="center" vertical="center"/>
    </xf>
    <xf numFmtId="0" fontId="42" fillId="14" borderId="25" xfId="0" applyFont="1" applyFill="1" applyBorder="1" applyAlignment="1">
      <alignment horizontal="center" vertical="center"/>
    </xf>
    <xf numFmtId="0" fontId="42" fillId="14" borderId="25" xfId="0" applyFont="1" applyFill="1" applyBorder="1" applyAlignment="1">
      <alignment horizontal="center" vertical="center" wrapText="1"/>
    </xf>
    <xf numFmtId="0" fontId="37" fillId="0" borderId="0" xfId="0" applyFont="1" applyAlignment="1">
      <alignment horizontal="right" vertical="center"/>
    </xf>
    <xf numFmtId="0" fontId="40" fillId="0" borderId="18" xfId="1" applyFont="1" applyAlignment="1">
      <alignment vertical="center"/>
    </xf>
    <xf numFmtId="0" fontId="37" fillId="0" borderId="18" xfId="1" applyFont="1" applyAlignment="1">
      <alignment vertical="center"/>
    </xf>
    <xf numFmtId="179" fontId="43" fillId="0" borderId="38" xfId="0" applyNumberFormat="1" applyFont="1" applyBorder="1" applyAlignment="1">
      <alignment horizontal="center" vertical="center" wrapText="1"/>
    </xf>
    <xf numFmtId="179" fontId="44" fillId="0" borderId="28" xfId="0" applyNumberFormat="1" applyFont="1" applyBorder="1" applyAlignment="1">
      <alignment vertical="center" wrapText="1"/>
    </xf>
    <xf numFmtId="179" fontId="45" fillId="8" borderId="25" xfId="0" applyNumberFormat="1" applyFont="1" applyFill="1" applyBorder="1" applyAlignment="1">
      <alignment horizontal="center" vertical="center"/>
    </xf>
    <xf numFmtId="179" fontId="46" fillId="8" borderId="25" xfId="0" applyNumberFormat="1" applyFont="1" applyFill="1" applyBorder="1" applyAlignment="1">
      <alignment horizontal="center" vertical="center"/>
    </xf>
    <xf numFmtId="179" fontId="47" fillId="8" borderId="25" xfId="0" applyNumberFormat="1" applyFont="1" applyFill="1" applyBorder="1" applyAlignment="1">
      <alignment horizontal="center" vertical="center"/>
    </xf>
    <xf numFmtId="180" fontId="36" fillId="8" borderId="25" xfId="0" applyNumberFormat="1" applyFont="1" applyFill="1" applyBorder="1" applyAlignment="1">
      <alignment vertical="center"/>
    </xf>
    <xf numFmtId="180" fontId="45" fillId="8" borderId="25" xfId="0" applyNumberFormat="1" applyFont="1" applyFill="1" applyBorder="1" applyAlignment="1">
      <alignment vertical="center"/>
    </xf>
    <xf numFmtId="181" fontId="36" fillId="8" borderId="25" xfId="0" applyNumberFormat="1" applyFont="1" applyFill="1" applyBorder="1" applyAlignment="1">
      <alignment horizontal="center" vertical="center"/>
    </xf>
    <xf numFmtId="181" fontId="36" fillId="25" borderId="25" xfId="0" applyNumberFormat="1" applyFont="1" applyFill="1" applyBorder="1" applyAlignment="1">
      <alignment horizontal="center" vertical="center"/>
    </xf>
    <xf numFmtId="181" fontId="36" fillId="24" borderId="25" xfId="0" applyNumberFormat="1" applyFont="1" applyFill="1" applyBorder="1" applyAlignment="1">
      <alignment horizontal="center" vertical="center"/>
    </xf>
    <xf numFmtId="181" fontId="45" fillId="7" borderId="26" xfId="0" applyNumberFormat="1" applyFont="1" applyFill="1" applyBorder="1" applyAlignment="1">
      <alignment horizontal="center" vertical="center"/>
    </xf>
    <xf numFmtId="184" fontId="36" fillId="0" borderId="71" xfId="0" applyNumberFormat="1" applyFont="1" applyBorder="1" applyAlignment="1">
      <alignment horizontal="right" vertical="center"/>
    </xf>
    <xf numFmtId="184" fontId="36" fillId="26" borderId="72" xfId="0" applyNumberFormat="1" applyFont="1" applyFill="1" applyBorder="1" applyAlignment="1">
      <alignment horizontal="right" vertical="center"/>
    </xf>
    <xf numFmtId="0" fontId="39" fillId="0" borderId="70" xfId="0" applyFont="1" applyBorder="1" applyAlignment="1">
      <alignment vertical="center"/>
    </xf>
    <xf numFmtId="0" fontId="37" fillId="15" borderId="50" xfId="1" applyFont="1" applyFill="1" applyBorder="1" applyAlignment="1">
      <alignment vertical="center"/>
    </xf>
    <xf numFmtId="179" fontId="44" fillId="0" borderId="31" xfId="0" applyNumberFormat="1" applyFont="1" applyBorder="1" applyAlignment="1">
      <alignment vertical="center" wrapText="1"/>
    </xf>
    <xf numFmtId="181" fontId="36" fillId="7" borderId="26" xfId="0" applyNumberFormat="1" applyFont="1" applyFill="1" applyBorder="1" applyAlignment="1">
      <alignment horizontal="center" vertical="center"/>
    </xf>
    <xf numFmtId="184" fontId="36" fillId="0" borderId="68" xfId="0" applyNumberFormat="1" applyFont="1" applyBorder="1" applyAlignment="1">
      <alignment horizontal="right" vertical="center"/>
    </xf>
    <xf numFmtId="184" fontId="36" fillId="0" borderId="69" xfId="0" applyNumberFormat="1" applyFont="1" applyBorder="1" applyAlignment="1">
      <alignment horizontal="right" vertical="center"/>
    </xf>
    <xf numFmtId="179" fontId="47" fillId="8" borderId="25" xfId="0" quotePrefix="1" applyNumberFormat="1" applyFont="1" applyFill="1" applyBorder="1" applyAlignment="1">
      <alignment horizontal="center" vertical="center"/>
    </xf>
    <xf numFmtId="181" fontId="45" fillId="25" borderId="25" xfId="0" applyNumberFormat="1" applyFont="1" applyFill="1" applyBorder="1" applyAlignment="1">
      <alignment horizontal="center" vertical="center"/>
    </xf>
    <xf numFmtId="181" fontId="45" fillId="24" borderId="25" xfId="0" applyNumberFormat="1" applyFont="1" applyFill="1" applyBorder="1" applyAlignment="1">
      <alignment horizontal="center" vertical="center"/>
    </xf>
    <xf numFmtId="181" fontId="45" fillId="8" borderId="25" xfId="0" applyNumberFormat="1" applyFont="1" applyFill="1" applyBorder="1" applyAlignment="1">
      <alignment horizontal="center" vertical="center"/>
    </xf>
    <xf numFmtId="184" fontId="36" fillId="26" borderId="69" xfId="0" applyNumberFormat="1" applyFont="1" applyFill="1" applyBorder="1" applyAlignment="1">
      <alignment horizontal="right" vertical="center"/>
    </xf>
    <xf numFmtId="0" fontId="39" fillId="32" borderId="70" xfId="0" applyFont="1" applyFill="1" applyBorder="1" applyAlignment="1">
      <alignment vertical="center"/>
    </xf>
    <xf numFmtId="179" fontId="43" fillId="0" borderId="29" xfId="0" applyNumberFormat="1" applyFont="1" applyBorder="1" applyAlignment="1">
      <alignment vertical="center" wrapText="1"/>
    </xf>
    <xf numFmtId="179" fontId="42" fillId="0" borderId="31" xfId="0" applyNumberFormat="1" applyFont="1" applyBorder="1" applyAlignment="1">
      <alignment vertical="center" wrapText="1"/>
    </xf>
    <xf numFmtId="181" fontId="45" fillId="19" borderId="25" xfId="0" applyNumberFormat="1" applyFont="1" applyFill="1" applyBorder="1" applyAlignment="1">
      <alignment horizontal="center" vertical="center"/>
    </xf>
    <xf numFmtId="184" fontId="48" fillId="0" borderId="68" xfId="0" applyNumberFormat="1" applyFont="1" applyBorder="1" applyAlignment="1">
      <alignment horizontal="right" vertical="center"/>
    </xf>
    <xf numFmtId="179" fontId="43" fillId="0" borderId="30" xfId="0" applyNumberFormat="1" applyFont="1" applyBorder="1" applyAlignment="1">
      <alignment vertical="center" wrapText="1"/>
    </xf>
    <xf numFmtId="179" fontId="42" fillId="0" borderId="30" xfId="0" applyNumberFormat="1" applyFont="1" applyBorder="1" applyAlignment="1">
      <alignment vertical="center" wrapText="1"/>
    </xf>
    <xf numFmtId="184" fontId="36" fillId="32" borderId="69" xfId="0" applyNumberFormat="1" applyFont="1" applyFill="1" applyBorder="1" applyAlignment="1">
      <alignment horizontal="right" vertical="center"/>
    </xf>
    <xf numFmtId="0" fontId="49" fillId="0" borderId="70" xfId="0" applyFont="1" applyBorder="1" applyAlignment="1">
      <alignment vertical="center"/>
    </xf>
    <xf numFmtId="0" fontId="50" fillId="0" borderId="29" xfId="0" applyFont="1" applyBorder="1" applyAlignment="1">
      <alignment horizontal="center" vertical="center"/>
    </xf>
    <xf numFmtId="180" fontId="46" fillId="8" borderId="25" xfId="0" applyNumberFormat="1" applyFont="1" applyFill="1" applyBorder="1" applyAlignment="1">
      <alignment vertical="center"/>
    </xf>
    <xf numFmtId="0" fontId="51" fillId="0" borderId="70" xfId="0" applyFont="1" applyBorder="1" applyAlignment="1">
      <alignment vertical="center"/>
    </xf>
    <xf numFmtId="181" fontId="46" fillId="7" borderId="26" xfId="0" applyNumberFormat="1" applyFont="1" applyFill="1" applyBorder="1" applyAlignment="1">
      <alignment horizontal="center" vertical="center"/>
    </xf>
    <xf numFmtId="0" fontId="37" fillId="15" borderId="18" xfId="1" applyFont="1" applyFill="1" applyAlignment="1">
      <alignment horizontal="center" vertical="center"/>
    </xf>
    <xf numFmtId="179" fontId="46" fillId="9" borderId="25" xfId="0" applyNumberFormat="1" applyFont="1" applyFill="1" applyBorder="1" applyAlignment="1">
      <alignment horizontal="center" vertical="center"/>
    </xf>
    <xf numFmtId="179" fontId="47" fillId="9" borderId="25" xfId="0" applyNumberFormat="1" applyFont="1" applyFill="1" applyBorder="1" applyAlignment="1">
      <alignment horizontal="center" vertical="center"/>
    </xf>
    <xf numFmtId="180" fontId="46" fillId="9" borderId="25" xfId="0" applyNumberFormat="1" applyFont="1" applyFill="1" applyBorder="1" applyAlignment="1">
      <alignment vertical="center"/>
    </xf>
    <xf numFmtId="180" fontId="45" fillId="9" borderId="25" xfId="0" applyNumberFormat="1" applyFont="1" applyFill="1" applyBorder="1" applyAlignment="1">
      <alignment vertical="center"/>
    </xf>
    <xf numFmtId="180" fontId="36" fillId="9" borderId="25" xfId="0" applyNumberFormat="1" applyFont="1" applyFill="1" applyBorder="1" applyAlignment="1">
      <alignment vertical="center"/>
    </xf>
    <xf numFmtId="181" fontId="36" fillId="9" borderId="25" xfId="0" applyNumberFormat="1" applyFont="1" applyFill="1" applyBorder="1" applyAlignment="1">
      <alignment horizontal="center" vertical="center"/>
    </xf>
    <xf numFmtId="181" fontId="36" fillId="34" borderId="25" xfId="0" applyNumberFormat="1" applyFont="1" applyFill="1" applyBorder="1" applyAlignment="1">
      <alignment horizontal="center" vertical="center"/>
    </xf>
    <xf numFmtId="0" fontId="37" fillId="32" borderId="50" xfId="1" applyFont="1" applyFill="1" applyBorder="1" applyAlignment="1">
      <alignment horizontal="center" vertical="center"/>
    </xf>
    <xf numFmtId="181" fontId="45" fillId="34" borderId="25" xfId="0" applyNumberFormat="1" applyFont="1" applyFill="1" applyBorder="1" applyAlignment="1">
      <alignment horizontal="center" vertical="center"/>
    </xf>
    <xf numFmtId="0" fontId="37" fillId="15" borderId="18" xfId="1" applyFont="1" applyFill="1" applyAlignment="1">
      <alignment vertical="center"/>
    </xf>
    <xf numFmtId="179" fontId="46" fillId="0" borderId="25" xfId="0" applyNumberFormat="1" applyFont="1" applyBorder="1" applyAlignment="1">
      <alignment horizontal="center" vertical="center"/>
    </xf>
    <xf numFmtId="179" fontId="47" fillId="0" borderId="25" xfId="0" applyNumberFormat="1" applyFont="1" applyBorder="1" applyAlignment="1">
      <alignment horizontal="center" vertical="center"/>
    </xf>
    <xf numFmtId="180" fontId="46" fillId="0" borderId="25" xfId="0" applyNumberFormat="1" applyFont="1" applyBorder="1" applyAlignment="1">
      <alignment vertical="center"/>
    </xf>
    <xf numFmtId="180" fontId="45" fillId="0" borderId="25" xfId="0" applyNumberFormat="1" applyFont="1" applyBorder="1" applyAlignment="1">
      <alignment vertical="center"/>
    </xf>
    <xf numFmtId="180" fontId="36" fillId="0" borderId="25" xfId="0" applyNumberFormat="1" applyFont="1" applyBorder="1" applyAlignment="1">
      <alignment vertical="center"/>
    </xf>
    <xf numFmtId="181" fontId="36" fillId="0" borderId="25" xfId="0" applyNumberFormat="1" applyFont="1" applyBorder="1" applyAlignment="1">
      <alignment horizontal="center" vertical="center"/>
    </xf>
    <xf numFmtId="181" fontId="36" fillId="33" borderId="25" xfId="0" applyNumberFormat="1" applyFont="1" applyFill="1" applyBorder="1" applyAlignment="1">
      <alignment horizontal="center" vertical="center"/>
    </xf>
    <xf numFmtId="179" fontId="47" fillId="0" borderId="25" xfId="0" quotePrefix="1" applyNumberFormat="1" applyFont="1" applyBorder="1" applyAlignment="1">
      <alignment horizontal="center" vertical="center"/>
    </xf>
    <xf numFmtId="181" fontId="45" fillId="33" borderId="25" xfId="0" applyNumberFormat="1" applyFont="1" applyFill="1" applyBorder="1" applyAlignment="1">
      <alignment horizontal="center" vertical="center"/>
    </xf>
    <xf numFmtId="184" fontId="36" fillId="0" borderId="73" xfId="0" applyNumberFormat="1" applyFont="1" applyBorder="1" applyAlignment="1">
      <alignment horizontal="right" vertical="center"/>
    </xf>
    <xf numFmtId="184" fontId="36" fillId="32" borderId="74" xfId="0" applyNumberFormat="1" applyFont="1" applyFill="1" applyBorder="1" applyAlignment="1">
      <alignment horizontal="right" vertical="center"/>
    </xf>
    <xf numFmtId="0" fontId="49" fillId="32" borderId="70" xfId="0" applyFont="1" applyFill="1" applyBorder="1" applyAlignment="1">
      <alignment vertical="center"/>
    </xf>
    <xf numFmtId="0" fontId="50" fillId="0" borderId="32" xfId="0" applyFont="1" applyBorder="1" applyAlignment="1">
      <alignment horizontal="center" vertical="center"/>
    </xf>
    <xf numFmtId="180" fontId="36" fillId="10" borderId="25" xfId="0" applyNumberFormat="1" applyFont="1" applyFill="1" applyBorder="1" applyAlignment="1">
      <alignment horizontal="left" vertical="center"/>
    </xf>
    <xf numFmtId="180" fontId="36" fillId="10" borderId="25" xfId="0" applyNumberFormat="1" applyFont="1" applyFill="1" applyBorder="1" applyAlignment="1">
      <alignment horizontal="right" vertical="center"/>
    </xf>
    <xf numFmtId="180" fontId="43" fillId="7" borderId="25" xfId="0" applyNumberFormat="1" applyFont="1" applyFill="1" applyBorder="1" applyAlignment="1">
      <alignment vertical="center"/>
    </xf>
    <xf numFmtId="181" fontId="43" fillId="7" borderId="25" xfId="0" applyNumberFormat="1" applyFont="1" applyFill="1" applyBorder="1" applyAlignment="1">
      <alignment horizontal="center" vertical="center"/>
    </xf>
    <xf numFmtId="181" fontId="43" fillId="40" borderId="26" xfId="0" applyNumberFormat="1" applyFont="1" applyFill="1" applyBorder="1" applyAlignment="1">
      <alignment horizontal="center" vertical="center"/>
    </xf>
    <xf numFmtId="184" fontId="43" fillId="32" borderId="68" xfId="0" applyNumberFormat="1" applyFont="1" applyFill="1" applyBorder="1" applyAlignment="1">
      <alignment horizontal="right" vertical="center"/>
    </xf>
    <xf numFmtId="184" fontId="43" fillId="39" borderId="69" xfId="0" applyNumberFormat="1" applyFont="1" applyFill="1" applyBorder="1" applyAlignment="1">
      <alignment horizontal="right" vertical="center"/>
    </xf>
    <xf numFmtId="0" fontId="43" fillId="0" borderId="0" xfId="0" applyFont="1" applyAlignment="1">
      <alignment vertical="center"/>
    </xf>
    <xf numFmtId="0" fontId="43" fillId="0" borderId="6" xfId="0" applyFont="1" applyBorder="1" applyAlignment="1">
      <alignment vertical="center"/>
    </xf>
    <xf numFmtId="179" fontId="43" fillId="11" borderId="35" xfId="0" applyNumberFormat="1" applyFont="1" applyFill="1" applyBorder="1" applyAlignment="1">
      <alignment horizontal="center" vertical="center" wrapText="1"/>
    </xf>
    <xf numFmtId="179" fontId="43" fillId="11" borderId="35" xfId="0" applyNumberFormat="1" applyFont="1" applyFill="1" applyBorder="1" applyAlignment="1">
      <alignment vertical="center" wrapText="1"/>
    </xf>
    <xf numFmtId="0" fontId="37" fillId="11" borderId="35" xfId="0" applyFont="1" applyFill="1" applyBorder="1" applyAlignment="1">
      <alignment vertical="center"/>
    </xf>
    <xf numFmtId="180" fontId="37" fillId="11" borderId="35" xfId="0" applyNumberFormat="1" applyFont="1" applyFill="1" applyBorder="1" applyAlignment="1">
      <alignment vertical="center"/>
    </xf>
    <xf numFmtId="0" fontId="43" fillId="0" borderId="7" xfId="0" applyFont="1" applyBorder="1" applyAlignment="1">
      <alignment vertical="center"/>
    </xf>
    <xf numFmtId="0" fontId="37" fillId="0" borderId="68" xfId="0" applyFont="1" applyBorder="1" applyAlignment="1">
      <alignment vertical="center"/>
    </xf>
    <xf numFmtId="0" fontId="37" fillId="0" borderId="69" xfId="0" applyFont="1" applyBorder="1" applyAlignment="1">
      <alignment vertical="center"/>
    </xf>
    <xf numFmtId="179" fontId="43" fillId="0" borderId="27" xfId="0" applyNumberFormat="1" applyFont="1" applyBorder="1" applyAlignment="1">
      <alignment horizontal="center" vertical="center" wrapText="1"/>
    </xf>
    <xf numFmtId="179" fontId="43" fillId="0" borderId="25" xfId="0" applyNumberFormat="1" applyFont="1" applyBorder="1" applyAlignment="1">
      <alignment vertical="center" wrapText="1"/>
    </xf>
    <xf numFmtId="179" fontId="36" fillId="9" borderId="25" xfId="0" applyNumberFormat="1" applyFont="1" applyFill="1" applyBorder="1" applyAlignment="1">
      <alignment horizontal="center" vertical="center"/>
    </xf>
    <xf numFmtId="179" fontId="36" fillId="9" borderId="25" xfId="0" quotePrefix="1" applyNumberFormat="1" applyFont="1" applyFill="1" applyBorder="1" applyAlignment="1">
      <alignment horizontal="center" vertical="center"/>
    </xf>
    <xf numFmtId="184" fontId="36" fillId="0" borderId="71" xfId="0" applyNumberFormat="1" applyFont="1" applyBorder="1" applyAlignment="1">
      <alignment vertical="center"/>
    </xf>
    <xf numFmtId="184" fontId="36" fillId="0" borderId="72" xfId="0" applyNumberFormat="1" applyFont="1" applyBorder="1" applyAlignment="1">
      <alignment horizontal="right" vertical="center"/>
    </xf>
    <xf numFmtId="0" fontId="43" fillId="0" borderId="29" xfId="0" applyFont="1" applyBorder="1" applyAlignment="1">
      <alignment horizontal="center" vertical="center"/>
    </xf>
    <xf numFmtId="184" fontId="36" fillId="0" borderId="68" xfId="0" applyNumberFormat="1" applyFont="1" applyBorder="1" applyAlignment="1">
      <alignment vertical="center"/>
    </xf>
    <xf numFmtId="181" fontId="45" fillId="16" borderId="25" xfId="0" applyNumberFormat="1" applyFont="1" applyFill="1" applyBorder="1" applyAlignment="1">
      <alignment horizontal="center" vertical="center"/>
    </xf>
    <xf numFmtId="181" fontId="36" fillId="16" borderId="25" xfId="0" applyNumberFormat="1" applyFont="1" applyFill="1" applyBorder="1" applyAlignment="1">
      <alignment horizontal="center" vertical="center"/>
    </xf>
    <xf numFmtId="181" fontId="36" fillId="18" borderId="25" xfId="0" applyNumberFormat="1" applyFont="1" applyFill="1" applyBorder="1" applyAlignment="1">
      <alignment horizontal="center" vertical="center"/>
    </xf>
    <xf numFmtId="181" fontId="36" fillId="22" borderId="25" xfId="0" applyNumberFormat="1" applyFont="1" applyFill="1" applyBorder="1" applyAlignment="1">
      <alignment horizontal="center" vertical="center"/>
    </xf>
    <xf numFmtId="179" fontId="36" fillId="0" borderId="25" xfId="0" applyNumberFormat="1" applyFont="1" applyBorder="1" applyAlignment="1">
      <alignment horizontal="center" vertical="center"/>
    </xf>
    <xf numFmtId="179" fontId="36" fillId="0" borderId="25" xfId="0" quotePrefix="1" applyNumberFormat="1" applyFont="1" applyBorder="1" applyAlignment="1">
      <alignment horizontal="center" vertical="center"/>
    </xf>
    <xf numFmtId="181" fontId="45" fillId="17" borderId="25" xfId="0" applyNumberFormat="1" applyFont="1" applyFill="1" applyBorder="1" applyAlignment="1">
      <alignment horizontal="center" vertical="center"/>
    </xf>
    <xf numFmtId="181" fontId="36" fillId="17" borderId="25" xfId="0" applyNumberFormat="1" applyFont="1" applyFill="1" applyBorder="1" applyAlignment="1">
      <alignment horizontal="center" vertical="center"/>
    </xf>
    <xf numFmtId="181" fontId="36" fillId="19" borderId="25" xfId="0" applyNumberFormat="1" applyFont="1" applyFill="1" applyBorder="1" applyAlignment="1">
      <alignment horizontal="center" vertical="center"/>
    </xf>
    <xf numFmtId="0" fontId="37" fillId="32" borderId="70" xfId="0" applyFont="1" applyFill="1" applyBorder="1" applyAlignment="1">
      <alignment vertical="center"/>
    </xf>
    <xf numFmtId="181" fontId="46" fillId="19" borderId="25" xfId="0" applyNumberFormat="1" applyFont="1" applyFill="1" applyBorder="1" applyAlignment="1">
      <alignment horizontal="center" vertical="center"/>
    </xf>
    <xf numFmtId="181" fontId="46" fillId="0" borderId="25" xfId="0" applyNumberFormat="1" applyFont="1" applyBorder="1" applyAlignment="1">
      <alignment horizontal="center" vertical="center"/>
    </xf>
    <xf numFmtId="184" fontId="48" fillId="0" borderId="68" xfId="0" applyNumberFormat="1" applyFont="1" applyBorder="1" applyAlignment="1">
      <alignment vertical="center"/>
    </xf>
    <xf numFmtId="181" fontId="46" fillId="21" borderId="25" xfId="0" applyNumberFormat="1" applyFont="1" applyFill="1" applyBorder="1" applyAlignment="1">
      <alignment horizontal="center" vertical="center"/>
    </xf>
    <xf numFmtId="179" fontId="36" fillId="17" borderId="25" xfId="0" applyNumberFormat="1" applyFont="1" applyFill="1" applyBorder="1" applyAlignment="1">
      <alignment horizontal="center" vertical="center"/>
    </xf>
    <xf numFmtId="0" fontId="52" fillId="0" borderId="31" xfId="0" applyFont="1" applyBorder="1" applyAlignment="1">
      <alignment vertical="center"/>
    </xf>
    <xf numFmtId="181" fontId="45" fillId="0" borderId="25" xfId="0" applyNumberFormat="1" applyFont="1" applyBorder="1" applyAlignment="1">
      <alignment horizontal="center" vertical="center"/>
    </xf>
    <xf numFmtId="184" fontId="36" fillId="0" borderId="73" xfId="0" applyNumberFormat="1" applyFont="1" applyBorder="1" applyAlignment="1">
      <alignment vertical="center"/>
    </xf>
    <xf numFmtId="184" fontId="36" fillId="0" borderId="74" xfId="0" applyNumberFormat="1" applyFont="1" applyBorder="1" applyAlignment="1">
      <alignment horizontal="right" vertical="center"/>
    </xf>
    <xf numFmtId="181" fontId="37" fillId="0" borderId="0" xfId="0" applyNumberFormat="1" applyFont="1" applyAlignment="1">
      <alignment horizontal="left" vertical="center"/>
    </xf>
    <xf numFmtId="184" fontId="40" fillId="32" borderId="68" xfId="0" applyNumberFormat="1" applyFont="1" applyFill="1" applyBorder="1" applyAlignment="1">
      <alignment vertical="center"/>
    </xf>
    <xf numFmtId="184" fontId="40" fillId="39" borderId="69" xfId="0" applyNumberFormat="1" applyFont="1" applyFill="1" applyBorder="1" applyAlignment="1">
      <alignment vertical="center"/>
    </xf>
    <xf numFmtId="0" fontId="37" fillId="0" borderId="75" xfId="0" applyFont="1" applyBorder="1" applyAlignment="1">
      <alignment vertical="center"/>
    </xf>
    <xf numFmtId="0" fontId="37" fillId="0" borderId="48" xfId="0" applyFont="1" applyBorder="1" applyAlignment="1">
      <alignment vertical="center"/>
    </xf>
    <xf numFmtId="179" fontId="43" fillId="7" borderId="39" xfId="0" applyNumberFormat="1" applyFont="1" applyFill="1" applyBorder="1" applyAlignment="1">
      <alignment horizontal="center" vertical="center"/>
    </xf>
    <xf numFmtId="0" fontId="37" fillId="7" borderId="26" xfId="0" applyFont="1" applyFill="1" applyBorder="1" applyAlignment="1">
      <alignment horizontal="right" vertical="center"/>
    </xf>
    <xf numFmtId="182" fontId="41" fillId="7" borderId="25" xfId="0" applyNumberFormat="1" applyFont="1" applyFill="1" applyBorder="1" applyAlignment="1">
      <alignment vertical="center"/>
    </xf>
    <xf numFmtId="0" fontId="37" fillId="39" borderId="0" xfId="0" applyFont="1" applyFill="1" applyAlignment="1">
      <alignment vertical="center"/>
    </xf>
    <xf numFmtId="0" fontId="36" fillId="0" borderId="8" xfId="0" applyFont="1" applyBorder="1" applyAlignment="1">
      <alignment vertical="center"/>
    </xf>
    <xf numFmtId="0" fontId="36" fillId="0" borderId="10" xfId="0" applyFont="1" applyBorder="1" applyAlignment="1">
      <alignment vertical="center"/>
    </xf>
    <xf numFmtId="0" fontId="36" fillId="0" borderId="10" xfId="0" applyFont="1" applyBorder="1" applyAlignment="1">
      <alignment horizontal="center" vertical="center"/>
    </xf>
    <xf numFmtId="0" fontId="36" fillId="0" borderId="10" xfId="0" applyFont="1" applyBorder="1" applyAlignment="1">
      <alignment horizontal="right" vertical="center"/>
    </xf>
    <xf numFmtId="0" fontId="36" fillId="0" borderId="9" xfId="0" applyFont="1" applyBorder="1" applyAlignment="1">
      <alignment vertical="center"/>
    </xf>
    <xf numFmtId="0" fontId="36" fillId="0" borderId="18" xfId="0" applyFont="1" applyBorder="1" applyAlignment="1">
      <alignment vertical="center"/>
    </xf>
    <xf numFmtId="0" fontId="36" fillId="0" borderId="18" xfId="0" applyFont="1" applyBorder="1" applyAlignment="1">
      <alignment horizontal="center" vertical="center"/>
    </xf>
    <xf numFmtId="0" fontId="36" fillId="0" borderId="18" xfId="0" applyFont="1" applyBorder="1" applyAlignment="1">
      <alignment horizontal="right" vertical="center"/>
    </xf>
    <xf numFmtId="0" fontId="49" fillId="0" borderId="0" xfId="0" applyFont="1" applyAlignment="1">
      <alignment vertical="center"/>
    </xf>
    <xf numFmtId="0" fontId="36" fillId="39" borderId="0" xfId="0" applyFont="1" applyFill="1" applyAlignment="1">
      <alignment vertical="center"/>
    </xf>
    <xf numFmtId="0" fontId="43" fillId="39" borderId="0" xfId="0" applyFont="1" applyFill="1" applyAlignment="1">
      <alignment vertical="center"/>
    </xf>
    <xf numFmtId="0" fontId="53" fillId="0" borderId="0" xfId="0" applyFont="1" applyAlignment="1">
      <alignment vertical="center"/>
    </xf>
    <xf numFmtId="0" fontId="51" fillId="0" borderId="0" xfId="0" applyFont="1" applyAlignment="1">
      <alignment vertical="center"/>
    </xf>
    <xf numFmtId="0" fontId="37" fillId="2" borderId="1" xfId="0" applyFont="1" applyFill="1" applyBorder="1" applyAlignment="1">
      <alignment vertical="center"/>
    </xf>
    <xf numFmtId="0" fontId="54" fillId="0" borderId="0" xfId="0" applyFont="1" applyAlignment="1">
      <alignment vertical="center"/>
    </xf>
    <xf numFmtId="0" fontId="55" fillId="0" borderId="0" xfId="0" applyFont="1" applyAlignment="1">
      <alignment vertical="center"/>
    </xf>
    <xf numFmtId="0" fontId="56" fillId="36" borderId="42" xfId="0" applyFont="1" applyFill="1" applyBorder="1" applyAlignment="1">
      <alignment vertical="center"/>
    </xf>
    <xf numFmtId="0" fontId="57" fillId="36" borderId="43" xfId="0" applyFont="1" applyFill="1" applyBorder="1" applyAlignment="1">
      <alignment vertical="center"/>
    </xf>
    <xf numFmtId="181" fontId="57" fillId="0" borderId="40" xfId="0" applyNumberFormat="1" applyFont="1" applyBorder="1" applyAlignment="1">
      <alignment horizontal="right" vertical="center"/>
    </xf>
    <xf numFmtId="0" fontId="58" fillId="36" borderId="40" xfId="0" applyFont="1" applyFill="1" applyBorder="1" applyAlignment="1">
      <alignment horizontal="center" vertical="center"/>
    </xf>
    <xf numFmtId="0" fontId="58" fillId="36" borderId="41" xfId="0" applyFont="1" applyFill="1" applyBorder="1" applyAlignment="1">
      <alignment horizontal="center" vertical="center"/>
    </xf>
    <xf numFmtId="0" fontId="43" fillId="12" borderId="40" xfId="0" applyFont="1" applyFill="1" applyBorder="1" applyAlignment="1">
      <alignment horizontal="center" vertical="center"/>
    </xf>
    <xf numFmtId="0" fontId="43" fillId="12" borderId="41" xfId="0" applyFont="1" applyFill="1" applyBorder="1" applyAlignment="1">
      <alignment horizontal="center" vertical="center"/>
    </xf>
    <xf numFmtId="183" fontId="47" fillId="0" borderId="0" xfId="0" applyNumberFormat="1" applyFont="1" applyAlignment="1">
      <alignment horizontal="left" vertical="center"/>
    </xf>
    <xf numFmtId="0" fontId="44" fillId="41" borderId="42" xfId="0" applyFont="1" applyFill="1" applyBorder="1" applyAlignment="1">
      <alignment vertical="center"/>
    </xf>
    <xf numFmtId="0" fontId="44" fillId="41" borderId="43" xfId="0" applyFont="1" applyFill="1" applyBorder="1" applyAlignment="1">
      <alignment vertical="center"/>
    </xf>
    <xf numFmtId="181" fontId="44" fillId="0" borderId="40" xfId="0" applyNumberFormat="1" applyFont="1" applyBorder="1" applyAlignment="1">
      <alignment horizontal="right" vertical="center"/>
    </xf>
    <xf numFmtId="0" fontId="57" fillId="0" borderId="40" xfId="0" applyFont="1" applyBorder="1" applyAlignment="1">
      <alignment horizontal="center" vertical="center"/>
    </xf>
    <xf numFmtId="181" fontId="57" fillId="0" borderId="40" xfId="0" applyNumberFormat="1" applyFont="1" applyBorder="1" applyAlignment="1">
      <alignment vertical="center"/>
    </xf>
    <xf numFmtId="181" fontId="57" fillId="0" borderId="44" xfId="0" applyNumberFormat="1" applyFont="1" applyBorder="1" applyAlignment="1">
      <alignment vertical="center"/>
    </xf>
    <xf numFmtId="0" fontId="43" fillId="0" borderId="44" xfId="0" applyFont="1" applyBorder="1" applyAlignment="1">
      <alignment horizontal="center" vertical="center"/>
    </xf>
    <xf numFmtId="0" fontId="43" fillId="0" borderId="40" xfId="0" applyFont="1" applyBorder="1" applyAlignment="1">
      <alignment horizontal="center" vertical="center"/>
    </xf>
    <xf numFmtId="181" fontId="43" fillId="0" borderId="40" xfId="0" applyNumberFormat="1" applyFont="1" applyBorder="1" applyAlignment="1">
      <alignment vertical="center"/>
    </xf>
    <xf numFmtId="181" fontId="43" fillId="0" borderId="44" xfId="0" applyNumberFormat="1" applyFont="1" applyBorder="1" applyAlignment="1">
      <alignment horizontal="right" vertical="center"/>
    </xf>
    <xf numFmtId="0" fontId="36" fillId="0" borderId="0" xfId="0" applyFont="1" applyAlignment="1">
      <alignment horizontal="right" vertical="center"/>
    </xf>
    <xf numFmtId="0" fontId="56" fillId="41" borderId="42" xfId="0" applyFont="1" applyFill="1" applyBorder="1" applyAlignment="1">
      <alignment vertical="center"/>
    </xf>
    <xf numFmtId="0" fontId="57" fillId="41" borderId="43" xfId="0" applyFont="1" applyFill="1" applyBorder="1" applyAlignment="1">
      <alignment vertical="center"/>
    </xf>
    <xf numFmtId="0" fontId="51" fillId="0" borderId="45" xfId="0" applyFont="1" applyBorder="1" applyAlignment="1">
      <alignment vertical="center"/>
    </xf>
    <xf numFmtId="0" fontId="46" fillId="0" borderId="45" xfId="0" applyFont="1" applyBorder="1" applyAlignment="1">
      <alignment vertical="center"/>
    </xf>
    <xf numFmtId="0" fontId="51" fillId="0" borderId="46" xfId="0" applyFont="1" applyBorder="1" applyAlignment="1">
      <alignment vertical="center"/>
    </xf>
    <xf numFmtId="0" fontId="46" fillId="0" borderId="46" xfId="0" applyFont="1" applyBorder="1" applyAlignment="1">
      <alignment vertical="center"/>
    </xf>
    <xf numFmtId="0" fontId="36" fillId="0" borderId="42" xfId="0" applyFont="1" applyBorder="1" applyAlignment="1">
      <alignment horizontal="left" vertical="center"/>
    </xf>
    <xf numFmtId="0" fontId="46" fillId="0" borderId="47" xfId="0" applyFont="1" applyBorder="1" applyAlignment="1">
      <alignment vertical="center"/>
    </xf>
    <xf numFmtId="0" fontId="46" fillId="0" borderId="43" xfId="0" applyFont="1" applyBorder="1" applyAlignment="1">
      <alignment vertical="center"/>
    </xf>
    <xf numFmtId="181" fontId="43" fillId="0" borderId="40" xfId="0" applyNumberFormat="1" applyFont="1" applyBorder="1" applyAlignment="1">
      <alignment horizontal="right" vertical="center"/>
    </xf>
    <xf numFmtId="0" fontId="36" fillId="37" borderId="42" xfId="0" applyFont="1" applyFill="1" applyBorder="1" applyAlignment="1">
      <alignment vertical="center"/>
    </xf>
    <xf numFmtId="0" fontId="46" fillId="37" borderId="47" xfId="0" applyFont="1" applyFill="1" applyBorder="1" applyAlignment="1">
      <alignment vertical="center"/>
    </xf>
    <xf numFmtId="0" fontId="46" fillId="37" borderId="43" xfId="0" applyFont="1" applyFill="1" applyBorder="1" applyAlignment="1">
      <alignment vertical="center"/>
    </xf>
    <xf numFmtId="181" fontId="43" fillId="37" borderId="40" xfId="0" applyNumberFormat="1" applyFont="1" applyFill="1" applyBorder="1" applyAlignment="1">
      <alignment horizontal="right" vertical="center"/>
    </xf>
    <xf numFmtId="0" fontId="45" fillId="0" borderId="42" xfId="0" applyFont="1" applyBorder="1" applyAlignment="1">
      <alignment horizontal="left" vertical="center"/>
    </xf>
    <xf numFmtId="0" fontId="45" fillId="0" borderId="47" xfId="0" applyFont="1" applyBorder="1" applyAlignment="1">
      <alignment vertical="center"/>
    </xf>
    <xf numFmtId="0" fontId="45" fillId="0" borderId="43" xfId="0" applyFont="1" applyBorder="1" applyAlignment="1">
      <alignment horizontal="right" vertical="center"/>
    </xf>
    <xf numFmtId="0" fontId="36" fillId="30" borderId="0" xfId="0" applyFont="1" applyFill="1" applyAlignment="1">
      <alignment horizontal="right" vertical="center"/>
    </xf>
    <xf numFmtId="185" fontId="36" fillId="39" borderId="0" xfId="0" applyNumberFormat="1" applyFont="1" applyFill="1" applyAlignment="1">
      <alignment vertical="center"/>
    </xf>
    <xf numFmtId="0" fontId="59" fillId="42" borderId="0" xfId="0" applyFont="1" applyFill="1" applyAlignment="1">
      <alignment vertical="center"/>
    </xf>
    <xf numFmtId="0" fontId="58" fillId="42" borderId="78" xfId="0" applyFont="1" applyFill="1" applyBorder="1" applyAlignment="1">
      <alignment horizontal="center" vertical="center"/>
    </xf>
    <xf numFmtId="2" fontId="40" fillId="32" borderId="79" xfId="0" applyNumberFormat="1" applyFont="1" applyFill="1" applyBorder="1" applyAlignment="1">
      <alignment vertical="center"/>
    </xf>
    <xf numFmtId="184" fontId="58" fillId="42" borderId="76" xfId="0" applyNumberFormat="1" applyFont="1" applyFill="1" applyBorder="1" applyAlignment="1">
      <alignment horizontal="center" vertical="center"/>
    </xf>
    <xf numFmtId="184" fontId="58" fillId="42" borderId="77" xfId="0" applyNumberFormat="1" applyFont="1" applyFill="1" applyBorder="1" applyAlignment="1">
      <alignment horizontal="center" vertical="center"/>
    </xf>
    <xf numFmtId="0" fontId="36" fillId="30" borderId="23" xfId="0" applyFont="1" applyFill="1" applyBorder="1" applyAlignment="1">
      <alignment horizontal="center" vertical="center"/>
    </xf>
    <xf numFmtId="0" fontId="43" fillId="43" borderId="26" xfId="0" applyFont="1" applyFill="1" applyBorder="1" applyAlignment="1">
      <alignment horizontal="center" vertical="center"/>
    </xf>
    <xf numFmtId="0" fontId="37" fillId="38" borderId="82" xfId="0" applyFont="1" applyFill="1" applyBorder="1" applyAlignment="1">
      <alignment horizontal="left" vertical="center" indent="1"/>
    </xf>
    <xf numFmtId="0" fontId="37" fillId="38" borderId="83" xfId="0" applyFont="1" applyFill="1" applyBorder="1" applyAlignment="1">
      <alignment horizontal="left" vertical="center" indent="1"/>
    </xf>
    <xf numFmtId="0" fontId="37" fillId="38" borderId="84" xfId="0" applyFont="1" applyFill="1" applyBorder="1" applyAlignment="1">
      <alignment horizontal="left" vertical="center" indent="1"/>
    </xf>
    <xf numFmtId="0" fontId="37" fillId="0" borderId="70" xfId="0" applyFont="1" applyBorder="1" applyAlignment="1">
      <alignment horizontal="right" vertical="center"/>
    </xf>
    <xf numFmtId="2" fontId="60" fillId="39" borderId="80" xfId="0" applyNumberFormat="1" applyFont="1" applyFill="1" applyBorder="1" applyAlignment="1">
      <alignment vertical="center"/>
    </xf>
    <xf numFmtId="0" fontId="60" fillId="39" borderId="81" xfId="0" applyFont="1" applyFill="1" applyBorder="1" applyAlignment="1">
      <alignment vertical="center"/>
    </xf>
    <xf numFmtId="0" fontId="43" fillId="0" borderId="56" xfId="0" applyFont="1" applyBorder="1" applyAlignment="1">
      <alignment horizontal="center" vertical="center"/>
    </xf>
    <xf numFmtId="0" fontId="43" fillId="0" borderId="57" xfId="0" applyFont="1" applyBorder="1" applyAlignment="1">
      <alignment horizontal="center" vertical="center" wrapText="1"/>
    </xf>
    <xf numFmtId="0" fontId="43" fillId="0" borderId="58" xfId="0" applyFont="1" applyBorder="1" applyAlignment="1">
      <alignment horizontal="center" vertical="center"/>
    </xf>
    <xf numFmtId="184" fontId="36" fillId="19" borderId="59" xfId="0" applyNumberFormat="1" applyFont="1" applyFill="1" applyBorder="1" applyAlignment="1">
      <alignment vertical="center"/>
    </xf>
    <xf numFmtId="184" fontId="36" fillId="19" borderId="54" xfId="0" applyNumberFormat="1" applyFont="1" applyFill="1" applyBorder="1" applyAlignment="1">
      <alignment vertical="center"/>
    </xf>
    <xf numFmtId="184" fontId="36" fillId="19" borderId="60" xfId="0" applyNumberFormat="1" applyFont="1" applyFill="1" applyBorder="1" applyAlignment="1">
      <alignment vertical="center"/>
    </xf>
    <xf numFmtId="184" fontId="36" fillId="35" borderId="61" xfId="0" applyNumberFormat="1" applyFont="1" applyFill="1" applyBorder="1" applyAlignment="1">
      <alignment vertical="center"/>
    </xf>
    <xf numFmtId="184" fontId="36" fillId="35" borderId="53" xfId="0" applyNumberFormat="1" applyFont="1" applyFill="1" applyBorder="1" applyAlignment="1">
      <alignment vertical="center"/>
    </xf>
    <xf numFmtId="184" fontId="36" fillId="35" borderId="62" xfId="0" applyNumberFormat="1" applyFont="1" applyFill="1" applyBorder="1" applyAlignment="1">
      <alignment vertical="center"/>
    </xf>
    <xf numFmtId="184" fontId="36" fillId="33" borderId="63" xfId="0" applyNumberFormat="1" applyFont="1" applyFill="1" applyBorder="1" applyAlignment="1">
      <alignment vertical="center"/>
    </xf>
    <xf numFmtId="184" fontId="36" fillId="33" borderId="55" xfId="0" applyNumberFormat="1" applyFont="1" applyFill="1" applyBorder="1" applyAlignment="1">
      <alignment vertical="center"/>
    </xf>
    <xf numFmtId="184" fontId="36" fillId="33" borderId="64" xfId="0" applyNumberFormat="1" applyFont="1" applyFill="1" applyBorder="1" applyAlignment="1">
      <alignment vertical="center"/>
    </xf>
    <xf numFmtId="184" fontId="43" fillId="0" borderId="65" xfId="0" applyNumberFormat="1" applyFont="1" applyBorder="1" applyAlignment="1">
      <alignment vertical="center"/>
    </xf>
    <xf numFmtId="184" fontId="43" fillId="0" borderId="66" xfId="0" applyNumberFormat="1" applyFont="1" applyBorder="1" applyAlignment="1">
      <alignment vertical="center"/>
    </xf>
    <xf numFmtId="184" fontId="43" fillId="0" borderId="67" xfId="0" applyNumberFormat="1" applyFont="1" applyBorder="1" applyAlignment="1">
      <alignment vertical="center"/>
    </xf>
    <xf numFmtId="0" fontId="43" fillId="30" borderId="0" xfId="0" applyFont="1" applyFill="1" applyAlignment="1">
      <alignment vertical="center"/>
    </xf>
    <xf numFmtId="0" fontId="36" fillId="30" borderId="0" xfId="0" applyFont="1" applyFill="1" applyAlignment="1">
      <alignment vertical="center"/>
    </xf>
    <xf numFmtId="184" fontId="43" fillId="30" borderId="65" xfId="0" applyNumberFormat="1" applyFont="1" applyFill="1" applyBorder="1" applyAlignment="1">
      <alignment vertical="center"/>
    </xf>
    <xf numFmtId="181" fontId="45" fillId="9" borderId="25" xfId="0" applyNumberFormat="1" applyFont="1" applyFill="1" applyBorder="1" applyAlignment="1">
      <alignment horizontal="center" vertical="center"/>
    </xf>
    <xf numFmtId="181" fontId="46" fillId="17" borderId="25" xfId="0" applyNumberFormat="1" applyFont="1" applyFill="1" applyBorder="1" applyAlignment="1">
      <alignment horizontal="center" vertical="center"/>
    </xf>
    <xf numFmtId="0" fontId="52" fillId="0" borderId="70" xfId="0" applyFont="1" applyBorder="1" applyAlignment="1">
      <alignment vertical="center"/>
    </xf>
    <xf numFmtId="0" fontId="62" fillId="0" borderId="0" xfId="0" applyFont="1" applyAlignment="1">
      <alignment vertical="center"/>
    </xf>
    <xf numFmtId="0" fontId="11" fillId="0" borderId="44" xfId="0" applyFont="1" applyBorder="1" applyAlignment="1">
      <alignment horizontal="center" vertical="center"/>
    </xf>
    <xf numFmtId="0" fontId="3" fillId="0" borderId="45" xfId="0" applyFont="1" applyBorder="1" applyAlignment="1">
      <alignment vertical="center"/>
    </xf>
    <xf numFmtId="0" fontId="3" fillId="0" borderId="46" xfId="0" applyFont="1" applyBorder="1" applyAlignment="1">
      <alignment vertical="center"/>
    </xf>
    <xf numFmtId="181" fontId="11" fillId="0" borderId="44" xfId="0" applyNumberFormat="1" applyFont="1" applyBorder="1" applyAlignment="1">
      <alignment horizontal="right" vertical="center"/>
    </xf>
    <xf numFmtId="0" fontId="1" fillId="0" borderId="42" xfId="0" applyFont="1" applyBorder="1" applyAlignment="1">
      <alignment horizontal="center" vertical="center"/>
    </xf>
    <xf numFmtId="0" fontId="3" fillId="0" borderId="47" xfId="0" applyFont="1" applyBorder="1" applyAlignment="1">
      <alignment vertical="center"/>
    </xf>
    <xf numFmtId="0" fontId="3" fillId="0" borderId="43" xfId="0" applyFont="1" applyBorder="1" applyAlignment="1">
      <alignment vertical="center"/>
    </xf>
    <xf numFmtId="179" fontId="11" fillId="0" borderId="30" xfId="0" applyNumberFormat="1" applyFont="1" applyBorder="1" applyAlignment="1">
      <alignment vertical="center" wrapText="1"/>
    </xf>
    <xf numFmtId="0" fontId="3" fillId="0" borderId="30" xfId="0" applyFont="1" applyBorder="1" applyAlignment="1">
      <alignment vertical="center"/>
    </xf>
    <xf numFmtId="0" fontId="3" fillId="0" borderId="31" xfId="0" applyFont="1" applyBorder="1" applyAlignment="1">
      <alignment vertical="center"/>
    </xf>
    <xf numFmtId="179" fontId="11" fillId="0" borderId="28" xfId="0" applyNumberFormat="1" applyFont="1" applyBorder="1" applyAlignment="1">
      <alignment vertical="center" wrapText="1"/>
    </xf>
    <xf numFmtId="0" fontId="11" fillId="0" borderId="28" xfId="0" applyFont="1" applyBorder="1" applyAlignment="1">
      <alignment vertical="center" wrapText="1"/>
    </xf>
    <xf numFmtId="179" fontId="11" fillId="7" borderId="36" xfId="0" applyNumberFormat="1" applyFont="1" applyFill="1" applyBorder="1" applyAlignment="1">
      <alignment horizontal="center" vertical="center"/>
    </xf>
    <xf numFmtId="0" fontId="3" fillId="0" borderId="37" xfId="0" applyFont="1" applyBorder="1" applyAlignment="1">
      <alignment vertical="center"/>
    </xf>
    <xf numFmtId="0" fontId="3" fillId="0" borderId="38" xfId="0" applyFont="1" applyBorder="1" applyAlignment="1">
      <alignment vertical="center"/>
    </xf>
    <xf numFmtId="0" fontId="5" fillId="12" borderId="42" xfId="0" applyFont="1" applyFill="1" applyBorder="1" applyAlignment="1">
      <alignment vertical="center"/>
    </xf>
    <xf numFmtId="0" fontId="5" fillId="13" borderId="42" xfId="0" applyFont="1" applyFill="1" applyBorder="1" applyAlignment="1">
      <alignment vertical="center"/>
    </xf>
    <xf numFmtId="177" fontId="8" fillId="2" borderId="20" xfId="0" applyNumberFormat="1" applyFont="1" applyFill="1" applyBorder="1" applyAlignment="1">
      <alignment horizontal="center" vertical="center"/>
    </xf>
    <xf numFmtId="0" fontId="3" fillId="0" borderId="21" xfId="0" applyFont="1" applyBorder="1" applyAlignment="1">
      <alignment vertical="center"/>
    </xf>
    <xf numFmtId="0" fontId="3" fillId="0" borderId="22" xfId="0" applyFont="1" applyBorder="1" applyAlignment="1">
      <alignment vertical="center"/>
    </xf>
    <xf numFmtId="178" fontId="9" fillId="0" borderId="5" xfId="0" applyNumberFormat="1" applyFont="1" applyBorder="1" applyAlignment="1">
      <alignment horizontal="left" vertical="top" wrapText="1"/>
    </xf>
    <xf numFmtId="0" fontId="3" fillId="0" borderId="5" xfId="0" applyFont="1" applyBorder="1" applyAlignment="1">
      <alignment vertical="center"/>
    </xf>
    <xf numFmtId="0" fontId="7" fillId="0" borderId="23" xfId="0" applyFont="1" applyBorder="1" applyAlignment="1">
      <alignment horizontal="center" vertical="center"/>
    </xf>
    <xf numFmtId="0" fontId="3" fillId="0" borderId="23" xfId="0" applyFont="1" applyBorder="1" applyAlignment="1">
      <alignment vertical="center"/>
    </xf>
    <xf numFmtId="0" fontId="10" fillId="13" borderId="42" xfId="0" applyFont="1" applyFill="1" applyBorder="1" applyAlignment="1">
      <alignment vertical="center"/>
    </xf>
    <xf numFmtId="0" fontId="10" fillId="12" borderId="42" xfId="0" applyFont="1" applyFill="1" applyBorder="1" applyAlignment="1">
      <alignment vertical="center"/>
    </xf>
    <xf numFmtId="178" fontId="19" fillId="19" borderId="5" xfId="0" applyNumberFormat="1" applyFont="1" applyFill="1" applyBorder="1" applyAlignment="1">
      <alignment horizontal="left" vertical="top" wrapText="1"/>
    </xf>
    <xf numFmtId="0" fontId="3" fillId="19" borderId="5" xfId="0" applyFont="1" applyFill="1" applyBorder="1" applyAlignment="1">
      <alignment vertical="center"/>
    </xf>
    <xf numFmtId="179" fontId="11" fillId="0" borderId="28" xfId="0" applyNumberFormat="1" applyFont="1" applyBorder="1" applyAlignment="1">
      <alignment horizontal="center" vertical="center" wrapText="1"/>
    </xf>
    <xf numFmtId="178" fontId="19" fillId="0" borderId="5" xfId="0" applyNumberFormat="1" applyFont="1" applyBorder="1" applyAlignment="1">
      <alignment horizontal="left" vertical="top" wrapText="1"/>
    </xf>
    <xf numFmtId="0" fontId="37" fillId="15" borderId="49" xfId="1" applyFont="1" applyFill="1" applyBorder="1" applyAlignment="1">
      <alignment horizontal="center" vertical="center"/>
    </xf>
    <xf numFmtId="0" fontId="37" fillId="15" borderId="51" xfId="1" applyFont="1" applyFill="1" applyBorder="1" applyAlignment="1">
      <alignment horizontal="center" vertical="center"/>
    </xf>
    <xf numFmtId="0" fontId="37" fillId="15" borderId="52" xfId="1" applyFont="1" applyFill="1" applyBorder="1" applyAlignment="1">
      <alignment horizontal="center" vertical="center"/>
    </xf>
    <xf numFmtId="0" fontId="51" fillId="0" borderId="42" xfId="0" applyFont="1" applyBorder="1" applyAlignment="1">
      <alignment horizontal="center" vertical="center"/>
    </xf>
    <xf numFmtId="0" fontId="51" fillId="0" borderId="47" xfId="0" applyFont="1" applyBorder="1" applyAlignment="1">
      <alignment vertical="center"/>
    </xf>
    <xf numFmtId="0" fontId="51" fillId="0" borderId="43" xfId="0" applyFont="1" applyBorder="1" applyAlignment="1">
      <alignment vertical="center"/>
    </xf>
    <xf numFmtId="177" fontId="38" fillId="2" borderId="20" xfId="0" applyNumberFormat="1" applyFont="1" applyFill="1" applyBorder="1" applyAlignment="1">
      <alignment horizontal="center" vertical="center"/>
    </xf>
    <xf numFmtId="0" fontId="39" fillId="0" borderId="21" xfId="0" applyFont="1" applyBorder="1" applyAlignment="1">
      <alignment vertical="center"/>
    </xf>
    <xf numFmtId="0" fontId="39" fillId="0" borderId="22" xfId="0" applyFont="1" applyBorder="1" applyAlignment="1">
      <alignment vertical="center"/>
    </xf>
    <xf numFmtId="178" fontId="40" fillId="39" borderId="5" xfId="0" applyNumberFormat="1" applyFont="1" applyFill="1" applyBorder="1" applyAlignment="1">
      <alignment horizontal="left" vertical="top" wrapText="1"/>
    </xf>
    <xf numFmtId="0" fontId="39" fillId="39" borderId="5" xfId="0" applyFont="1" applyFill="1" applyBorder="1" applyAlignment="1">
      <alignment vertical="center"/>
    </xf>
    <xf numFmtId="0" fontId="36" fillId="0" borderId="23" xfId="0" applyFont="1" applyBorder="1" applyAlignment="1">
      <alignment horizontal="center" vertical="center"/>
    </xf>
    <xf numFmtId="0" fontId="39" fillId="0" borderId="23" xfId="0" applyFont="1" applyBorder="1" applyAlignment="1">
      <alignment vertical="center"/>
    </xf>
    <xf numFmtId="179" fontId="43" fillId="0" borderId="38" xfId="0" applyNumberFormat="1" applyFont="1" applyBorder="1" applyAlignment="1">
      <alignment horizontal="center" vertical="center" wrapText="1"/>
    </xf>
    <xf numFmtId="179" fontId="43" fillId="0" borderId="32" xfId="0" applyNumberFormat="1" applyFont="1" applyBorder="1" applyAlignment="1">
      <alignment horizontal="center" vertical="center" wrapText="1"/>
    </xf>
    <xf numFmtId="179" fontId="43" fillId="7" borderId="36" xfId="0" applyNumberFormat="1" applyFont="1" applyFill="1" applyBorder="1" applyAlignment="1">
      <alignment horizontal="center" vertical="center"/>
    </xf>
    <xf numFmtId="0" fontId="39" fillId="0" borderId="37" xfId="0" applyFont="1" applyBorder="1" applyAlignment="1">
      <alignment vertical="center"/>
    </xf>
    <xf numFmtId="0" fontId="39" fillId="0" borderId="38" xfId="0" applyFont="1" applyBorder="1" applyAlignment="1">
      <alignment vertical="center"/>
    </xf>
    <xf numFmtId="0" fontId="57" fillId="0" borderId="44" xfId="0" applyFont="1" applyBorder="1" applyAlignment="1">
      <alignment horizontal="center" vertical="center"/>
    </xf>
    <xf numFmtId="0" fontId="51" fillId="0" borderId="45" xfId="0" applyFont="1" applyBorder="1" applyAlignment="1">
      <alignment vertical="center"/>
    </xf>
    <xf numFmtId="0" fontId="51" fillId="0" borderId="46" xfId="0" applyFont="1" applyBorder="1" applyAlignment="1">
      <alignment vertical="center"/>
    </xf>
    <xf numFmtId="0" fontId="10" fillId="28" borderId="42" xfId="0" applyFont="1" applyFill="1" applyBorder="1" applyAlignment="1">
      <alignment vertical="center"/>
    </xf>
    <xf numFmtId="0" fontId="3" fillId="26" borderId="43" xfId="0" applyFont="1" applyFill="1" applyBorder="1" applyAlignment="1">
      <alignment vertical="center"/>
    </xf>
    <xf numFmtId="0" fontId="10" fillId="29" borderId="42" xfId="0" applyFont="1" applyFill="1" applyBorder="1" applyAlignment="1">
      <alignment vertical="center"/>
    </xf>
    <xf numFmtId="0" fontId="2" fillId="2" borderId="3" xfId="0" applyFont="1" applyFill="1" applyBorder="1" applyAlignment="1">
      <alignment horizontal="center" vertical="center"/>
    </xf>
    <xf numFmtId="0" fontId="3" fillId="0" borderId="4" xfId="0" applyFont="1" applyBorder="1" applyAlignment="1">
      <alignment vertical="center"/>
    </xf>
    <xf numFmtId="0" fontId="3" fillId="0" borderId="6" xfId="0" applyFont="1" applyBorder="1" applyAlignment="1">
      <alignment vertical="center"/>
    </xf>
    <xf numFmtId="0" fontId="3" fillId="0" borderId="7" xfId="0" applyFont="1" applyBorder="1" applyAlignment="1">
      <alignment vertical="center"/>
    </xf>
    <xf numFmtId="0" fontId="3" fillId="0" borderId="8" xfId="0" applyFont="1" applyBorder="1" applyAlignment="1">
      <alignment vertical="center"/>
    </xf>
    <xf numFmtId="0" fontId="3" fillId="0" borderId="9" xfId="0" applyFont="1" applyBorder="1" applyAlignment="1">
      <alignment vertical="center"/>
    </xf>
    <xf numFmtId="0" fontId="0" fillId="0" borderId="0" xfId="0" applyAlignment="1">
      <alignment vertical="center"/>
    </xf>
    <xf numFmtId="0" fontId="3" fillId="0" borderId="10" xfId="0" applyFont="1" applyBorder="1" applyAlignment="1">
      <alignment vertical="center"/>
    </xf>
    <xf numFmtId="0" fontId="1" fillId="4" borderId="12" xfId="0" applyFont="1" applyFill="1" applyBorder="1" applyAlignment="1">
      <alignment horizontal="center" vertical="center"/>
    </xf>
    <xf numFmtId="0" fontId="3" fillId="0" borderId="14" xfId="0" applyFont="1" applyBorder="1" applyAlignment="1">
      <alignment vertical="center"/>
    </xf>
    <xf numFmtId="0" fontId="3" fillId="0" borderId="19" xfId="0" applyFont="1" applyBorder="1" applyAlignment="1">
      <alignment vertical="center"/>
    </xf>
    <xf numFmtId="181" fontId="45" fillId="44" borderId="25" xfId="0" applyNumberFormat="1" applyFont="1" applyFill="1" applyBorder="1" applyAlignment="1">
      <alignment horizontal="center" vertical="center"/>
    </xf>
  </cellXfs>
  <cellStyles count="2">
    <cellStyle name="표준" xfId="0" builtinId="0"/>
    <cellStyle name="표준 2" xfId="1" xr:uid="{00000000-0005-0000-0000-000001000000}"/>
  </cellStyles>
  <dxfs count="0"/>
  <tableStyles count="0" defaultTableStyle="TableStyleMedium2" defaultPivotStyle="PivotStyleLight16"/>
  <colors>
    <mruColors>
      <color rgb="FFFFD966"/>
      <color rgb="FFFFDA66"/>
      <color rgb="FF99CCFF"/>
      <color rgb="FFCCEC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21" Type="http://schemas.openxmlformats.org/officeDocument/2006/relationships/theme" Target="theme/theme1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20" Type="http://customschemas.google.com/relationships/workbookmetadata" Target="metadata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24" Type="http://schemas.openxmlformats.org/officeDocument/2006/relationships/calcChain" Target="calcChain.xml"/><Relationship Id="rId5" Type="http://schemas.openxmlformats.org/officeDocument/2006/relationships/worksheet" Target="worksheets/sheet5.xml"/><Relationship Id="rId23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1.xml"/><Relationship Id="rId22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11</xdr:col>
      <xdr:colOff>95250</xdr:colOff>
      <xdr:row>3</xdr:row>
      <xdr:rowOff>723900</xdr:rowOff>
    </xdr:from>
    <xdr:ext cx="2533650" cy="333375"/>
    <xdr:sp macro="" textlink="">
      <xdr:nvSpPr>
        <xdr:cNvPr id="3" name="Shape 3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SpPr/>
      </xdr:nvSpPr>
      <xdr:spPr>
        <a:xfrm rot="-5400000">
          <a:off x="5188838" y="2522700"/>
          <a:ext cx="314325" cy="2514600"/>
        </a:xfrm>
        <a:prstGeom prst="rightBrace">
          <a:avLst>
            <a:gd name="adj1" fmla="val 8333"/>
            <a:gd name="adj2" fmla="val 50000"/>
          </a:avLst>
        </a:prstGeom>
        <a:noFill/>
        <a:ln w="1905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15</xdr:col>
      <xdr:colOff>561975</xdr:colOff>
      <xdr:row>3</xdr:row>
      <xdr:rowOff>419100</xdr:rowOff>
    </xdr:from>
    <xdr:ext cx="1076325" cy="295275"/>
    <xdr:sp macro="" textlink="">
      <xdr:nvSpPr>
        <xdr:cNvPr id="4" name="Shape 4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SpPr txBox="1"/>
      </xdr:nvSpPr>
      <xdr:spPr>
        <a:xfrm>
          <a:off x="4811880" y="3634063"/>
          <a:ext cx="1068241" cy="2918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900" b="1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상세 설게/디자인</a:t>
          </a:r>
          <a:endParaRPr sz="1400"/>
        </a:p>
      </xdr:txBody>
    </xdr:sp>
    <xdr:clientData fLocksWithSheet="0"/>
  </xdr:oneCellAnchor>
  <xdr:oneCellAnchor>
    <xdr:from>
      <xdr:col>11</xdr:col>
      <xdr:colOff>285750</xdr:colOff>
      <xdr:row>3</xdr:row>
      <xdr:rowOff>238125</xdr:rowOff>
    </xdr:from>
    <xdr:ext cx="2381250" cy="495300"/>
    <xdr:sp macro="" textlink="">
      <xdr:nvSpPr>
        <xdr:cNvPr id="5" name="Shape 5">
          <a:extLs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SpPr txBox="1"/>
      </xdr:nvSpPr>
      <xdr:spPr>
        <a:xfrm>
          <a:off x="4158207" y="3534292"/>
          <a:ext cx="2375587" cy="491417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900" b="1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요구기능 분석, 서비스 기획 및 IA설계</a:t>
          </a:r>
          <a:endParaRPr sz="900" b="1"/>
        </a:p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900" b="1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WBS, 디자인 프로토타입(시안), 가이드 정의</a:t>
          </a:r>
          <a:endParaRPr sz="900" b="1"/>
        </a:p>
      </xdr:txBody>
    </xdr:sp>
    <xdr:clientData fLocksWithSheet="0"/>
  </xdr:oneCellAnchor>
  <xdr:oneCellAnchor>
    <xdr:from>
      <xdr:col>15</xdr:col>
      <xdr:colOff>66675</xdr:colOff>
      <xdr:row>3</xdr:row>
      <xdr:rowOff>723900</xdr:rowOff>
    </xdr:from>
    <xdr:ext cx="1943100" cy="333375"/>
    <xdr:sp macro="" textlink="">
      <xdr:nvSpPr>
        <xdr:cNvPr id="6" name="Shape 6">
          <a:extLst>
            <a:ext uri="{FF2B5EF4-FFF2-40B4-BE49-F238E27FC236}">
              <a16:creationId xmlns:a16="http://schemas.microsoft.com/office/drawing/2014/main" id="{00000000-0008-0000-0100-000006000000}"/>
            </a:ext>
          </a:extLst>
        </xdr:cNvPr>
        <xdr:cNvSpPr/>
      </xdr:nvSpPr>
      <xdr:spPr>
        <a:xfrm rot="-5400000">
          <a:off x="5188838" y="2817975"/>
          <a:ext cx="314325" cy="1924050"/>
        </a:xfrm>
        <a:prstGeom prst="rightBrace">
          <a:avLst>
            <a:gd name="adj1" fmla="val 8333"/>
            <a:gd name="adj2" fmla="val 50000"/>
          </a:avLst>
        </a:prstGeom>
        <a:noFill/>
        <a:ln w="1905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25</xdr:col>
      <xdr:colOff>38100</xdr:colOff>
      <xdr:row>3</xdr:row>
      <xdr:rowOff>752475</xdr:rowOff>
    </xdr:from>
    <xdr:ext cx="647700" cy="238125"/>
    <xdr:sp macro="" textlink="">
      <xdr:nvSpPr>
        <xdr:cNvPr id="7" name="Shape 7">
          <a:extLst>
            <a:ext uri="{FF2B5EF4-FFF2-40B4-BE49-F238E27FC236}">
              <a16:creationId xmlns:a16="http://schemas.microsoft.com/office/drawing/2014/main" id="{00000000-0008-0000-0100-000007000000}"/>
            </a:ext>
          </a:extLst>
        </xdr:cNvPr>
        <xdr:cNvSpPr/>
      </xdr:nvSpPr>
      <xdr:spPr>
        <a:xfrm rot="-5400000">
          <a:off x="5236463" y="3465675"/>
          <a:ext cx="219075" cy="628650"/>
        </a:xfrm>
        <a:prstGeom prst="rightBrace">
          <a:avLst>
            <a:gd name="adj1" fmla="val 8333"/>
            <a:gd name="adj2" fmla="val 50000"/>
          </a:avLst>
        </a:prstGeom>
        <a:noFill/>
        <a:ln w="1905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24</xdr:col>
      <xdr:colOff>685800</xdr:colOff>
      <xdr:row>3</xdr:row>
      <xdr:rowOff>438150</xdr:rowOff>
    </xdr:from>
    <xdr:ext cx="819150" cy="295275"/>
    <xdr:sp macro="" textlink="">
      <xdr:nvSpPr>
        <xdr:cNvPr id="8" name="Shape 8">
          <a:extLst>
            <a:ext uri="{FF2B5EF4-FFF2-40B4-BE49-F238E27FC236}">
              <a16:creationId xmlns:a16="http://schemas.microsoft.com/office/drawing/2014/main" id="{00000000-0008-0000-0100-000008000000}"/>
            </a:ext>
          </a:extLst>
        </xdr:cNvPr>
        <xdr:cNvSpPr txBox="1"/>
      </xdr:nvSpPr>
      <xdr:spPr>
        <a:xfrm>
          <a:off x="4940344" y="3634063"/>
          <a:ext cx="811312" cy="2918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900" b="1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오픈/안정화</a:t>
          </a:r>
          <a:endParaRPr sz="1400"/>
        </a:p>
      </xdr:txBody>
    </xdr:sp>
    <xdr:clientData fLocksWithSheet="0"/>
  </xdr:oneCellAnchor>
  <xdr:oneCellAnchor>
    <xdr:from>
      <xdr:col>22</xdr:col>
      <xdr:colOff>47625</xdr:colOff>
      <xdr:row>3</xdr:row>
      <xdr:rowOff>733425</xdr:rowOff>
    </xdr:from>
    <xdr:ext cx="1933575" cy="257175"/>
    <xdr:sp macro="" textlink="">
      <xdr:nvSpPr>
        <xdr:cNvPr id="9" name="Shape 9">
          <a:extLst>
            <a:ext uri="{FF2B5EF4-FFF2-40B4-BE49-F238E27FC236}">
              <a16:creationId xmlns:a16="http://schemas.microsoft.com/office/drawing/2014/main" id="{00000000-0008-0000-0100-000009000000}"/>
            </a:ext>
          </a:extLst>
        </xdr:cNvPr>
        <xdr:cNvSpPr/>
      </xdr:nvSpPr>
      <xdr:spPr>
        <a:xfrm rot="-5400000">
          <a:off x="5226938" y="2822738"/>
          <a:ext cx="238125" cy="1914525"/>
        </a:xfrm>
        <a:prstGeom prst="rightBrace">
          <a:avLst>
            <a:gd name="adj1" fmla="val 8333"/>
            <a:gd name="adj2" fmla="val 50000"/>
          </a:avLst>
        </a:prstGeom>
        <a:noFill/>
        <a:ln w="1905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22</xdr:col>
      <xdr:colOff>704850</xdr:colOff>
      <xdr:row>3</xdr:row>
      <xdr:rowOff>438150</xdr:rowOff>
    </xdr:from>
    <xdr:ext cx="762000" cy="295275"/>
    <xdr:sp macro="" textlink="">
      <xdr:nvSpPr>
        <xdr:cNvPr id="10" name="Shape 10">
          <a:extLst>
            <a:ext uri="{FF2B5EF4-FFF2-40B4-BE49-F238E27FC236}">
              <a16:creationId xmlns:a16="http://schemas.microsoft.com/office/drawing/2014/main" id="{00000000-0008-0000-0100-00000A000000}"/>
            </a:ext>
          </a:extLst>
        </xdr:cNvPr>
        <xdr:cNvSpPr txBox="1"/>
      </xdr:nvSpPr>
      <xdr:spPr>
        <a:xfrm>
          <a:off x="4965127" y="3634063"/>
          <a:ext cx="761747" cy="2918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900" b="1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통합테스트</a:t>
          </a:r>
          <a:endParaRPr sz="1400"/>
        </a:p>
      </xdr:txBody>
    </xdr:sp>
    <xdr:clientData fLocksWithSheet="0"/>
  </xdr:oneCellAnchor>
  <xdr:oneCellAnchor>
    <xdr:from>
      <xdr:col>18</xdr:col>
      <xdr:colOff>76200</xdr:colOff>
      <xdr:row>3</xdr:row>
      <xdr:rowOff>714375</xdr:rowOff>
    </xdr:from>
    <xdr:ext cx="2571750" cy="285750"/>
    <xdr:sp macro="" textlink="">
      <xdr:nvSpPr>
        <xdr:cNvPr id="11" name="Shape 11">
          <a:extLst>
            <a:ext uri="{FF2B5EF4-FFF2-40B4-BE49-F238E27FC236}">
              <a16:creationId xmlns:a16="http://schemas.microsoft.com/office/drawing/2014/main" id="{00000000-0008-0000-0100-00000B000000}"/>
            </a:ext>
          </a:extLst>
        </xdr:cNvPr>
        <xdr:cNvSpPr/>
      </xdr:nvSpPr>
      <xdr:spPr>
        <a:xfrm rot="-5400000">
          <a:off x="5212650" y="2503650"/>
          <a:ext cx="266700" cy="2552700"/>
        </a:xfrm>
        <a:prstGeom prst="rightBrace">
          <a:avLst>
            <a:gd name="adj1" fmla="val 8333"/>
            <a:gd name="adj2" fmla="val 50000"/>
          </a:avLst>
        </a:prstGeom>
        <a:noFill/>
        <a:ln w="1905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19</xdr:col>
      <xdr:colOff>419100</xdr:colOff>
      <xdr:row>3</xdr:row>
      <xdr:rowOff>438150</xdr:rowOff>
    </xdr:from>
    <xdr:ext cx="676275" cy="295275"/>
    <xdr:sp macro="" textlink="">
      <xdr:nvSpPr>
        <xdr:cNvPr id="12" name="Shape 12">
          <a:extLst>
            <a:ext uri="{FF2B5EF4-FFF2-40B4-BE49-F238E27FC236}">
              <a16:creationId xmlns:a16="http://schemas.microsoft.com/office/drawing/2014/main" id="{00000000-0008-0000-0100-00000C000000}"/>
            </a:ext>
          </a:extLst>
        </xdr:cNvPr>
        <xdr:cNvSpPr txBox="1"/>
      </xdr:nvSpPr>
      <xdr:spPr>
        <a:xfrm>
          <a:off x="5009786" y="3634063"/>
          <a:ext cx="672428" cy="2918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900" b="1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개발대응 </a:t>
          </a:r>
          <a:endParaRPr sz="1400"/>
        </a:p>
      </xdr:txBody>
    </xdr:sp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11</xdr:col>
      <xdr:colOff>95250</xdr:colOff>
      <xdr:row>3</xdr:row>
      <xdr:rowOff>723900</xdr:rowOff>
    </xdr:from>
    <xdr:ext cx="2533650" cy="333375"/>
    <xdr:sp macro="" textlink="">
      <xdr:nvSpPr>
        <xdr:cNvPr id="3" name="Shape 3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SpPr/>
      </xdr:nvSpPr>
      <xdr:spPr>
        <a:xfrm rot="-5400000">
          <a:off x="5188838" y="2522700"/>
          <a:ext cx="314325" cy="2514600"/>
        </a:xfrm>
        <a:prstGeom prst="rightBrace">
          <a:avLst>
            <a:gd name="adj1" fmla="val 8333"/>
            <a:gd name="adj2" fmla="val 50000"/>
          </a:avLst>
        </a:prstGeom>
        <a:noFill/>
        <a:ln w="1905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15</xdr:col>
      <xdr:colOff>238125</xdr:colOff>
      <xdr:row>3</xdr:row>
      <xdr:rowOff>419100</xdr:rowOff>
    </xdr:from>
    <xdr:ext cx="1076325" cy="295275"/>
    <xdr:sp macro="" textlink="">
      <xdr:nvSpPr>
        <xdr:cNvPr id="13" name="Shape 13">
          <a:extLst>
            <a:ext uri="{FF2B5EF4-FFF2-40B4-BE49-F238E27FC236}">
              <a16:creationId xmlns:a16="http://schemas.microsoft.com/office/drawing/2014/main" id="{00000000-0008-0000-0200-00000D000000}"/>
            </a:ext>
          </a:extLst>
        </xdr:cNvPr>
        <xdr:cNvSpPr txBox="1"/>
      </xdr:nvSpPr>
      <xdr:spPr>
        <a:xfrm>
          <a:off x="4811880" y="3634063"/>
          <a:ext cx="1068241" cy="2918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900" b="1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상세 설게/디자인</a:t>
          </a:r>
          <a:endParaRPr sz="1400"/>
        </a:p>
      </xdr:txBody>
    </xdr:sp>
    <xdr:clientData fLocksWithSheet="0"/>
  </xdr:oneCellAnchor>
  <xdr:oneCellAnchor>
    <xdr:from>
      <xdr:col>11</xdr:col>
      <xdr:colOff>285750</xdr:colOff>
      <xdr:row>3</xdr:row>
      <xdr:rowOff>238125</xdr:rowOff>
    </xdr:from>
    <xdr:ext cx="2381250" cy="495300"/>
    <xdr:sp macro="" textlink="">
      <xdr:nvSpPr>
        <xdr:cNvPr id="14" name="Shape 14">
          <a:extLst>
            <a:ext uri="{FF2B5EF4-FFF2-40B4-BE49-F238E27FC236}">
              <a16:creationId xmlns:a16="http://schemas.microsoft.com/office/drawing/2014/main" id="{00000000-0008-0000-0200-00000E000000}"/>
            </a:ext>
          </a:extLst>
        </xdr:cNvPr>
        <xdr:cNvSpPr txBox="1"/>
      </xdr:nvSpPr>
      <xdr:spPr>
        <a:xfrm>
          <a:off x="4158207" y="3534292"/>
          <a:ext cx="2375587" cy="491417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900" b="1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요구기능 분석, 서비스 기획 및 IA설계</a:t>
          </a:r>
          <a:endParaRPr sz="900" b="1"/>
        </a:p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900" b="1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WBS, 디자인 프로토타입(시안), 가이드 정의</a:t>
          </a:r>
          <a:endParaRPr sz="900" b="1"/>
        </a:p>
      </xdr:txBody>
    </xdr:sp>
    <xdr:clientData fLocksWithSheet="0"/>
  </xdr:oneCellAnchor>
  <xdr:oneCellAnchor>
    <xdr:from>
      <xdr:col>15</xdr:col>
      <xdr:colOff>66675</xdr:colOff>
      <xdr:row>3</xdr:row>
      <xdr:rowOff>723900</xdr:rowOff>
    </xdr:from>
    <xdr:ext cx="1333500" cy="333375"/>
    <xdr:sp macro="" textlink="">
      <xdr:nvSpPr>
        <xdr:cNvPr id="15" name="Shape 15">
          <a:extLst>
            <a:ext uri="{FF2B5EF4-FFF2-40B4-BE49-F238E27FC236}">
              <a16:creationId xmlns:a16="http://schemas.microsoft.com/office/drawing/2014/main" id="{00000000-0008-0000-0200-00000F000000}"/>
            </a:ext>
          </a:extLst>
        </xdr:cNvPr>
        <xdr:cNvSpPr/>
      </xdr:nvSpPr>
      <xdr:spPr>
        <a:xfrm rot="-5400000">
          <a:off x="5188838" y="3122775"/>
          <a:ext cx="314325" cy="1314450"/>
        </a:xfrm>
        <a:prstGeom prst="rightBrace">
          <a:avLst>
            <a:gd name="adj1" fmla="val 8333"/>
            <a:gd name="adj2" fmla="val 50000"/>
          </a:avLst>
        </a:prstGeom>
        <a:noFill/>
        <a:ln w="1905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25</xdr:col>
      <xdr:colOff>38100</xdr:colOff>
      <xdr:row>3</xdr:row>
      <xdr:rowOff>752475</xdr:rowOff>
    </xdr:from>
    <xdr:ext cx="647700" cy="238125"/>
    <xdr:sp macro="" textlink="">
      <xdr:nvSpPr>
        <xdr:cNvPr id="16" name="Shape 16">
          <a:extLst>
            <a:ext uri="{FF2B5EF4-FFF2-40B4-BE49-F238E27FC236}">
              <a16:creationId xmlns:a16="http://schemas.microsoft.com/office/drawing/2014/main" id="{00000000-0008-0000-0200-000010000000}"/>
            </a:ext>
          </a:extLst>
        </xdr:cNvPr>
        <xdr:cNvSpPr/>
      </xdr:nvSpPr>
      <xdr:spPr>
        <a:xfrm rot="-5400000">
          <a:off x="5236463" y="3465675"/>
          <a:ext cx="219075" cy="628650"/>
        </a:xfrm>
        <a:prstGeom prst="rightBrace">
          <a:avLst>
            <a:gd name="adj1" fmla="val 8333"/>
            <a:gd name="adj2" fmla="val 50000"/>
          </a:avLst>
        </a:prstGeom>
        <a:noFill/>
        <a:ln w="1905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24</xdr:col>
      <xdr:colOff>685800</xdr:colOff>
      <xdr:row>3</xdr:row>
      <xdr:rowOff>438150</xdr:rowOff>
    </xdr:from>
    <xdr:ext cx="819150" cy="295275"/>
    <xdr:sp macro="" textlink="">
      <xdr:nvSpPr>
        <xdr:cNvPr id="17" name="Shape 17">
          <a:extLst>
            <a:ext uri="{FF2B5EF4-FFF2-40B4-BE49-F238E27FC236}">
              <a16:creationId xmlns:a16="http://schemas.microsoft.com/office/drawing/2014/main" id="{00000000-0008-0000-0200-000011000000}"/>
            </a:ext>
          </a:extLst>
        </xdr:cNvPr>
        <xdr:cNvSpPr txBox="1"/>
      </xdr:nvSpPr>
      <xdr:spPr>
        <a:xfrm>
          <a:off x="4940344" y="3634063"/>
          <a:ext cx="811312" cy="2918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900" b="1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오픈/안정화</a:t>
          </a:r>
          <a:endParaRPr sz="1400"/>
        </a:p>
      </xdr:txBody>
    </xdr:sp>
    <xdr:clientData fLocksWithSheet="0"/>
  </xdr:oneCellAnchor>
  <xdr:oneCellAnchor>
    <xdr:from>
      <xdr:col>22</xdr:col>
      <xdr:colOff>47625</xdr:colOff>
      <xdr:row>3</xdr:row>
      <xdr:rowOff>733425</xdr:rowOff>
    </xdr:from>
    <xdr:ext cx="1933575" cy="257175"/>
    <xdr:sp macro="" textlink="">
      <xdr:nvSpPr>
        <xdr:cNvPr id="18" name="Shape 18">
          <a:extLst>
            <a:ext uri="{FF2B5EF4-FFF2-40B4-BE49-F238E27FC236}">
              <a16:creationId xmlns:a16="http://schemas.microsoft.com/office/drawing/2014/main" id="{00000000-0008-0000-0200-000012000000}"/>
            </a:ext>
          </a:extLst>
        </xdr:cNvPr>
        <xdr:cNvSpPr/>
      </xdr:nvSpPr>
      <xdr:spPr>
        <a:xfrm rot="-5400000">
          <a:off x="5226938" y="2822738"/>
          <a:ext cx="238125" cy="1914525"/>
        </a:xfrm>
        <a:prstGeom prst="rightBrace">
          <a:avLst>
            <a:gd name="adj1" fmla="val 8333"/>
            <a:gd name="adj2" fmla="val 50000"/>
          </a:avLst>
        </a:prstGeom>
        <a:noFill/>
        <a:ln w="1905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22</xdr:col>
      <xdr:colOff>704850</xdr:colOff>
      <xdr:row>3</xdr:row>
      <xdr:rowOff>438150</xdr:rowOff>
    </xdr:from>
    <xdr:ext cx="762000" cy="295275"/>
    <xdr:sp macro="" textlink="">
      <xdr:nvSpPr>
        <xdr:cNvPr id="19" name="Shape 19">
          <a:extLst>
            <a:ext uri="{FF2B5EF4-FFF2-40B4-BE49-F238E27FC236}">
              <a16:creationId xmlns:a16="http://schemas.microsoft.com/office/drawing/2014/main" id="{00000000-0008-0000-0200-000013000000}"/>
            </a:ext>
          </a:extLst>
        </xdr:cNvPr>
        <xdr:cNvSpPr txBox="1"/>
      </xdr:nvSpPr>
      <xdr:spPr>
        <a:xfrm>
          <a:off x="4965127" y="3634063"/>
          <a:ext cx="761747" cy="2918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900" b="1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통합테스트</a:t>
          </a:r>
          <a:endParaRPr sz="1400"/>
        </a:p>
      </xdr:txBody>
    </xdr:sp>
    <xdr:clientData fLocksWithSheet="0"/>
  </xdr:oneCellAnchor>
  <xdr:oneCellAnchor>
    <xdr:from>
      <xdr:col>17</xdr:col>
      <xdr:colOff>47625</xdr:colOff>
      <xdr:row>3</xdr:row>
      <xdr:rowOff>781050</xdr:rowOff>
    </xdr:from>
    <xdr:ext cx="3257550" cy="276225"/>
    <xdr:sp macro="" textlink="">
      <xdr:nvSpPr>
        <xdr:cNvPr id="20" name="Shape 20">
          <a:extLst>
            <a:ext uri="{FF2B5EF4-FFF2-40B4-BE49-F238E27FC236}">
              <a16:creationId xmlns:a16="http://schemas.microsoft.com/office/drawing/2014/main" id="{00000000-0008-0000-0200-000014000000}"/>
            </a:ext>
          </a:extLst>
        </xdr:cNvPr>
        <xdr:cNvSpPr/>
      </xdr:nvSpPr>
      <xdr:spPr>
        <a:xfrm rot="-5400000">
          <a:off x="5217413" y="2160750"/>
          <a:ext cx="257175" cy="3238500"/>
        </a:xfrm>
        <a:prstGeom prst="rightBrace">
          <a:avLst>
            <a:gd name="adj1" fmla="val 8333"/>
            <a:gd name="adj2" fmla="val 50250"/>
          </a:avLst>
        </a:prstGeom>
        <a:noFill/>
        <a:ln w="1905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19</xdr:col>
      <xdr:colOff>95250</xdr:colOff>
      <xdr:row>3</xdr:row>
      <xdr:rowOff>438150</xdr:rowOff>
    </xdr:from>
    <xdr:ext cx="676275" cy="295275"/>
    <xdr:sp macro="" textlink="">
      <xdr:nvSpPr>
        <xdr:cNvPr id="21" name="Shape 21">
          <a:extLst>
            <a:ext uri="{FF2B5EF4-FFF2-40B4-BE49-F238E27FC236}">
              <a16:creationId xmlns:a16="http://schemas.microsoft.com/office/drawing/2014/main" id="{00000000-0008-0000-0200-000015000000}"/>
            </a:ext>
          </a:extLst>
        </xdr:cNvPr>
        <xdr:cNvSpPr txBox="1"/>
      </xdr:nvSpPr>
      <xdr:spPr>
        <a:xfrm>
          <a:off x="5009786" y="3634063"/>
          <a:ext cx="672428" cy="2918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900" b="1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개발대응 </a:t>
          </a:r>
          <a:endParaRPr sz="1400"/>
        </a:p>
      </xdr:txBody>
    </xdr:sp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11</xdr:col>
      <xdr:colOff>95250</xdr:colOff>
      <xdr:row>3</xdr:row>
      <xdr:rowOff>723900</xdr:rowOff>
    </xdr:from>
    <xdr:ext cx="2533650" cy="333375"/>
    <xdr:sp macro="" textlink="">
      <xdr:nvSpPr>
        <xdr:cNvPr id="3" name="Shape 3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SpPr/>
      </xdr:nvSpPr>
      <xdr:spPr>
        <a:xfrm rot="-5400000">
          <a:off x="5188838" y="2522700"/>
          <a:ext cx="314325" cy="2514600"/>
        </a:xfrm>
        <a:prstGeom prst="rightBrace">
          <a:avLst>
            <a:gd name="adj1" fmla="val 8333"/>
            <a:gd name="adj2" fmla="val 50000"/>
          </a:avLst>
        </a:prstGeom>
        <a:noFill/>
        <a:ln w="1905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15</xdr:col>
      <xdr:colOff>238125</xdr:colOff>
      <xdr:row>3</xdr:row>
      <xdr:rowOff>419100</xdr:rowOff>
    </xdr:from>
    <xdr:ext cx="1076325" cy="295275"/>
    <xdr:sp macro="" textlink="">
      <xdr:nvSpPr>
        <xdr:cNvPr id="22" name="Shape 22">
          <a:extLst>
            <a:ext uri="{FF2B5EF4-FFF2-40B4-BE49-F238E27FC236}">
              <a16:creationId xmlns:a16="http://schemas.microsoft.com/office/drawing/2014/main" id="{00000000-0008-0000-0300-000016000000}"/>
            </a:ext>
          </a:extLst>
        </xdr:cNvPr>
        <xdr:cNvSpPr txBox="1"/>
      </xdr:nvSpPr>
      <xdr:spPr>
        <a:xfrm>
          <a:off x="4811880" y="3634063"/>
          <a:ext cx="1068241" cy="2918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900" b="1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상세 설게/디자인</a:t>
          </a:r>
          <a:endParaRPr sz="1400"/>
        </a:p>
      </xdr:txBody>
    </xdr:sp>
    <xdr:clientData fLocksWithSheet="0"/>
  </xdr:oneCellAnchor>
  <xdr:oneCellAnchor>
    <xdr:from>
      <xdr:col>11</xdr:col>
      <xdr:colOff>285750</xdr:colOff>
      <xdr:row>3</xdr:row>
      <xdr:rowOff>238125</xdr:rowOff>
    </xdr:from>
    <xdr:ext cx="2381250" cy="495300"/>
    <xdr:sp macro="" textlink="">
      <xdr:nvSpPr>
        <xdr:cNvPr id="23" name="Shape 23">
          <a:extLst>
            <a:ext uri="{FF2B5EF4-FFF2-40B4-BE49-F238E27FC236}">
              <a16:creationId xmlns:a16="http://schemas.microsoft.com/office/drawing/2014/main" id="{00000000-0008-0000-0300-000017000000}"/>
            </a:ext>
          </a:extLst>
        </xdr:cNvPr>
        <xdr:cNvSpPr txBox="1"/>
      </xdr:nvSpPr>
      <xdr:spPr>
        <a:xfrm>
          <a:off x="4158207" y="3534292"/>
          <a:ext cx="2375587" cy="491417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900" b="1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요구기능 분석, 서비스 기획 및 IA설계</a:t>
          </a:r>
          <a:endParaRPr sz="900" b="1"/>
        </a:p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900" b="1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WBS, 디자인 프로토타입(시안), 가이드 정의</a:t>
          </a:r>
          <a:endParaRPr sz="900" b="1"/>
        </a:p>
      </xdr:txBody>
    </xdr:sp>
    <xdr:clientData fLocksWithSheet="0"/>
  </xdr:oneCellAnchor>
  <xdr:oneCellAnchor>
    <xdr:from>
      <xdr:col>15</xdr:col>
      <xdr:colOff>66675</xdr:colOff>
      <xdr:row>3</xdr:row>
      <xdr:rowOff>723900</xdr:rowOff>
    </xdr:from>
    <xdr:ext cx="1333500" cy="333375"/>
    <xdr:sp macro="" textlink="">
      <xdr:nvSpPr>
        <xdr:cNvPr id="15" name="Shape 15">
          <a:extLst>
            <a:ext uri="{FF2B5EF4-FFF2-40B4-BE49-F238E27FC236}">
              <a16:creationId xmlns:a16="http://schemas.microsoft.com/office/drawing/2014/main" id="{00000000-0008-0000-0300-00000F000000}"/>
            </a:ext>
          </a:extLst>
        </xdr:cNvPr>
        <xdr:cNvSpPr/>
      </xdr:nvSpPr>
      <xdr:spPr>
        <a:xfrm rot="-5400000">
          <a:off x="5188838" y="3122775"/>
          <a:ext cx="314325" cy="1314450"/>
        </a:xfrm>
        <a:prstGeom prst="rightBrace">
          <a:avLst>
            <a:gd name="adj1" fmla="val 8333"/>
            <a:gd name="adj2" fmla="val 50000"/>
          </a:avLst>
        </a:prstGeom>
        <a:noFill/>
        <a:ln w="1905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25</xdr:col>
      <xdr:colOff>38100</xdr:colOff>
      <xdr:row>3</xdr:row>
      <xdr:rowOff>752475</xdr:rowOff>
    </xdr:from>
    <xdr:ext cx="647700" cy="238125"/>
    <xdr:sp macro="" textlink="">
      <xdr:nvSpPr>
        <xdr:cNvPr id="16" name="Shape 16">
          <a:extLst>
            <a:ext uri="{FF2B5EF4-FFF2-40B4-BE49-F238E27FC236}">
              <a16:creationId xmlns:a16="http://schemas.microsoft.com/office/drawing/2014/main" id="{00000000-0008-0000-0300-000010000000}"/>
            </a:ext>
          </a:extLst>
        </xdr:cNvPr>
        <xdr:cNvSpPr/>
      </xdr:nvSpPr>
      <xdr:spPr>
        <a:xfrm rot="-5400000">
          <a:off x="5236463" y="3465675"/>
          <a:ext cx="219075" cy="628650"/>
        </a:xfrm>
        <a:prstGeom prst="rightBrace">
          <a:avLst>
            <a:gd name="adj1" fmla="val 8333"/>
            <a:gd name="adj2" fmla="val 50000"/>
          </a:avLst>
        </a:prstGeom>
        <a:noFill/>
        <a:ln w="1905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24</xdr:col>
      <xdr:colOff>685800</xdr:colOff>
      <xdr:row>3</xdr:row>
      <xdr:rowOff>438150</xdr:rowOff>
    </xdr:from>
    <xdr:ext cx="819150" cy="295275"/>
    <xdr:sp macro="" textlink="">
      <xdr:nvSpPr>
        <xdr:cNvPr id="24" name="Shape 24">
          <a:extLst>
            <a:ext uri="{FF2B5EF4-FFF2-40B4-BE49-F238E27FC236}">
              <a16:creationId xmlns:a16="http://schemas.microsoft.com/office/drawing/2014/main" id="{00000000-0008-0000-0300-000018000000}"/>
            </a:ext>
          </a:extLst>
        </xdr:cNvPr>
        <xdr:cNvSpPr txBox="1"/>
      </xdr:nvSpPr>
      <xdr:spPr>
        <a:xfrm>
          <a:off x="4940344" y="3634063"/>
          <a:ext cx="811312" cy="2918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900" b="1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오픈/안정화</a:t>
          </a:r>
          <a:endParaRPr sz="1400"/>
        </a:p>
      </xdr:txBody>
    </xdr:sp>
    <xdr:clientData fLocksWithSheet="0"/>
  </xdr:oneCellAnchor>
  <xdr:oneCellAnchor>
    <xdr:from>
      <xdr:col>22</xdr:col>
      <xdr:colOff>47625</xdr:colOff>
      <xdr:row>3</xdr:row>
      <xdr:rowOff>733425</xdr:rowOff>
    </xdr:from>
    <xdr:ext cx="1933575" cy="257175"/>
    <xdr:sp macro="" textlink="">
      <xdr:nvSpPr>
        <xdr:cNvPr id="18" name="Shape 18">
          <a:extLst>
            <a:ext uri="{FF2B5EF4-FFF2-40B4-BE49-F238E27FC236}">
              <a16:creationId xmlns:a16="http://schemas.microsoft.com/office/drawing/2014/main" id="{00000000-0008-0000-0300-000012000000}"/>
            </a:ext>
          </a:extLst>
        </xdr:cNvPr>
        <xdr:cNvSpPr/>
      </xdr:nvSpPr>
      <xdr:spPr>
        <a:xfrm rot="-5400000">
          <a:off x="5226938" y="2822738"/>
          <a:ext cx="238125" cy="1914525"/>
        </a:xfrm>
        <a:prstGeom prst="rightBrace">
          <a:avLst>
            <a:gd name="adj1" fmla="val 8333"/>
            <a:gd name="adj2" fmla="val 50000"/>
          </a:avLst>
        </a:prstGeom>
        <a:noFill/>
        <a:ln w="1905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22</xdr:col>
      <xdr:colOff>704850</xdr:colOff>
      <xdr:row>3</xdr:row>
      <xdr:rowOff>438150</xdr:rowOff>
    </xdr:from>
    <xdr:ext cx="762000" cy="295275"/>
    <xdr:sp macro="" textlink="">
      <xdr:nvSpPr>
        <xdr:cNvPr id="25" name="Shape 25">
          <a:extLst>
            <a:ext uri="{FF2B5EF4-FFF2-40B4-BE49-F238E27FC236}">
              <a16:creationId xmlns:a16="http://schemas.microsoft.com/office/drawing/2014/main" id="{00000000-0008-0000-0300-000019000000}"/>
            </a:ext>
          </a:extLst>
        </xdr:cNvPr>
        <xdr:cNvSpPr txBox="1"/>
      </xdr:nvSpPr>
      <xdr:spPr>
        <a:xfrm>
          <a:off x="4965127" y="3634063"/>
          <a:ext cx="761747" cy="2918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900" b="1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통합테스트</a:t>
          </a:r>
          <a:endParaRPr sz="1400"/>
        </a:p>
      </xdr:txBody>
    </xdr:sp>
    <xdr:clientData fLocksWithSheet="0"/>
  </xdr:oneCellAnchor>
  <xdr:oneCellAnchor>
    <xdr:from>
      <xdr:col>17</xdr:col>
      <xdr:colOff>47625</xdr:colOff>
      <xdr:row>3</xdr:row>
      <xdr:rowOff>781050</xdr:rowOff>
    </xdr:from>
    <xdr:ext cx="3257550" cy="276225"/>
    <xdr:sp macro="" textlink="">
      <xdr:nvSpPr>
        <xdr:cNvPr id="20" name="Shape 20">
          <a:extLst>
            <a:ext uri="{FF2B5EF4-FFF2-40B4-BE49-F238E27FC236}">
              <a16:creationId xmlns:a16="http://schemas.microsoft.com/office/drawing/2014/main" id="{00000000-0008-0000-0300-000014000000}"/>
            </a:ext>
          </a:extLst>
        </xdr:cNvPr>
        <xdr:cNvSpPr/>
      </xdr:nvSpPr>
      <xdr:spPr>
        <a:xfrm rot="-5400000">
          <a:off x="5217413" y="2160750"/>
          <a:ext cx="257175" cy="3238500"/>
        </a:xfrm>
        <a:prstGeom prst="rightBrace">
          <a:avLst>
            <a:gd name="adj1" fmla="val 8333"/>
            <a:gd name="adj2" fmla="val 50250"/>
          </a:avLst>
        </a:prstGeom>
        <a:noFill/>
        <a:ln w="1905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19</xdr:col>
      <xdr:colOff>95250</xdr:colOff>
      <xdr:row>3</xdr:row>
      <xdr:rowOff>438150</xdr:rowOff>
    </xdr:from>
    <xdr:ext cx="676275" cy="295275"/>
    <xdr:sp macro="" textlink="">
      <xdr:nvSpPr>
        <xdr:cNvPr id="26" name="Shape 26">
          <a:extLst>
            <a:ext uri="{FF2B5EF4-FFF2-40B4-BE49-F238E27FC236}">
              <a16:creationId xmlns:a16="http://schemas.microsoft.com/office/drawing/2014/main" id="{00000000-0008-0000-0300-00001A000000}"/>
            </a:ext>
          </a:extLst>
        </xdr:cNvPr>
        <xdr:cNvSpPr txBox="1"/>
      </xdr:nvSpPr>
      <xdr:spPr>
        <a:xfrm>
          <a:off x="5009786" y="3634063"/>
          <a:ext cx="672428" cy="2918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900" b="1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개발대응 </a:t>
          </a:r>
          <a:endParaRPr sz="1400"/>
        </a:p>
      </xdr:txBody>
    </xdr:sp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13</xdr:col>
      <xdr:colOff>3</xdr:colOff>
      <xdr:row>3</xdr:row>
      <xdr:rowOff>451385</xdr:rowOff>
    </xdr:from>
    <xdr:ext cx="1460666" cy="141404"/>
    <xdr:sp macro="" textlink="">
      <xdr:nvSpPr>
        <xdr:cNvPr id="2" name="Shape 3">
          <a:extLst>
            <a:ext uri="{FF2B5EF4-FFF2-40B4-BE49-F238E27FC236}">
              <a16:creationId xmlns:a16="http://schemas.microsoft.com/office/drawing/2014/main" id="{A8C6E219-882C-3446-A1BA-50F981EEA6D6}"/>
            </a:ext>
          </a:extLst>
        </xdr:cNvPr>
        <xdr:cNvSpPr/>
      </xdr:nvSpPr>
      <xdr:spPr>
        <a:xfrm rot="-5400000">
          <a:off x="9257534" y="566454"/>
          <a:ext cx="141404" cy="1460666"/>
        </a:xfrm>
        <a:prstGeom prst="rightBrace">
          <a:avLst>
            <a:gd name="adj1" fmla="val 68031"/>
            <a:gd name="adj2" fmla="val 50000"/>
          </a:avLst>
        </a:prstGeom>
        <a:noFill/>
        <a:ln w="1905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15</xdr:col>
      <xdr:colOff>567757</xdr:colOff>
      <xdr:row>3</xdr:row>
      <xdr:rowOff>149785</xdr:rowOff>
    </xdr:from>
    <xdr:ext cx="1076325" cy="291834"/>
    <xdr:sp macro="" textlink="">
      <xdr:nvSpPr>
        <xdr:cNvPr id="3" name="Shape 27">
          <a:extLst>
            <a:ext uri="{FF2B5EF4-FFF2-40B4-BE49-F238E27FC236}">
              <a16:creationId xmlns:a16="http://schemas.microsoft.com/office/drawing/2014/main" id="{1A424612-C21F-FF4B-A6E2-3806A3F899B5}"/>
            </a:ext>
          </a:extLst>
        </xdr:cNvPr>
        <xdr:cNvSpPr txBox="1"/>
      </xdr:nvSpPr>
      <xdr:spPr>
        <a:xfrm>
          <a:off x="10664257" y="924485"/>
          <a:ext cx="1076325" cy="291834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900" b="1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상세 설</a:t>
          </a:r>
          <a:r>
            <a:rPr lang="ko-KR" altLang="en-US" sz="900" b="1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계</a:t>
          </a:r>
          <a:r>
            <a:rPr lang="en-US" altLang="ko-KR" sz="900" b="1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/</a:t>
          </a:r>
          <a:r>
            <a:rPr lang="ko-KR" altLang="en-US" sz="900" b="1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디자인</a:t>
          </a:r>
          <a:endParaRPr sz="1400"/>
        </a:p>
      </xdr:txBody>
    </xdr:sp>
    <xdr:clientData fLocksWithSheet="0"/>
  </xdr:oneCellAnchor>
  <xdr:oneCellAnchor>
    <xdr:from>
      <xdr:col>13</xdr:col>
      <xdr:colOff>62851</xdr:colOff>
      <xdr:row>2</xdr:row>
      <xdr:rowOff>390713</xdr:rowOff>
    </xdr:from>
    <xdr:ext cx="1329268" cy="491376"/>
    <xdr:sp macro="" textlink="">
      <xdr:nvSpPr>
        <xdr:cNvPr id="4" name="Shape 28">
          <a:extLst>
            <a:ext uri="{FF2B5EF4-FFF2-40B4-BE49-F238E27FC236}">
              <a16:creationId xmlns:a16="http://schemas.microsoft.com/office/drawing/2014/main" id="{8FF4764D-8BC1-E54D-8FE6-7E3C852BCB9F}"/>
            </a:ext>
          </a:extLst>
        </xdr:cNvPr>
        <xdr:cNvSpPr txBox="1"/>
      </xdr:nvSpPr>
      <xdr:spPr>
        <a:xfrm>
          <a:off x="8660751" y="771713"/>
          <a:ext cx="1329268" cy="491376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900" b="1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디자인</a:t>
          </a:r>
          <a:r>
            <a:rPr lang="ko-KR" altLang="en-US" sz="900" b="1" baseline="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 </a:t>
          </a:r>
          <a:r>
            <a:rPr lang="en-US" sz="900" b="1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시안</a:t>
          </a:r>
        </a:p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ko-KR" altLang="en-US" sz="900" b="1">
              <a:solidFill>
                <a:schemeClr val="dk1"/>
              </a:solidFill>
              <a:latin typeface="Calibri"/>
              <a:cs typeface="Calibri"/>
              <a:sym typeface="Calibri"/>
            </a:rPr>
            <a:t>와이어프레임 설계</a:t>
          </a:r>
          <a:endParaRPr sz="900" b="1"/>
        </a:p>
      </xdr:txBody>
    </xdr:sp>
    <xdr:clientData fLocksWithSheet="0"/>
  </xdr:oneCellAnchor>
  <xdr:oneCellAnchor>
    <xdr:from>
      <xdr:col>15</xdr:col>
      <xdr:colOff>15304</xdr:colOff>
      <xdr:row>3</xdr:row>
      <xdr:rowOff>443735</xdr:rowOff>
    </xdr:from>
    <xdr:ext cx="2178600" cy="149054"/>
    <xdr:sp macro="" textlink="">
      <xdr:nvSpPr>
        <xdr:cNvPr id="5" name="Shape 15">
          <a:extLst>
            <a:ext uri="{FF2B5EF4-FFF2-40B4-BE49-F238E27FC236}">
              <a16:creationId xmlns:a16="http://schemas.microsoft.com/office/drawing/2014/main" id="{9F39CEA2-F8C9-164F-945A-9A26EA410A47}"/>
            </a:ext>
          </a:extLst>
        </xdr:cNvPr>
        <xdr:cNvSpPr/>
      </xdr:nvSpPr>
      <xdr:spPr>
        <a:xfrm rot="-5400000">
          <a:off x="11126577" y="203662"/>
          <a:ext cx="149054" cy="2178600"/>
        </a:xfrm>
        <a:prstGeom prst="rightBrace">
          <a:avLst>
            <a:gd name="adj1" fmla="val 49996"/>
            <a:gd name="adj2" fmla="val 50000"/>
          </a:avLst>
        </a:prstGeom>
        <a:noFill/>
        <a:ln w="1905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24</xdr:col>
      <xdr:colOff>257900</xdr:colOff>
      <xdr:row>3</xdr:row>
      <xdr:rowOff>448231</xdr:rowOff>
    </xdr:from>
    <xdr:ext cx="1007647" cy="144000"/>
    <xdr:sp macro="" textlink="">
      <xdr:nvSpPr>
        <xdr:cNvPr id="6" name="Shape 16">
          <a:extLst>
            <a:ext uri="{FF2B5EF4-FFF2-40B4-BE49-F238E27FC236}">
              <a16:creationId xmlns:a16="http://schemas.microsoft.com/office/drawing/2014/main" id="{132BA988-A511-B749-9EC1-005E0B67E38F}"/>
            </a:ext>
          </a:extLst>
        </xdr:cNvPr>
        <xdr:cNvSpPr/>
      </xdr:nvSpPr>
      <xdr:spPr>
        <a:xfrm rot="-5400000">
          <a:off x="17529924" y="791107"/>
          <a:ext cx="144000" cy="1007647"/>
        </a:xfrm>
        <a:prstGeom prst="rightBrace">
          <a:avLst>
            <a:gd name="adj1" fmla="val 68000"/>
            <a:gd name="adj2" fmla="val 50000"/>
          </a:avLst>
        </a:prstGeom>
        <a:noFill/>
        <a:ln w="1905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24</xdr:col>
      <xdr:colOff>348933</xdr:colOff>
      <xdr:row>3</xdr:row>
      <xdr:rowOff>149785</xdr:rowOff>
    </xdr:from>
    <xdr:ext cx="819150" cy="295275"/>
    <xdr:sp macro="" textlink="">
      <xdr:nvSpPr>
        <xdr:cNvPr id="7" name="Shape 29">
          <a:extLst>
            <a:ext uri="{FF2B5EF4-FFF2-40B4-BE49-F238E27FC236}">
              <a16:creationId xmlns:a16="http://schemas.microsoft.com/office/drawing/2014/main" id="{76582150-5DBD-A842-99FA-1BE0EB571824}"/>
            </a:ext>
          </a:extLst>
        </xdr:cNvPr>
        <xdr:cNvSpPr txBox="1"/>
      </xdr:nvSpPr>
      <xdr:spPr>
        <a:xfrm>
          <a:off x="17189133" y="924485"/>
          <a:ext cx="819150" cy="2952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900" b="1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오픈/안정화</a:t>
          </a:r>
          <a:endParaRPr sz="1400"/>
        </a:p>
      </xdr:txBody>
    </xdr:sp>
    <xdr:clientData fLocksWithSheet="0"/>
  </xdr:oneCellAnchor>
  <xdr:oneCellAnchor>
    <xdr:from>
      <xdr:col>21</xdr:col>
      <xdr:colOff>253654</xdr:colOff>
      <xdr:row>3</xdr:row>
      <xdr:rowOff>452151</xdr:rowOff>
    </xdr:from>
    <xdr:ext cx="1933575" cy="144000"/>
    <xdr:sp macro="" textlink="">
      <xdr:nvSpPr>
        <xdr:cNvPr id="8" name="Shape 18">
          <a:extLst>
            <a:ext uri="{FF2B5EF4-FFF2-40B4-BE49-F238E27FC236}">
              <a16:creationId xmlns:a16="http://schemas.microsoft.com/office/drawing/2014/main" id="{A045E4D7-CF4F-F745-A001-B72AF53BD61B}"/>
            </a:ext>
          </a:extLst>
        </xdr:cNvPr>
        <xdr:cNvSpPr/>
      </xdr:nvSpPr>
      <xdr:spPr>
        <a:xfrm rot="-5400000">
          <a:off x="15740742" y="332063"/>
          <a:ext cx="144000" cy="1933575"/>
        </a:xfrm>
        <a:prstGeom prst="rightBrace">
          <a:avLst>
            <a:gd name="adj1" fmla="val 59154"/>
            <a:gd name="adj2" fmla="val 50000"/>
          </a:avLst>
        </a:prstGeom>
        <a:noFill/>
        <a:ln w="1905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21</xdr:col>
      <xdr:colOff>450476</xdr:colOff>
      <xdr:row>3</xdr:row>
      <xdr:rowOff>153226</xdr:rowOff>
    </xdr:from>
    <xdr:ext cx="1526116" cy="291834"/>
    <xdr:sp macro="" textlink="">
      <xdr:nvSpPr>
        <xdr:cNvPr id="9" name="Shape 30">
          <a:extLst>
            <a:ext uri="{FF2B5EF4-FFF2-40B4-BE49-F238E27FC236}">
              <a16:creationId xmlns:a16="http://schemas.microsoft.com/office/drawing/2014/main" id="{3721BEF0-9408-BA4E-9074-B30369A2E900}"/>
            </a:ext>
          </a:extLst>
        </xdr:cNvPr>
        <xdr:cNvSpPr txBox="1"/>
      </xdr:nvSpPr>
      <xdr:spPr>
        <a:xfrm>
          <a:off x="15042776" y="927926"/>
          <a:ext cx="1526116" cy="291834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900" b="1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통합테스트</a:t>
          </a:r>
          <a:r>
            <a:rPr lang="ko-KR" altLang="en-US" sz="900" b="1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 </a:t>
          </a:r>
          <a:r>
            <a:rPr lang="en-US" altLang="ko-KR" sz="900" b="1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(</a:t>
          </a:r>
          <a:r>
            <a:rPr lang="ko-KR" altLang="en-US" sz="900" b="1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개발대응만</a:t>
          </a:r>
          <a:r>
            <a:rPr lang="en-US" altLang="ko-KR" sz="900" b="1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)</a:t>
          </a:r>
          <a:endParaRPr sz="1400"/>
        </a:p>
      </xdr:txBody>
    </xdr:sp>
    <xdr:clientData fLocksWithSheet="0"/>
  </xdr:oneCellAnchor>
  <xdr:oneCellAnchor>
    <xdr:from>
      <xdr:col>18</xdr:col>
      <xdr:colOff>6128</xdr:colOff>
      <xdr:row>3</xdr:row>
      <xdr:rowOff>466685</xdr:rowOff>
    </xdr:from>
    <xdr:ext cx="2235499" cy="133389"/>
    <xdr:sp macro="" textlink="">
      <xdr:nvSpPr>
        <xdr:cNvPr id="10" name="Shape 20">
          <a:extLst>
            <a:ext uri="{FF2B5EF4-FFF2-40B4-BE49-F238E27FC236}">
              <a16:creationId xmlns:a16="http://schemas.microsoft.com/office/drawing/2014/main" id="{E63F2635-66A0-614A-A4A2-B041334D16A1}"/>
            </a:ext>
          </a:extLst>
        </xdr:cNvPr>
        <xdr:cNvSpPr/>
      </xdr:nvSpPr>
      <xdr:spPr>
        <a:xfrm rot="-5400000">
          <a:off x="13401583" y="190330"/>
          <a:ext cx="133389" cy="2235499"/>
        </a:xfrm>
        <a:prstGeom prst="rightBrace">
          <a:avLst>
            <a:gd name="adj1" fmla="val 49658"/>
            <a:gd name="adj2" fmla="val 50250"/>
          </a:avLst>
        </a:prstGeom>
        <a:noFill/>
        <a:ln w="1905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18</xdr:col>
      <xdr:colOff>477669</xdr:colOff>
      <xdr:row>3</xdr:row>
      <xdr:rowOff>153226</xdr:rowOff>
    </xdr:from>
    <xdr:ext cx="1321858" cy="291834"/>
    <xdr:sp macro="" textlink="">
      <xdr:nvSpPr>
        <xdr:cNvPr id="11" name="Shape 31">
          <a:extLst>
            <a:ext uri="{FF2B5EF4-FFF2-40B4-BE49-F238E27FC236}">
              <a16:creationId xmlns:a16="http://schemas.microsoft.com/office/drawing/2014/main" id="{334C8223-0292-224B-BBEB-D662EB0DF8A7}"/>
            </a:ext>
          </a:extLst>
        </xdr:cNvPr>
        <xdr:cNvSpPr txBox="1"/>
      </xdr:nvSpPr>
      <xdr:spPr>
        <a:xfrm>
          <a:off x="12822069" y="927926"/>
          <a:ext cx="1321858" cy="291834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900" b="1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개발대응 </a:t>
          </a:r>
          <a:endParaRPr sz="1400"/>
        </a:p>
      </xdr:txBody>
    </xdr:sp>
    <xdr:clientData fLocksWithSheet="0"/>
  </xdr:oneCellAnchor>
  <xdr:oneCellAnchor>
    <xdr:from>
      <xdr:col>11</xdr:col>
      <xdr:colOff>49743</xdr:colOff>
      <xdr:row>2</xdr:row>
      <xdr:rowOff>390713</xdr:rowOff>
    </xdr:from>
    <xdr:ext cx="1405465" cy="491376"/>
    <xdr:sp macro="" textlink="">
      <xdr:nvSpPr>
        <xdr:cNvPr id="12" name="Shape 28">
          <a:extLst>
            <a:ext uri="{FF2B5EF4-FFF2-40B4-BE49-F238E27FC236}">
              <a16:creationId xmlns:a16="http://schemas.microsoft.com/office/drawing/2014/main" id="{1DC52BB6-88FE-A44D-9CB1-C531A8BE237F}"/>
            </a:ext>
          </a:extLst>
        </xdr:cNvPr>
        <xdr:cNvSpPr txBox="1"/>
      </xdr:nvSpPr>
      <xdr:spPr>
        <a:xfrm>
          <a:off x="7149043" y="771713"/>
          <a:ext cx="1405465" cy="491376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900" b="1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요구기능 분석, IA설계</a:t>
          </a:r>
          <a:r>
            <a:rPr lang="en-US" altLang="ko-KR" sz="900" b="1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,</a:t>
          </a:r>
          <a:r>
            <a:rPr lang="ko-KR" altLang="en-US" sz="900" b="1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 </a:t>
          </a:r>
          <a:r>
            <a:rPr lang="en-US" sz="900" b="1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WBS, 가이드 정의</a:t>
          </a:r>
          <a:endParaRPr sz="900" b="1"/>
        </a:p>
      </xdr:txBody>
    </xdr:sp>
    <xdr:clientData fLocksWithSheet="0"/>
  </xdr:oneCellAnchor>
  <xdr:oneCellAnchor>
    <xdr:from>
      <xdr:col>11</xdr:col>
      <xdr:colOff>38783</xdr:colOff>
      <xdr:row>3</xdr:row>
      <xdr:rowOff>448790</xdr:rowOff>
    </xdr:from>
    <xdr:ext cx="1422482" cy="132655"/>
    <xdr:sp macro="" textlink="">
      <xdr:nvSpPr>
        <xdr:cNvPr id="13" name="Shape 3">
          <a:extLst>
            <a:ext uri="{FF2B5EF4-FFF2-40B4-BE49-F238E27FC236}">
              <a16:creationId xmlns:a16="http://schemas.microsoft.com/office/drawing/2014/main" id="{0398414F-C47C-EB48-B6FB-FA5325174EC0}"/>
            </a:ext>
          </a:extLst>
        </xdr:cNvPr>
        <xdr:cNvSpPr/>
      </xdr:nvSpPr>
      <xdr:spPr>
        <a:xfrm rot="-5400000">
          <a:off x="7782996" y="578577"/>
          <a:ext cx="132655" cy="1422482"/>
        </a:xfrm>
        <a:prstGeom prst="rightBrace">
          <a:avLst>
            <a:gd name="adj1" fmla="val 64549"/>
            <a:gd name="adj2" fmla="val 50000"/>
          </a:avLst>
        </a:prstGeom>
        <a:noFill/>
        <a:ln w="1905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13</xdr:col>
      <xdr:colOff>3</xdr:colOff>
      <xdr:row>3</xdr:row>
      <xdr:rowOff>451385</xdr:rowOff>
    </xdr:from>
    <xdr:ext cx="1460666" cy="141404"/>
    <xdr:sp macro="" textlink="">
      <xdr:nvSpPr>
        <xdr:cNvPr id="2" name="Shape 3">
          <a:extLst>
            <a:ext uri="{FF2B5EF4-FFF2-40B4-BE49-F238E27FC236}">
              <a16:creationId xmlns:a16="http://schemas.microsoft.com/office/drawing/2014/main" id="{D637BC4A-815B-714F-AEFC-59FDD1CC9A5F}"/>
            </a:ext>
          </a:extLst>
        </xdr:cNvPr>
        <xdr:cNvSpPr/>
      </xdr:nvSpPr>
      <xdr:spPr>
        <a:xfrm rot="-5400000">
          <a:off x="9258911" y="625670"/>
          <a:ext cx="141404" cy="1460666"/>
        </a:xfrm>
        <a:prstGeom prst="rightBrace">
          <a:avLst>
            <a:gd name="adj1" fmla="val 68031"/>
            <a:gd name="adj2" fmla="val 50000"/>
          </a:avLst>
        </a:prstGeom>
        <a:noFill/>
        <a:ln w="1905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15</xdr:col>
      <xdr:colOff>567757</xdr:colOff>
      <xdr:row>3</xdr:row>
      <xdr:rowOff>149785</xdr:rowOff>
    </xdr:from>
    <xdr:ext cx="1076325" cy="291834"/>
    <xdr:sp macro="" textlink="">
      <xdr:nvSpPr>
        <xdr:cNvPr id="3" name="Shape 27">
          <a:extLst>
            <a:ext uri="{FF2B5EF4-FFF2-40B4-BE49-F238E27FC236}">
              <a16:creationId xmlns:a16="http://schemas.microsoft.com/office/drawing/2014/main" id="{5F4E91C5-52C9-D246-B78A-7BB70E6B300E}"/>
            </a:ext>
          </a:extLst>
        </xdr:cNvPr>
        <xdr:cNvSpPr txBox="1"/>
      </xdr:nvSpPr>
      <xdr:spPr>
        <a:xfrm>
          <a:off x="10666552" y="983701"/>
          <a:ext cx="1076325" cy="291834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900" b="1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상세 설</a:t>
          </a:r>
          <a:r>
            <a:rPr lang="ko-KR" altLang="en-US" sz="900" b="1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계</a:t>
          </a:r>
          <a:r>
            <a:rPr lang="en-US" altLang="ko-KR" sz="900" b="1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/</a:t>
          </a:r>
          <a:r>
            <a:rPr lang="ko-KR" altLang="en-US" sz="900" b="1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디자인</a:t>
          </a:r>
          <a:endParaRPr sz="1400"/>
        </a:p>
      </xdr:txBody>
    </xdr:sp>
    <xdr:clientData fLocksWithSheet="0"/>
  </xdr:oneCellAnchor>
  <xdr:oneCellAnchor>
    <xdr:from>
      <xdr:col>13</xdr:col>
      <xdr:colOff>62851</xdr:colOff>
      <xdr:row>2</xdr:row>
      <xdr:rowOff>390713</xdr:rowOff>
    </xdr:from>
    <xdr:ext cx="1329268" cy="491376"/>
    <xdr:sp macro="" textlink="">
      <xdr:nvSpPr>
        <xdr:cNvPr id="4" name="Shape 28">
          <a:extLst>
            <a:ext uri="{FF2B5EF4-FFF2-40B4-BE49-F238E27FC236}">
              <a16:creationId xmlns:a16="http://schemas.microsoft.com/office/drawing/2014/main" id="{93B237AB-FB05-CE4A-976E-8072BE6B7E29}"/>
            </a:ext>
          </a:extLst>
        </xdr:cNvPr>
        <xdr:cNvSpPr txBox="1"/>
      </xdr:nvSpPr>
      <xdr:spPr>
        <a:xfrm>
          <a:off x="8662128" y="803846"/>
          <a:ext cx="1329268" cy="491376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900" b="1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디자인</a:t>
          </a:r>
          <a:r>
            <a:rPr lang="ko-KR" altLang="en-US" sz="900" b="1" baseline="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 </a:t>
          </a:r>
          <a:r>
            <a:rPr lang="en-US" sz="900" b="1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시안</a:t>
          </a:r>
        </a:p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ko-KR" altLang="en-US" sz="900" b="1">
              <a:solidFill>
                <a:schemeClr val="dk1"/>
              </a:solidFill>
              <a:latin typeface="Calibri"/>
              <a:cs typeface="Calibri"/>
              <a:sym typeface="Calibri"/>
            </a:rPr>
            <a:t>와이어프레임 설계</a:t>
          </a:r>
          <a:endParaRPr sz="900" b="1"/>
        </a:p>
      </xdr:txBody>
    </xdr:sp>
    <xdr:clientData fLocksWithSheet="0"/>
  </xdr:oneCellAnchor>
  <xdr:oneCellAnchor>
    <xdr:from>
      <xdr:col>15</xdr:col>
      <xdr:colOff>15304</xdr:colOff>
      <xdr:row>3</xdr:row>
      <xdr:rowOff>443735</xdr:rowOff>
    </xdr:from>
    <xdr:ext cx="2178600" cy="149054"/>
    <xdr:sp macro="" textlink="">
      <xdr:nvSpPr>
        <xdr:cNvPr id="5" name="Shape 15">
          <a:extLst>
            <a:ext uri="{FF2B5EF4-FFF2-40B4-BE49-F238E27FC236}">
              <a16:creationId xmlns:a16="http://schemas.microsoft.com/office/drawing/2014/main" id="{8010EDCB-7C99-9E43-BC67-B6A877A71393}"/>
            </a:ext>
          </a:extLst>
        </xdr:cNvPr>
        <xdr:cNvSpPr/>
      </xdr:nvSpPr>
      <xdr:spPr>
        <a:xfrm rot="-5400000">
          <a:off x="11128872" y="262878"/>
          <a:ext cx="149054" cy="2178600"/>
        </a:xfrm>
        <a:prstGeom prst="rightBrace">
          <a:avLst>
            <a:gd name="adj1" fmla="val 49996"/>
            <a:gd name="adj2" fmla="val 50000"/>
          </a:avLst>
        </a:prstGeom>
        <a:noFill/>
        <a:ln w="1905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24</xdr:col>
      <xdr:colOff>257900</xdr:colOff>
      <xdr:row>3</xdr:row>
      <xdr:rowOff>448231</xdr:rowOff>
    </xdr:from>
    <xdr:ext cx="1007647" cy="144000"/>
    <xdr:sp macro="" textlink="">
      <xdr:nvSpPr>
        <xdr:cNvPr id="6" name="Shape 16">
          <a:extLst>
            <a:ext uri="{FF2B5EF4-FFF2-40B4-BE49-F238E27FC236}">
              <a16:creationId xmlns:a16="http://schemas.microsoft.com/office/drawing/2014/main" id="{2A094B2D-BAFF-9840-90AB-71D8CE930C96}"/>
            </a:ext>
          </a:extLst>
        </xdr:cNvPr>
        <xdr:cNvSpPr/>
      </xdr:nvSpPr>
      <xdr:spPr>
        <a:xfrm rot="-5400000">
          <a:off x="17580724" y="841907"/>
          <a:ext cx="144000" cy="1007647"/>
        </a:xfrm>
        <a:prstGeom prst="rightBrace">
          <a:avLst>
            <a:gd name="adj1" fmla="val 68000"/>
            <a:gd name="adj2" fmla="val 50000"/>
          </a:avLst>
        </a:prstGeom>
        <a:noFill/>
        <a:ln w="1905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24</xdr:col>
      <xdr:colOff>348933</xdr:colOff>
      <xdr:row>3</xdr:row>
      <xdr:rowOff>149785</xdr:rowOff>
    </xdr:from>
    <xdr:ext cx="819150" cy="295275"/>
    <xdr:sp macro="" textlink="">
      <xdr:nvSpPr>
        <xdr:cNvPr id="7" name="Shape 29">
          <a:extLst>
            <a:ext uri="{FF2B5EF4-FFF2-40B4-BE49-F238E27FC236}">
              <a16:creationId xmlns:a16="http://schemas.microsoft.com/office/drawing/2014/main" id="{42D68BD3-295E-A54E-A8FA-4AD9E7C8D5DE}"/>
            </a:ext>
          </a:extLst>
        </xdr:cNvPr>
        <xdr:cNvSpPr txBox="1"/>
      </xdr:nvSpPr>
      <xdr:spPr>
        <a:xfrm>
          <a:off x="17239933" y="975285"/>
          <a:ext cx="819150" cy="2952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900" b="1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오픈/안정화</a:t>
          </a:r>
          <a:endParaRPr sz="1400"/>
        </a:p>
      </xdr:txBody>
    </xdr:sp>
    <xdr:clientData fLocksWithSheet="0"/>
  </xdr:oneCellAnchor>
  <xdr:oneCellAnchor>
    <xdr:from>
      <xdr:col>21</xdr:col>
      <xdr:colOff>253654</xdr:colOff>
      <xdr:row>3</xdr:row>
      <xdr:rowOff>452151</xdr:rowOff>
    </xdr:from>
    <xdr:ext cx="1933575" cy="144000"/>
    <xdr:sp macro="" textlink="">
      <xdr:nvSpPr>
        <xdr:cNvPr id="8" name="Shape 18">
          <a:extLst>
            <a:ext uri="{FF2B5EF4-FFF2-40B4-BE49-F238E27FC236}">
              <a16:creationId xmlns:a16="http://schemas.microsoft.com/office/drawing/2014/main" id="{BC361CFB-5ECA-5048-B5C0-ACC8488104A8}"/>
            </a:ext>
          </a:extLst>
        </xdr:cNvPr>
        <xdr:cNvSpPr/>
      </xdr:nvSpPr>
      <xdr:spPr>
        <a:xfrm rot="-5400000">
          <a:off x="15785192" y="382863"/>
          <a:ext cx="144000" cy="1933575"/>
        </a:xfrm>
        <a:prstGeom prst="rightBrace">
          <a:avLst>
            <a:gd name="adj1" fmla="val 59154"/>
            <a:gd name="adj2" fmla="val 50000"/>
          </a:avLst>
        </a:prstGeom>
        <a:noFill/>
        <a:ln w="1905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21</xdr:col>
      <xdr:colOff>450476</xdr:colOff>
      <xdr:row>3</xdr:row>
      <xdr:rowOff>153226</xdr:rowOff>
    </xdr:from>
    <xdr:ext cx="1526116" cy="291834"/>
    <xdr:sp macro="" textlink="">
      <xdr:nvSpPr>
        <xdr:cNvPr id="9" name="Shape 30">
          <a:extLst>
            <a:ext uri="{FF2B5EF4-FFF2-40B4-BE49-F238E27FC236}">
              <a16:creationId xmlns:a16="http://schemas.microsoft.com/office/drawing/2014/main" id="{C83685A3-9647-A242-A99C-F2FB69A01CAF}"/>
            </a:ext>
          </a:extLst>
        </xdr:cNvPr>
        <xdr:cNvSpPr txBox="1"/>
      </xdr:nvSpPr>
      <xdr:spPr>
        <a:xfrm>
          <a:off x="15087226" y="978726"/>
          <a:ext cx="1526116" cy="291834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900" b="1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통합테스트</a:t>
          </a:r>
          <a:r>
            <a:rPr lang="ko-KR" altLang="en-US" sz="900" b="1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 </a:t>
          </a:r>
          <a:r>
            <a:rPr lang="en-US" altLang="ko-KR" sz="900" b="1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(</a:t>
          </a:r>
          <a:r>
            <a:rPr lang="ko-KR" altLang="en-US" sz="900" b="1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개발대응만</a:t>
          </a:r>
          <a:r>
            <a:rPr lang="en-US" altLang="ko-KR" sz="900" b="1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)</a:t>
          </a:r>
          <a:endParaRPr sz="1400"/>
        </a:p>
      </xdr:txBody>
    </xdr:sp>
    <xdr:clientData fLocksWithSheet="0"/>
  </xdr:oneCellAnchor>
  <xdr:oneCellAnchor>
    <xdr:from>
      <xdr:col>18</xdr:col>
      <xdr:colOff>6128</xdr:colOff>
      <xdr:row>3</xdr:row>
      <xdr:rowOff>466685</xdr:rowOff>
    </xdr:from>
    <xdr:ext cx="2235499" cy="133389"/>
    <xdr:sp macro="" textlink="">
      <xdr:nvSpPr>
        <xdr:cNvPr id="10" name="Shape 20">
          <a:extLst>
            <a:ext uri="{FF2B5EF4-FFF2-40B4-BE49-F238E27FC236}">
              <a16:creationId xmlns:a16="http://schemas.microsoft.com/office/drawing/2014/main" id="{8C138C9B-676C-9847-BFC7-EB85D32624C8}"/>
            </a:ext>
          </a:extLst>
        </xdr:cNvPr>
        <xdr:cNvSpPr/>
      </xdr:nvSpPr>
      <xdr:spPr>
        <a:xfrm rot="-5400000">
          <a:off x="13405255" y="249546"/>
          <a:ext cx="133389" cy="2235499"/>
        </a:xfrm>
        <a:prstGeom prst="rightBrace">
          <a:avLst>
            <a:gd name="adj1" fmla="val 49658"/>
            <a:gd name="adj2" fmla="val 50250"/>
          </a:avLst>
        </a:prstGeom>
        <a:noFill/>
        <a:ln w="1905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18</xdr:col>
      <xdr:colOff>477669</xdr:colOff>
      <xdr:row>3</xdr:row>
      <xdr:rowOff>153226</xdr:rowOff>
    </xdr:from>
    <xdr:ext cx="1321858" cy="291834"/>
    <xdr:sp macro="" textlink="">
      <xdr:nvSpPr>
        <xdr:cNvPr id="11" name="Shape 31">
          <a:extLst>
            <a:ext uri="{FF2B5EF4-FFF2-40B4-BE49-F238E27FC236}">
              <a16:creationId xmlns:a16="http://schemas.microsoft.com/office/drawing/2014/main" id="{4C98EFB9-81E5-4440-B447-71670BE621A9}"/>
            </a:ext>
          </a:extLst>
        </xdr:cNvPr>
        <xdr:cNvSpPr txBox="1"/>
      </xdr:nvSpPr>
      <xdr:spPr>
        <a:xfrm>
          <a:off x="12825741" y="987142"/>
          <a:ext cx="1321858" cy="291834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900" b="1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개발대응 </a:t>
          </a:r>
          <a:endParaRPr sz="1400"/>
        </a:p>
      </xdr:txBody>
    </xdr:sp>
    <xdr:clientData fLocksWithSheet="0"/>
  </xdr:oneCellAnchor>
  <xdr:oneCellAnchor>
    <xdr:from>
      <xdr:col>11</xdr:col>
      <xdr:colOff>49743</xdr:colOff>
      <xdr:row>2</xdr:row>
      <xdr:rowOff>390713</xdr:rowOff>
    </xdr:from>
    <xdr:ext cx="1405465" cy="491376"/>
    <xdr:sp macro="" textlink="">
      <xdr:nvSpPr>
        <xdr:cNvPr id="12" name="Shape 28">
          <a:extLst>
            <a:ext uri="{FF2B5EF4-FFF2-40B4-BE49-F238E27FC236}">
              <a16:creationId xmlns:a16="http://schemas.microsoft.com/office/drawing/2014/main" id="{04EBA63C-6B9E-2E4C-AA60-2B06C0C64DE1}"/>
            </a:ext>
          </a:extLst>
        </xdr:cNvPr>
        <xdr:cNvSpPr txBox="1"/>
      </xdr:nvSpPr>
      <xdr:spPr>
        <a:xfrm>
          <a:off x="7149502" y="803846"/>
          <a:ext cx="1405465" cy="491376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900" b="1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요구기능 분석, IA설계</a:t>
          </a:r>
          <a:r>
            <a:rPr lang="en-US" altLang="ko-KR" sz="900" b="1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,</a:t>
          </a:r>
          <a:r>
            <a:rPr lang="ko-KR" altLang="en-US" sz="900" b="1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 </a:t>
          </a:r>
          <a:r>
            <a:rPr lang="en-US" sz="900" b="1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WBS, 가이드 정의</a:t>
          </a:r>
          <a:endParaRPr sz="900" b="1"/>
        </a:p>
      </xdr:txBody>
    </xdr:sp>
    <xdr:clientData fLocksWithSheet="0"/>
  </xdr:oneCellAnchor>
  <xdr:oneCellAnchor>
    <xdr:from>
      <xdr:col>11</xdr:col>
      <xdr:colOff>38783</xdr:colOff>
      <xdr:row>3</xdr:row>
      <xdr:rowOff>448790</xdr:rowOff>
    </xdr:from>
    <xdr:ext cx="1422482" cy="132655"/>
    <xdr:sp macro="" textlink="">
      <xdr:nvSpPr>
        <xdr:cNvPr id="13" name="Shape 3">
          <a:extLst>
            <a:ext uri="{FF2B5EF4-FFF2-40B4-BE49-F238E27FC236}">
              <a16:creationId xmlns:a16="http://schemas.microsoft.com/office/drawing/2014/main" id="{BCA07D50-8301-D04A-B808-4B882CBF486C}"/>
            </a:ext>
          </a:extLst>
        </xdr:cNvPr>
        <xdr:cNvSpPr/>
      </xdr:nvSpPr>
      <xdr:spPr>
        <a:xfrm rot="-5400000">
          <a:off x="7783455" y="637793"/>
          <a:ext cx="132655" cy="1422482"/>
        </a:xfrm>
        <a:prstGeom prst="rightBrace">
          <a:avLst>
            <a:gd name="adj1" fmla="val 64549"/>
            <a:gd name="adj2" fmla="val 50000"/>
          </a:avLst>
        </a:prstGeom>
        <a:noFill/>
        <a:ln w="1905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>
  <xdr:oneCellAnchor>
    <xdr:from>
      <xdr:col>11</xdr:col>
      <xdr:colOff>95250</xdr:colOff>
      <xdr:row>3</xdr:row>
      <xdr:rowOff>723900</xdr:rowOff>
    </xdr:from>
    <xdr:ext cx="2533650" cy="333375"/>
    <xdr:sp macro="" textlink="">
      <xdr:nvSpPr>
        <xdr:cNvPr id="3" name="Shape 3">
          <a:extLst>
            <a:ext uri="{FF2B5EF4-FFF2-40B4-BE49-F238E27FC236}">
              <a16:creationId xmlns:a16="http://schemas.microsoft.com/office/drawing/2014/main" id="{00000000-0008-0000-0400-000003000000}"/>
            </a:ext>
          </a:extLst>
        </xdr:cNvPr>
        <xdr:cNvSpPr/>
      </xdr:nvSpPr>
      <xdr:spPr>
        <a:xfrm rot="-5400000">
          <a:off x="5188838" y="2522700"/>
          <a:ext cx="314325" cy="2514600"/>
        </a:xfrm>
        <a:prstGeom prst="rightBrace">
          <a:avLst>
            <a:gd name="adj1" fmla="val 8333"/>
            <a:gd name="adj2" fmla="val 50000"/>
          </a:avLst>
        </a:prstGeom>
        <a:noFill/>
        <a:ln w="1905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15</xdr:col>
      <xdr:colOff>238125</xdr:colOff>
      <xdr:row>3</xdr:row>
      <xdr:rowOff>419100</xdr:rowOff>
    </xdr:from>
    <xdr:ext cx="1076325" cy="295275"/>
    <xdr:sp macro="" textlink="">
      <xdr:nvSpPr>
        <xdr:cNvPr id="27" name="Shape 27">
          <a:extLst>
            <a:ext uri="{FF2B5EF4-FFF2-40B4-BE49-F238E27FC236}">
              <a16:creationId xmlns:a16="http://schemas.microsoft.com/office/drawing/2014/main" id="{00000000-0008-0000-0400-00001B000000}"/>
            </a:ext>
          </a:extLst>
        </xdr:cNvPr>
        <xdr:cNvSpPr txBox="1"/>
      </xdr:nvSpPr>
      <xdr:spPr>
        <a:xfrm>
          <a:off x="4811880" y="3634063"/>
          <a:ext cx="1068241" cy="2918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900" b="1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상세 설게/디자인</a:t>
          </a:r>
          <a:endParaRPr sz="1400"/>
        </a:p>
      </xdr:txBody>
    </xdr:sp>
    <xdr:clientData fLocksWithSheet="0"/>
  </xdr:oneCellAnchor>
  <xdr:oneCellAnchor>
    <xdr:from>
      <xdr:col>11</xdr:col>
      <xdr:colOff>285750</xdr:colOff>
      <xdr:row>3</xdr:row>
      <xdr:rowOff>238125</xdr:rowOff>
    </xdr:from>
    <xdr:ext cx="2381250" cy="495300"/>
    <xdr:sp macro="" textlink="">
      <xdr:nvSpPr>
        <xdr:cNvPr id="28" name="Shape 28">
          <a:extLst>
            <a:ext uri="{FF2B5EF4-FFF2-40B4-BE49-F238E27FC236}">
              <a16:creationId xmlns:a16="http://schemas.microsoft.com/office/drawing/2014/main" id="{00000000-0008-0000-0400-00001C000000}"/>
            </a:ext>
          </a:extLst>
        </xdr:cNvPr>
        <xdr:cNvSpPr txBox="1"/>
      </xdr:nvSpPr>
      <xdr:spPr>
        <a:xfrm>
          <a:off x="4158207" y="3534292"/>
          <a:ext cx="2375587" cy="491417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900" b="1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요구기능 분석, 서비스 기획 및 IA설계</a:t>
          </a:r>
          <a:endParaRPr sz="900" b="1"/>
        </a:p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900" b="1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WBS, 디자인 프로토타입(시안), 가이드 정의</a:t>
          </a:r>
          <a:endParaRPr sz="900" b="1"/>
        </a:p>
      </xdr:txBody>
    </xdr:sp>
    <xdr:clientData fLocksWithSheet="0"/>
  </xdr:oneCellAnchor>
  <xdr:oneCellAnchor>
    <xdr:from>
      <xdr:col>15</xdr:col>
      <xdr:colOff>66675</xdr:colOff>
      <xdr:row>3</xdr:row>
      <xdr:rowOff>723900</xdr:rowOff>
    </xdr:from>
    <xdr:ext cx="1333500" cy="333375"/>
    <xdr:sp macro="" textlink="">
      <xdr:nvSpPr>
        <xdr:cNvPr id="15" name="Shape 15">
          <a:extLst>
            <a:ext uri="{FF2B5EF4-FFF2-40B4-BE49-F238E27FC236}">
              <a16:creationId xmlns:a16="http://schemas.microsoft.com/office/drawing/2014/main" id="{00000000-0008-0000-0400-00000F000000}"/>
            </a:ext>
          </a:extLst>
        </xdr:cNvPr>
        <xdr:cNvSpPr/>
      </xdr:nvSpPr>
      <xdr:spPr>
        <a:xfrm rot="-5400000">
          <a:off x="5188838" y="3122775"/>
          <a:ext cx="314325" cy="1314450"/>
        </a:xfrm>
        <a:prstGeom prst="rightBrace">
          <a:avLst>
            <a:gd name="adj1" fmla="val 8333"/>
            <a:gd name="adj2" fmla="val 50000"/>
          </a:avLst>
        </a:prstGeom>
        <a:noFill/>
        <a:ln w="1905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25</xdr:col>
      <xdr:colOff>38100</xdr:colOff>
      <xdr:row>3</xdr:row>
      <xdr:rowOff>752475</xdr:rowOff>
    </xdr:from>
    <xdr:ext cx="647700" cy="238125"/>
    <xdr:sp macro="" textlink="">
      <xdr:nvSpPr>
        <xdr:cNvPr id="16" name="Shape 16">
          <a:extLst>
            <a:ext uri="{FF2B5EF4-FFF2-40B4-BE49-F238E27FC236}">
              <a16:creationId xmlns:a16="http://schemas.microsoft.com/office/drawing/2014/main" id="{00000000-0008-0000-0400-000010000000}"/>
            </a:ext>
          </a:extLst>
        </xdr:cNvPr>
        <xdr:cNvSpPr/>
      </xdr:nvSpPr>
      <xdr:spPr>
        <a:xfrm rot="-5400000">
          <a:off x="5236463" y="3465675"/>
          <a:ext cx="219075" cy="628650"/>
        </a:xfrm>
        <a:prstGeom prst="rightBrace">
          <a:avLst>
            <a:gd name="adj1" fmla="val 8333"/>
            <a:gd name="adj2" fmla="val 50000"/>
          </a:avLst>
        </a:prstGeom>
        <a:noFill/>
        <a:ln w="1905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24</xdr:col>
      <xdr:colOff>685800</xdr:colOff>
      <xdr:row>3</xdr:row>
      <xdr:rowOff>438150</xdr:rowOff>
    </xdr:from>
    <xdr:ext cx="819150" cy="295275"/>
    <xdr:sp macro="" textlink="">
      <xdr:nvSpPr>
        <xdr:cNvPr id="29" name="Shape 29">
          <a:extLst>
            <a:ext uri="{FF2B5EF4-FFF2-40B4-BE49-F238E27FC236}">
              <a16:creationId xmlns:a16="http://schemas.microsoft.com/office/drawing/2014/main" id="{00000000-0008-0000-0400-00001D000000}"/>
            </a:ext>
          </a:extLst>
        </xdr:cNvPr>
        <xdr:cNvSpPr txBox="1"/>
      </xdr:nvSpPr>
      <xdr:spPr>
        <a:xfrm>
          <a:off x="4940344" y="3634063"/>
          <a:ext cx="811312" cy="2918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900" b="1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오픈/안정화</a:t>
          </a:r>
          <a:endParaRPr sz="1400"/>
        </a:p>
      </xdr:txBody>
    </xdr:sp>
    <xdr:clientData fLocksWithSheet="0"/>
  </xdr:oneCellAnchor>
  <xdr:oneCellAnchor>
    <xdr:from>
      <xdr:col>22</xdr:col>
      <xdr:colOff>47625</xdr:colOff>
      <xdr:row>3</xdr:row>
      <xdr:rowOff>733425</xdr:rowOff>
    </xdr:from>
    <xdr:ext cx="1933575" cy="257175"/>
    <xdr:sp macro="" textlink="">
      <xdr:nvSpPr>
        <xdr:cNvPr id="18" name="Shape 18">
          <a:extLst>
            <a:ext uri="{FF2B5EF4-FFF2-40B4-BE49-F238E27FC236}">
              <a16:creationId xmlns:a16="http://schemas.microsoft.com/office/drawing/2014/main" id="{00000000-0008-0000-0400-000012000000}"/>
            </a:ext>
          </a:extLst>
        </xdr:cNvPr>
        <xdr:cNvSpPr/>
      </xdr:nvSpPr>
      <xdr:spPr>
        <a:xfrm rot="-5400000">
          <a:off x="5226938" y="2822738"/>
          <a:ext cx="238125" cy="1914525"/>
        </a:xfrm>
        <a:prstGeom prst="rightBrace">
          <a:avLst>
            <a:gd name="adj1" fmla="val 8333"/>
            <a:gd name="adj2" fmla="val 50000"/>
          </a:avLst>
        </a:prstGeom>
        <a:noFill/>
        <a:ln w="1905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22</xdr:col>
      <xdr:colOff>704850</xdr:colOff>
      <xdr:row>3</xdr:row>
      <xdr:rowOff>438150</xdr:rowOff>
    </xdr:from>
    <xdr:ext cx="762000" cy="295275"/>
    <xdr:sp macro="" textlink="">
      <xdr:nvSpPr>
        <xdr:cNvPr id="30" name="Shape 30">
          <a:extLst>
            <a:ext uri="{FF2B5EF4-FFF2-40B4-BE49-F238E27FC236}">
              <a16:creationId xmlns:a16="http://schemas.microsoft.com/office/drawing/2014/main" id="{00000000-0008-0000-0400-00001E000000}"/>
            </a:ext>
          </a:extLst>
        </xdr:cNvPr>
        <xdr:cNvSpPr txBox="1"/>
      </xdr:nvSpPr>
      <xdr:spPr>
        <a:xfrm>
          <a:off x="4965127" y="3634063"/>
          <a:ext cx="761747" cy="2918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900" b="1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통합테스트</a:t>
          </a:r>
          <a:endParaRPr sz="1400"/>
        </a:p>
      </xdr:txBody>
    </xdr:sp>
    <xdr:clientData fLocksWithSheet="0"/>
  </xdr:oneCellAnchor>
  <xdr:oneCellAnchor>
    <xdr:from>
      <xdr:col>17</xdr:col>
      <xdr:colOff>47625</xdr:colOff>
      <xdr:row>3</xdr:row>
      <xdr:rowOff>781050</xdr:rowOff>
    </xdr:from>
    <xdr:ext cx="3257550" cy="276225"/>
    <xdr:sp macro="" textlink="">
      <xdr:nvSpPr>
        <xdr:cNvPr id="20" name="Shape 20">
          <a:extLst>
            <a:ext uri="{FF2B5EF4-FFF2-40B4-BE49-F238E27FC236}">
              <a16:creationId xmlns:a16="http://schemas.microsoft.com/office/drawing/2014/main" id="{00000000-0008-0000-0400-000014000000}"/>
            </a:ext>
          </a:extLst>
        </xdr:cNvPr>
        <xdr:cNvSpPr/>
      </xdr:nvSpPr>
      <xdr:spPr>
        <a:xfrm rot="-5400000">
          <a:off x="5217413" y="2160750"/>
          <a:ext cx="257175" cy="3238500"/>
        </a:xfrm>
        <a:prstGeom prst="rightBrace">
          <a:avLst>
            <a:gd name="adj1" fmla="val 8333"/>
            <a:gd name="adj2" fmla="val 50250"/>
          </a:avLst>
        </a:prstGeom>
        <a:noFill/>
        <a:ln w="1905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19</xdr:col>
      <xdr:colOff>95250</xdr:colOff>
      <xdr:row>3</xdr:row>
      <xdr:rowOff>438150</xdr:rowOff>
    </xdr:from>
    <xdr:ext cx="676275" cy="295275"/>
    <xdr:sp macro="" textlink="">
      <xdr:nvSpPr>
        <xdr:cNvPr id="31" name="Shape 31">
          <a:extLst>
            <a:ext uri="{FF2B5EF4-FFF2-40B4-BE49-F238E27FC236}">
              <a16:creationId xmlns:a16="http://schemas.microsoft.com/office/drawing/2014/main" id="{00000000-0008-0000-0400-00001F000000}"/>
            </a:ext>
          </a:extLst>
        </xdr:cNvPr>
        <xdr:cNvSpPr txBox="1"/>
      </xdr:nvSpPr>
      <xdr:spPr>
        <a:xfrm>
          <a:off x="5009786" y="3634063"/>
          <a:ext cx="672428" cy="2918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900" b="1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개발대응 </a:t>
          </a:r>
          <a:endParaRPr sz="1400"/>
        </a:p>
      </xdr:txBody>
    </xdr:sp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>
  <xdr:oneCellAnchor>
    <xdr:from>
      <xdr:col>12</xdr:col>
      <xdr:colOff>474133</xdr:colOff>
      <xdr:row>3</xdr:row>
      <xdr:rowOff>723899</xdr:rowOff>
    </xdr:from>
    <xdr:ext cx="1540935" cy="333375"/>
    <xdr:sp macro="" textlink="">
      <xdr:nvSpPr>
        <xdr:cNvPr id="2" name="Shape 3">
          <a:extLst>
            <a:ext uri="{FF2B5EF4-FFF2-40B4-BE49-F238E27FC236}">
              <a16:creationId xmlns:a16="http://schemas.microsoft.com/office/drawing/2014/main" id="{D637BC4A-815B-714F-AEFC-59FDD1CC9A5F}"/>
            </a:ext>
          </a:extLst>
        </xdr:cNvPr>
        <xdr:cNvSpPr/>
      </xdr:nvSpPr>
      <xdr:spPr>
        <a:xfrm rot="-5400000">
          <a:off x="7497763" y="977369"/>
          <a:ext cx="333375" cy="1540935"/>
        </a:xfrm>
        <a:prstGeom prst="rightBrace">
          <a:avLst>
            <a:gd name="adj1" fmla="val 175952"/>
            <a:gd name="adj2" fmla="val 50000"/>
          </a:avLst>
        </a:prstGeom>
        <a:noFill/>
        <a:ln w="1905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15</xdr:col>
      <xdr:colOff>452438</xdr:colOff>
      <xdr:row>3</xdr:row>
      <xdr:rowOff>463550</xdr:rowOff>
    </xdr:from>
    <xdr:ext cx="1076325" cy="295275"/>
    <xdr:sp macro="" textlink="">
      <xdr:nvSpPr>
        <xdr:cNvPr id="3" name="Shape 27">
          <a:extLst>
            <a:ext uri="{FF2B5EF4-FFF2-40B4-BE49-F238E27FC236}">
              <a16:creationId xmlns:a16="http://schemas.microsoft.com/office/drawing/2014/main" id="{5F4E91C5-52C9-D246-B78A-7BB70E6B300E}"/>
            </a:ext>
          </a:extLst>
        </xdr:cNvPr>
        <xdr:cNvSpPr txBox="1"/>
      </xdr:nvSpPr>
      <xdr:spPr>
        <a:xfrm>
          <a:off x="8843963" y="1320800"/>
          <a:ext cx="1076325" cy="2952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900" b="1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상세 설게</a:t>
          </a:r>
          <a:r>
            <a:rPr lang="en-US" altLang="ko-KR" sz="900" b="1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,</a:t>
          </a:r>
          <a:r>
            <a:rPr lang="ko-KR" altLang="en-US" sz="900" b="1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 디자인</a:t>
          </a:r>
          <a:endParaRPr sz="1400"/>
        </a:p>
      </xdr:txBody>
    </xdr:sp>
    <xdr:clientData fLocksWithSheet="0"/>
  </xdr:oneCellAnchor>
  <xdr:oneCellAnchor>
    <xdr:from>
      <xdr:col>12</xdr:col>
      <xdr:colOff>558797</xdr:colOff>
      <xdr:row>3</xdr:row>
      <xdr:rowOff>267449</xdr:rowOff>
    </xdr:from>
    <xdr:ext cx="1329268" cy="491376"/>
    <xdr:sp macro="" textlink="">
      <xdr:nvSpPr>
        <xdr:cNvPr id="4" name="Shape 28">
          <a:extLst>
            <a:ext uri="{FF2B5EF4-FFF2-40B4-BE49-F238E27FC236}">
              <a16:creationId xmlns:a16="http://schemas.microsoft.com/office/drawing/2014/main" id="{93B237AB-FB05-CE4A-976E-8072BE6B7E29}"/>
            </a:ext>
          </a:extLst>
        </xdr:cNvPr>
        <xdr:cNvSpPr txBox="1"/>
      </xdr:nvSpPr>
      <xdr:spPr>
        <a:xfrm>
          <a:off x="6978647" y="1124699"/>
          <a:ext cx="1329268" cy="491376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900" b="1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디자인</a:t>
          </a:r>
          <a:r>
            <a:rPr lang="ko-KR" altLang="en-US" sz="900" b="1" baseline="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 </a:t>
          </a:r>
          <a:r>
            <a:rPr lang="en-US" sz="900" b="1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시안</a:t>
          </a:r>
        </a:p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ko-KR" altLang="en-US" sz="900" b="1">
              <a:solidFill>
                <a:schemeClr val="dk1"/>
              </a:solidFill>
              <a:latin typeface="Calibri"/>
              <a:cs typeface="Calibri"/>
              <a:sym typeface="Calibri"/>
            </a:rPr>
            <a:t>와이어프레임 설게</a:t>
          </a:r>
          <a:endParaRPr sz="900" b="1"/>
        </a:p>
      </xdr:txBody>
    </xdr:sp>
    <xdr:clientData fLocksWithSheet="0"/>
  </xdr:oneCellAnchor>
  <xdr:oneCellAnchor>
    <xdr:from>
      <xdr:col>14</xdr:col>
      <xdr:colOff>533402</xdr:colOff>
      <xdr:row>3</xdr:row>
      <xdr:rowOff>723899</xdr:rowOff>
    </xdr:from>
    <xdr:ext cx="2421465" cy="333375"/>
    <xdr:sp macro="" textlink="">
      <xdr:nvSpPr>
        <xdr:cNvPr id="5" name="Shape 15">
          <a:extLst>
            <a:ext uri="{FF2B5EF4-FFF2-40B4-BE49-F238E27FC236}">
              <a16:creationId xmlns:a16="http://schemas.microsoft.com/office/drawing/2014/main" id="{8010EDCB-7C99-9E43-BC67-B6A877A71393}"/>
            </a:ext>
          </a:extLst>
        </xdr:cNvPr>
        <xdr:cNvSpPr/>
      </xdr:nvSpPr>
      <xdr:spPr>
        <a:xfrm rot="-5400000">
          <a:off x="9311747" y="537104"/>
          <a:ext cx="333375" cy="2421465"/>
        </a:xfrm>
        <a:prstGeom prst="rightBrace">
          <a:avLst>
            <a:gd name="adj1" fmla="val 74365"/>
            <a:gd name="adj2" fmla="val 50000"/>
          </a:avLst>
        </a:prstGeom>
        <a:noFill/>
        <a:ln w="1905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25</xdr:col>
      <xdr:colOff>38100</xdr:colOff>
      <xdr:row>3</xdr:row>
      <xdr:rowOff>819150</xdr:rowOff>
    </xdr:from>
    <xdr:ext cx="647700" cy="238125"/>
    <xdr:sp macro="" textlink="">
      <xdr:nvSpPr>
        <xdr:cNvPr id="6" name="Shape 16">
          <a:extLst>
            <a:ext uri="{FF2B5EF4-FFF2-40B4-BE49-F238E27FC236}">
              <a16:creationId xmlns:a16="http://schemas.microsoft.com/office/drawing/2014/main" id="{2A094B2D-BAFF-9840-90AB-71D8CE930C96}"/>
            </a:ext>
          </a:extLst>
        </xdr:cNvPr>
        <xdr:cNvSpPr/>
      </xdr:nvSpPr>
      <xdr:spPr>
        <a:xfrm rot="-5400000">
          <a:off x="15206662" y="1471613"/>
          <a:ext cx="238125" cy="647700"/>
        </a:xfrm>
        <a:prstGeom prst="rightBrace">
          <a:avLst>
            <a:gd name="adj1" fmla="val 68000"/>
            <a:gd name="adj2" fmla="val 50000"/>
          </a:avLst>
        </a:prstGeom>
        <a:noFill/>
        <a:ln w="1905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24</xdr:col>
      <xdr:colOff>685800</xdr:colOff>
      <xdr:row>3</xdr:row>
      <xdr:rowOff>438150</xdr:rowOff>
    </xdr:from>
    <xdr:ext cx="819150" cy="295275"/>
    <xdr:sp macro="" textlink="">
      <xdr:nvSpPr>
        <xdr:cNvPr id="7" name="Shape 29">
          <a:extLst>
            <a:ext uri="{FF2B5EF4-FFF2-40B4-BE49-F238E27FC236}">
              <a16:creationId xmlns:a16="http://schemas.microsoft.com/office/drawing/2014/main" id="{42D68BD3-295E-A54E-A8FA-4AD9E7C8D5DE}"/>
            </a:ext>
          </a:extLst>
        </xdr:cNvPr>
        <xdr:cNvSpPr txBox="1"/>
      </xdr:nvSpPr>
      <xdr:spPr>
        <a:xfrm>
          <a:off x="14963775" y="1295400"/>
          <a:ext cx="819150" cy="2952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900" b="1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오픈/안정화</a:t>
          </a:r>
          <a:endParaRPr sz="1400"/>
        </a:p>
      </xdr:txBody>
    </xdr:sp>
    <xdr:clientData fLocksWithSheet="0"/>
  </xdr:oneCellAnchor>
  <xdr:oneCellAnchor>
    <xdr:from>
      <xdr:col>22</xdr:col>
      <xdr:colOff>47625</xdr:colOff>
      <xdr:row>3</xdr:row>
      <xdr:rowOff>800101</xdr:rowOff>
    </xdr:from>
    <xdr:ext cx="1933575" cy="257175"/>
    <xdr:sp macro="" textlink="">
      <xdr:nvSpPr>
        <xdr:cNvPr id="8" name="Shape 18">
          <a:extLst>
            <a:ext uri="{FF2B5EF4-FFF2-40B4-BE49-F238E27FC236}">
              <a16:creationId xmlns:a16="http://schemas.microsoft.com/office/drawing/2014/main" id="{BC361CFB-5ECA-5048-B5C0-ACC8488104A8}"/>
            </a:ext>
          </a:extLst>
        </xdr:cNvPr>
        <xdr:cNvSpPr/>
      </xdr:nvSpPr>
      <xdr:spPr>
        <a:xfrm rot="-5400000">
          <a:off x="13877925" y="819151"/>
          <a:ext cx="257175" cy="1933575"/>
        </a:xfrm>
        <a:prstGeom prst="rightBrace">
          <a:avLst>
            <a:gd name="adj1" fmla="val 187963"/>
            <a:gd name="adj2" fmla="val 50000"/>
          </a:avLst>
        </a:prstGeom>
        <a:noFill/>
        <a:ln w="1905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22</xdr:col>
      <xdr:colOff>177800</xdr:colOff>
      <xdr:row>3</xdr:row>
      <xdr:rowOff>441591</xdr:rowOff>
    </xdr:from>
    <xdr:ext cx="1526116" cy="291834"/>
    <xdr:sp macro="" textlink="">
      <xdr:nvSpPr>
        <xdr:cNvPr id="9" name="Shape 30">
          <a:extLst>
            <a:ext uri="{FF2B5EF4-FFF2-40B4-BE49-F238E27FC236}">
              <a16:creationId xmlns:a16="http://schemas.microsoft.com/office/drawing/2014/main" id="{C83685A3-9647-A242-A99C-F2FB69A01CAF}"/>
            </a:ext>
          </a:extLst>
        </xdr:cNvPr>
        <xdr:cNvSpPr txBox="1"/>
      </xdr:nvSpPr>
      <xdr:spPr>
        <a:xfrm>
          <a:off x="13169900" y="1298841"/>
          <a:ext cx="1526116" cy="291834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900" b="1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통합테스트</a:t>
          </a:r>
          <a:r>
            <a:rPr lang="ko-KR" altLang="en-US" sz="900" b="1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 </a:t>
          </a:r>
          <a:r>
            <a:rPr lang="en-US" altLang="ko-KR" sz="900" b="1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(</a:t>
          </a:r>
          <a:r>
            <a:rPr lang="ko-KR" altLang="en-US" sz="900" b="1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개발대응만</a:t>
          </a:r>
          <a:r>
            <a:rPr lang="en-US" altLang="ko-KR" sz="900" b="1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)</a:t>
          </a:r>
          <a:endParaRPr sz="1400"/>
        </a:p>
      </xdr:txBody>
    </xdr:sp>
    <xdr:clientData fLocksWithSheet="0"/>
  </xdr:oneCellAnchor>
  <xdr:oneCellAnchor>
    <xdr:from>
      <xdr:col>17</xdr:col>
      <xdr:colOff>736603</xdr:colOff>
      <xdr:row>3</xdr:row>
      <xdr:rowOff>781050</xdr:rowOff>
    </xdr:from>
    <xdr:ext cx="2568572" cy="276225"/>
    <xdr:sp macro="" textlink="">
      <xdr:nvSpPr>
        <xdr:cNvPr id="10" name="Shape 20">
          <a:extLst>
            <a:ext uri="{FF2B5EF4-FFF2-40B4-BE49-F238E27FC236}">
              <a16:creationId xmlns:a16="http://schemas.microsoft.com/office/drawing/2014/main" id="{8C138C9B-676C-9847-BFC7-EB85D32624C8}"/>
            </a:ext>
          </a:extLst>
        </xdr:cNvPr>
        <xdr:cNvSpPr/>
      </xdr:nvSpPr>
      <xdr:spPr>
        <a:xfrm rot="-5400000">
          <a:off x="11512551" y="492127"/>
          <a:ext cx="276225" cy="2568572"/>
        </a:xfrm>
        <a:prstGeom prst="rightBrace">
          <a:avLst>
            <a:gd name="adj1" fmla="val 293353"/>
            <a:gd name="adj2" fmla="val 50250"/>
          </a:avLst>
        </a:prstGeom>
        <a:noFill/>
        <a:ln w="1905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18</xdr:col>
      <xdr:colOff>606425</xdr:colOff>
      <xdr:row>3</xdr:row>
      <xdr:rowOff>441591</xdr:rowOff>
    </xdr:from>
    <xdr:ext cx="1321858" cy="291834"/>
    <xdr:sp macro="" textlink="">
      <xdr:nvSpPr>
        <xdr:cNvPr id="11" name="Shape 31">
          <a:extLst>
            <a:ext uri="{FF2B5EF4-FFF2-40B4-BE49-F238E27FC236}">
              <a16:creationId xmlns:a16="http://schemas.microsoft.com/office/drawing/2014/main" id="{4C98EFB9-81E5-4440-B447-71670BE621A9}"/>
            </a:ext>
          </a:extLst>
        </xdr:cNvPr>
        <xdr:cNvSpPr txBox="1"/>
      </xdr:nvSpPr>
      <xdr:spPr>
        <a:xfrm>
          <a:off x="10969625" y="1298841"/>
          <a:ext cx="1321858" cy="291834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900" b="1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개발대응 </a:t>
          </a:r>
          <a:endParaRPr sz="1400"/>
        </a:p>
      </xdr:txBody>
    </xdr:sp>
    <xdr:clientData fLocksWithSheet="0"/>
  </xdr:oneCellAnchor>
  <xdr:oneCellAnchor>
    <xdr:from>
      <xdr:col>8</xdr:col>
      <xdr:colOff>584202</xdr:colOff>
      <xdr:row>3</xdr:row>
      <xdr:rowOff>267449</xdr:rowOff>
    </xdr:from>
    <xdr:ext cx="1405465" cy="491376"/>
    <xdr:sp macro="" textlink="">
      <xdr:nvSpPr>
        <xdr:cNvPr id="12" name="Shape 28">
          <a:extLst>
            <a:ext uri="{FF2B5EF4-FFF2-40B4-BE49-F238E27FC236}">
              <a16:creationId xmlns:a16="http://schemas.microsoft.com/office/drawing/2014/main" id="{04EBA63C-6B9E-2E4C-AA60-2B06C0C64DE1}"/>
            </a:ext>
          </a:extLst>
        </xdr:cNvPr>
        <xdr:cNvSpPr txBox="1"/>
      </xdr:nvSpPr>
      <xdr:spPr>
        <a:xfrm>
          <a:off x="5756277" y="1124699"/>
          <a:ext cx="1405465" cy="491376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900" b="1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요구기능 분석, IA설계</a:t>
          </a:r>
          <a:r>
            <a:rPr lang="en-US" altLang="ko-KR" sz="900" b="1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,</a:t>
          </a:r>
          <a:r>
            <a:rPr lang="ko-KR" altLang="en-US" sz="900" b="1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 </a:t>
          </a:r>
          <a:r>
            <a:rPr lang="en-US" sz="900" b="1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WBS, 가이드 정의</a:t>
          </a:r>
          <a:endParaRPr sz="900" b="1"/>
        </a:p>
      </xdr:txBody>
    </xdr:sp>
    <xdr:clientData fLocksWithSheet="0"/>
  </xdr:oneCellAnchor>
  <xdr:oneCellAnchor>
    <xdr:from>
      <xdr:col>11</xdr:col>
      <xdr:colOff>42338</xdr:colOff>
      <xdr:row>3</xdr:row>
      <xdr:rowOff>723899</xdr:rowOff>
    </xdr:from>
    <xdr:ext cx="1134530" cy="333375"/>
    <xdr:sp macro="" textlink="">
      <xdr:nvSpPr>
        <xdr:cNvPr id="13" name="Shape 3">
          <a:extLst>
            <a:ext uri="{FF2B5EF4-FFF2-40B4-BE49-F238E27FC236}">
              <a16:creationId xmlns:a16="http://schemas.microsoft.com/office/drawing/2014/main" id="{BCA07D50-8301-D04A-B808-4B882CBF486C}"/>
            </a:ext>
          </a:extLst>
        </xdr:cNvPr>
        <xdr:cNvSpPr/>
      </xdr:nvSpPr>
      <xdr:spPr>
        <a:xfrm rot="-5400000">
          <a:off x="6205540" y="1180572"/>
          <a:ext cx="333375" cy="1134530"/>
        </a:xfrm>
        <a:prstGeom prst="rightBrace">
          <a:avLst>
            <a:gd name="adj1" fmla="val 175952"/>
            <a:gd name="adj2" fmla="val 50000"/>
          </a:avLst>
        </a:prstGeom>
        <a:noFill/>
        <a:ln w="1905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/Users/&#52572;&#49849;&#51068;/Desktop/work_240122/241017_&#54788;&#45824;&#48177;&#54868;&#51216;_&#51228;&#50504;/@&#44204;&#51201;&#49436;/250102_&#49688;&#51221;&#48260;&#51204;/&#45908;&#54788;&#45824;&#45815;&#52980;%20NEW%20&#52964;&#47672;&#49828;%20&#54540;&#47019;&#54268;%20&#44396;&#52629;%20&#44204;&#51201;&#49436;_V0.4_250102_&#48148;&#51060;&#45328;&#50472;(&#51064;&#47141;&#48324;&#48516;&#47532;)_25011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2_인건비"/>
      <sheetName val="3_인건비외"/>
      <sheetName val="1_총견적"/>
      <sheetName val="2_투입계획"/>
      <sheetName val="기준"/>
      <sheetName val="개정내역"/>
    </sheetNames>
    <sheetDataSet>
      <sheetData sheetId="0"/>
      <sheetData sheetId="1"/>
      <sheetData sheetId="2"/>
      <sheetData sheetId="3"/>
      <sheetData sheetId="4">
        <row r="28">
          <cell r="B28" t="str">
            <v>임금조사연도</v>
          </cell>
        </row>
        <row r="29">
          <cell r="B29" t="str">
            <v>인상율</v>
          </cell>
        </row>
        <row r="30">
          <cell r="B30" t="str">
            <v>기술사</v>
          </cell>
        </row>
        <row r="31">
          <cell r="B31" t="str">
            <v>특급</v>
          </cell>
        </row>
        <row r="32">
          <cell r="B32" t="str">
            <v>고급</v>
          </cell>
        </row>
        <row r="33">
          <cell r="B33" t="str">
            <v>중급</v>
          </cell>
        </row>
        <row r="34">
          <cell r="B34" t="str">
            <v>초급</v>
          </cell>
        </row>
      </sheetData>
      <sheetData sheetId="5"/>
    </sheetDataSet>
  </externalBook>
</externalLink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K1000"/>
  <sheetViews>
    <sheetView showGridLines="0" zoomScale="80" zoomScaleNormal="80" workbookViewId="0">
      <pane xSplit="11" ySplit="6" topLeftCell="L7" activePane="bottomRight" state="frozen"/>
      <selection pane="topRight"/>
      <selection pane="bottomLeft"/>
      <selection pane="bottomRight" activeCell="A46" sqref="A46:XFD46"/>
    </sheetView>
  </sheetViews>
  <sheetFormatPr baseColWidth="10" defaultColWidth="14.5" defaultRowHeight="15" customHeight="1"/>
  <cols>
    <col min="1" max="1" width="3.1640625" customWidth="1"/>
    <col min="2" max="2" width="2.1640625" customWidth="1"/>
    <col min="3" max="3" width="8.83203125" customWidth="1"/>
    <col min="4" max="4" width="24" customWidth="1"/>
    <col min="5" max="9" width="8.83203125" customWidth="1"/>
    <col min="10" max="11" width="8.83203125" hidden="1" customWidth="1"/>
    <col min="12" max="26" width="9.83203125" customWidth="1"/>
    <col min="27" max="34" width="8.83203125" hidden="1" customWidth="1"/>
    <col min="35" max="35" width="8.83203125" customWidth="1"/>
    <col min="36" max="36" width="3.1640625" customWidth="1"/>
    <col min="37" max="37" width="8.83203125" customWidth="1"/>
  </cols>
  <sheetData>
    <row r="1" spans="1:37" ht="16.5" customHeight="1">
      <c r="A1" s="19"/>
      <c r="B1" s="19"/>
      <c r="C1" s="19"/>
      <c r="D1" s="19"/>
      <c r="E1" s="20"/>
      <c r="F1" s="20"/>
      <c r="G1" s="20"/>
      <c r="H1" s="20"/>
      <c r="I1" s="19"/>
      <c r="J1" s="19"/>
      <c r="K1" s="19"/>
      <c r="L1" s="20"/>
      <c r="M1" s="20"/>
      <c r="N1" s="20"/>
      <c r="O1" s="20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19"/>
      <c r="AK1" s="19"/>
    </row>
    <row r="2" spans="1:37" ht="16.5" customHeight="1">
      <c r="A2" s="19"/>
      <c r="B2" s="21"/>
      <c r="C2" s="22"/>
      <c r="D2" s="22"/>
      <c r="E2" s="23"/>
      <c r="F2" s="23"/>
      <c r="G2" s="23"/>
      <c r="H2" s="23"/>
      <c r="I2" s="22"/>
      <c r="J2" s="22"/>
      <c r="K2" s="22"/>
      <c r="L2" s="23"/>
      <c r="M2" s="23"/>
      <c r="N2" s="23"/>
      <c r="O2" s="23"/>
      <c r="P2" s="23"/>
      <c r="Q2" s="23"/>
      <c r="R2" s="23"/>
      <c r="S2" s="23"/>
      <c r="T2" s="23"/>
      <c r="U2" s="23"/>
      <c r="V2" s="23"/>
      <c r="W2" s="23"/>
      <c r="X2" s="23"/>
      <c r="Y2" s="23"/>
      <c r="Z2" s="23"/>
      <c r="AA2" s="23"/>
      <c r="AB2" s="23"/>
      <c r="AC2" s="23"/>
      <c r="AD2" s="23"/>
      <c r="AE2" s="23"/>
      <c r="AF2" s="23"/>
      <c r="AG2" s="23"/>
      <c r="AH2" s="23"/>
      <c r="AI2" s="23"/>
      <c r="AJ2" s="24"/>
      <c r="AK2" s="19"/>
    </row>
    <row r="3" spans="1:37" ht="32">
      <c r="A3" s="19"/>
      <c r="B3" s="25"/>
      <c r="C3" s="392" t="s">
        <v>23</v>
      </c>
      <c r="D3" s="393"/>
      <c r="E3" s="393"/>
      <c r="F3" s="393"/>
      <c r="G3" s="393"/>
      <c r="H3" s="393"/>
      <c r="I3" s="393"/>
      <c r="J3" s="393"/>
      <c r="K3" s="393"/>
      <c r="L3" s="393"/>
      <c r="M3" s="393"/>
      <c r="N3" s="393"/>
      <c r="O3" s="393"/>
      <c r="P3" s="393"/>
      <c r="Q3" s="393"/>
      <c r="R3" s="393"/>
      <c r="S3" s="393"/>
      <c r="T3" s="393"/>
      <c r="U3" s="393"/>
      <c r="V3" s="393"/>
      <c r="W3" s="393"/>
      <c r="X3" s="393"/>
      <c r="Y3" s="393"/>
      <c r="Z3" s="393"/>
      <c r="AA3" s="393"/>
      <c r="AB3" s="393"/>
      <c r="AC3" s="393"/>
      <c r="AD3" s="393"/>
      <c r="AE3" s="393"/>
      <c r="AF3" s="393"/>
      <c r="AG3" s="393"/>
      <c r="AH3" s="393"/>
      <c r="AI3" s="394"/>
      <c r="AJ3" s="26"/>
      <c r="AK3" s="19"/>
    </row>
    <row r="4" spans="1:37" ht="80.25" customHeight="1">
      <c r="A4" s="19"/>
      <c r="B4" s="25"/>
      <c r="C4" s="395">
        <v>45674</v>
      </c>
      <c r="D4" s="396"/>
      <c r="E4" s="27"/>
      <c r="F4" s="27"/>
      <c r="G4" s="27"/>
      <c r="H4" s="27"/>
      <c r="I4" s="27"/>
      <c r="J4" s="27"/>
      <c r="K4" s="27"/>
      <c r="L4" s="28"/>
      <c r="M4" s="28"/>
      <c r="N4" s="28"/>
      <c r="O4" s="28"/>
      <c r="P4" s="28"/>
      <c r="Q4" s="28"/>
      <c r="R4" s="28"/>
      <c r="S4" s="28"/>
      <c r="T4" s="28"/>
      <c r="U4" s="28"/>
      <c r="V4" s="28"/>
      <c r="W4" s="28"/>
      <c r="X4" s="28"/>
      <c r="Y4" s="28"/>
      <c r="Z4" s="28"/>
      <c r="AA4" s="28"/>
      <c r="AB4" s="28"/>
      <c r="AC4" s="28"/>
      <c r="AD4" s="28"/>
      <c r="AE4" s="28"/>
      <c r="AF4" s="28"/>
      <c r="AG4" s="28"/>
      <c r="AH4" s="28"/>
      <c r="AI4" s="28"/>
      <c r="AJ4" s="26"/>
      <c r="AK4" s="19"/>
    </row>
    <row r="5" spans="1:37" ht="16.5" customHeight="1">
      <c r="A5" s="19"/>
      <c r="B5" s="25"/>
      <c r="C5" s="29"/>
      <c r="D5" s="29"/>
      <c r="E5" s="30"/>
      <c r="F5" s="30"/>
      <c r="G5" s="30"/>
      <c r="H5" s="30"/>
      <c r="I5" s="30"/>
      <c r="J5" s="30"/>
      <c r="K5" s="31"/>
      <c r="L5" s="397"/>
      <c r="M5" s="398"/>
      <c r="N5" s="397"/>
      <c r="O5" s="398"/>
      <c r="P5" s="398"/>
      <c r="Q5" s="398"/>
      <c r="R5" s="398"/>
      <c r="S5" s="398"/>
      <c r="T5" s="398"/>
      <c r="U5" s="398"/>
      <c r="V5" s="398"/>
      <c r="W5" s="398"/>
      <c r="X5" s="32"/>
      <c r="Y5" s="32"/>
      <c r="Z5" s="32"/>
      <c r="AA5" s="32"/>
      <c r="AB5" s="32"/>
      <c r="AC5" s="32"/>
      <c r="AD5" s="32"/>
      <c r="AE5" s="32"/>
      <c r="AF5" s="32"/>
      <c r="AG5" s="32"/>
      <c r="AH5" s="32"/>
      <c r="AI5" s="32"/>
      <c r="AJ5" s="26"/>
      <c r="AK5" s="19"/>
    </row>
    <row r="6" spans="1:37" ht="30">
      <c r="A6" s="19"/>
      <c r="B6" s="25"/>
      <c r="C6" s="33" t="s">
        <v>24</v>
      </c>
      <c r="D6" s="33" t="s">
        <v>25</v>
      </c>
      <c r="E6" s="34" t="s">
        <v>26</v>
      </c>
      <c r="F6" s="34" t="s">
        <v>27</v>
      </c>
      <c r="G6" s="35" t="s">
        <v>28</v>
      </c>
      <c r="H6" s="34" t="s">
        <v>29</v>
      </c>
      <c r="I6" s="34" t="s">
        <v>30</v>
      </c>
      <c r="J6" s="34" t="s">
        <v>31</v>
      </c>
      <c r="K6" s="34" t="s">
        <v>32</v>
      </c>
      <c r="L6" s="36" t="s">
        <v>33</v>
      </c>
      <c r="M6" s="36" t="s">
        <v>34</v>
      </c>
      <c r="N6" s="36" t="s">
        <v>35</v>
      </c>
      <c r="O6" s="36" t="s">
        <v>36</v>
      </c>
      <c r="P6" s="36" t="s">
        <v>37</v>
      </c>
      <c r="Q6" s="36" t="s">
        <v>38</v>
      </c>
      <c r="R6" s="36" t="s">
        <v>39</v>
      </c>
      <c r="S6" s="36" t="s">
        <v>40</v>
      </c>
      <c r="T6" s="36" t="s">
        <v>41</v>
      </c>
      <c r="U6" s="36" t="s">
        <v>42</v>
      </c>
      <c r="V6" s="36" t="s">
        <v>43</v>
      </c>
      <c r="W6" s="36" t="s">
        <v>44</v>
      </c>
      <c r="X6" s="36" t="s">
        <v>45</v>
      </c>
      <c r="Y6" s="36" t="s">
        <v>46</v>
      </c>
      <c r="Z6" s="36" t="s">
        <v>47</v>
      </c>
      <c r="AA6" s="36"/>
      <c r="AB6" s="36"/>
      <c r="AC6" s="36"/>
      <c r="AD6" s="36"/>
      <c r="AE6" s="36"/>
      <c r="AF6" s="36"/>
      <c r="AG6" s="36"/>
      <c r="AH6" s="36"/>
      <c r="AI6" s="37" t="s">
        <v>48</v>
      </c>
      <c r="AJ6" s="26"/>
      <c r="AK6" s="19"/>
    </row>
    <row r="7" spans="1:37" ht="16.5" customHeight="1">
      <c r="A7" s="19"/>
      <c r="B7" s="25"/>
      <c r="C7" s="38" t="s">
        <v>49</v>
      </c>
      <c r="D7" s="39" t="s">
        <v>50</v>
      </c>
      <c r="E7" s="40" t="s">
        <v>51</v>
      </c>
      <c r="F7" s="40" t="s">
        <v>5</v>
      </c>
      <c r="G7" s="41" t="s">
        <v>52</v>
      </c>
      <c r="H7" s="42">
        <v>45691</v>
      </c>
      <c r="I7" s="42">
        <v>46127</v>
      </c>
      <c r="J7" s="42"/>
      <c r="K7" s="42"/>
      <c r="L7" s="43">
        <v>1</v>
      </c>
      <c r="M7" s="43">
        <v>1</v>
      </c>
      <c r="N7" s="43">
        <v>1</v>
      </c>
      <c r="O7" s="43">
        <v>1</v>
      </c>
      <c r="P7" s="43">
        <v>1</v>
      </c>
      <c r="Q7" s="43">
        <v>1</v>
      </c>
      <c r="R7" s="43">
        <v>1</v>
      </c>
      <c r="S7" s="43">
        <v>1</v>
      </c>
      <c r="T7" s="43">
        <v>1</v>
      </c>
      <c r="U7" s="43">
        <v>1</v>
      </c>
      <c r="V7" s="43">
        <v>1</v>
      </c>
      <c r="W7" s="43">
        <v>1</v>
      </c>
      <c r="X7" s="43">
        <v>1</v>
      </c>
      <c r="Y7" s="43">
        <v>1</v>
      </c>
      <c r="Z7" s="43">
        <v>0.5</v>
      </c>
      <c r="AA7" s="44"/>
      <c r="AB7" s="44"/>
      <c r="AC7" s="44"/>
      <c r="AD7" s="44"/>
      <c r="AE7" s="44"/>
      <c r="AF7" s="44"/>
      <c r="AG7" s="44"/>
      <c r="AH7" s="44"/>
      <c r="AI7" s="45">
        <f t="shared" ref="AI7:AI14" si="0">SUM(L7:AH7)</f>
        <v>14.5</v>
      </c>
      <c r="AJ7" s="26"/>
      <c r="AK7" s="19"/>
    </row>
    <row r="8" spans="1:37" ht="16.5" customHeight="1">
      <c r="A8" s="19"/>
      <c r="B8" s="25"/>
      <c r="C8" s="38" t="s">
        <v>53</v>
      </c>
      <c r="D8" s="39" t="s">
        <v>54</v>
      </c>
      <c r="E8" s="40" t="s">
        <v>51</v>
      </c>
      <c r="F8" s="40" t="s">
        <v>4</v>
      </c>
      <c r="G8" s="41" t="s">
        <v>52</v>
      </c>
      <c r="H8" s="42">
        <v>45705</v>
      </c>
      <c r="I8" s="42">
        <v>46127</v>
      </c>
      <c r="J8" s="42"/>
      <c r="K8" s="42"/>
      <c r="L8" s="46">
        <v>0.5</v>
      </c>
      <c r="M8" s="43">
        <v>1</v>
      </c>
      <c r="N8" s="43">
        <v>1</v>
      </c>
      <c r="O8" s="43">
        <v>1</v>
      </c>
      <c r="P8" s="43">
        <v>1</v>
      </c>
      <c r="Q8" s="43">
        <v>1</v>
      </c>
      <c r="R8" s="43">
        <v>1</v>
      </c>
      <c r="S8" s="43">
        <v>1</v>
      </c>
      <c r="T8" s="43">
        <v>1</v>
      </c>
      <c r="U8" s="43">
        <v>1</v>
      </c>
      <c r="V8" s="43">
        <v>1</v>
      </c>
      <c r="W8" s="43">
        <v>1</v>
      </c>
      <c r="X8" s="43">
        <v>1</v>
      </c>
      <c r="Y8" s="43">
        <v>1</v>
      </c>
      <c r="Z8" s="43">
        <v>0.5</v>
      </c>
      <c r="AA8" s="44"/>
      <c r="AB8" s="44"/>
      <c r="AC8" s="44"/>
      <c r="AD8" s="44"/>
      <c r="AE8" s="44"/>
      <c r="AF8" s="44"/>
      <c r="AG8" s="44"/>
      <c r="AH8" s="44"/>
      <c r="AI8" s="45">
        <f t="shared" si="0"/>
        <v>14</v>
      </c>
      <c r="AJ8" s="26"/>
      <c r="AK8" s="19"/>
    </row>
    <row r="9" spans="1:37" ht="16.5" customHeight="1">
      <c r="A9" s="19"/>
      <c r="B9" s="25"/>
      <c r="C9" s="47"/>
      <c r="D9" s="385" t="s">
        <v>55</v>
      </c>
      <c r="E9" s="40" t="s">
        <v>51</v>
      </c>
      <c r="F9" s="40" t="s">
        <v>9</v>
      </c>
      <c r="G9" s="41" t="s">
        <v>52</v>
      </c>
      <c r="H9" s="42">
        <v>45691</v>
      </c>
      <c r="I9" s="42">
        <v>46096</v>
      </c>
      <c r="J9" s="42"/>
      <c r="K9" s="42"/>
      <c r="L9" s="43">
        <v>1</v>
      </c>
      <c r="M9" s="43">
        <v>1</v>
      </c>
      <c r="N9" s="43">
        <v>1</v>
      </c>
      <c r="O9" s="43">
        <v>1</v>
      </c>
      <c r="P9" s="43">
        <v>1</v>
      </c>
      <c r="Q9" s="43">
        <v>1</v>
      </c>
      <c r="R9" s="43">
        <v>1</v>
      </c>
      <c r="S9" s="43">
        <v>1</v>
      </c>
      <c r="T9" s="43">
        <v>1</v>
      </c>
      <c r="U9" s="43">
        <v>1</v>
      </c>
      <c r="V9" s="43">
        <v>1</v>
      </c>
      <c r="W9" s="43">
        <v>1</v>
      </c>
      <c r="X9" s="43">
        <v>1</v>
      </c>
      <c r="Y9" s="43">
        <v>0.5</v>
      </c>
      <c r="Z9" s="43"/>
      <c r="AA9" s="44"/>
      <c r="AB9" s="44"/>
      <c r="AC9" s="44"/>
      <c r="AD9" s="44"/>
      <c r="AE9" s="44"/>
      <c r="AF9" s="44"/>
      <c r="AG9" s="44"/>
      <c r="AH9" s="44"/>
      <c r="AI9" s="45">
        <f t="shared" si="0"/>
        <v>13.5</v>
      </c>
      <c r="AJ9" s="26"/>
      <c r="AK9" s="19"/>
    </row>
    <row r="10" spans="1:37" ht="16.5" customHeight="1">
      <c r="A10" s="19"/>
      <c r="B10" s="25"/>
      <c r="C10" s="47"/>
      <c r="D10" s="383"/>
      <c r="E10" s="40" t="s">
        <v>51</v>
      </c>
      <c r="F10" s="40" t="s">
        <v>8</v>
      </c>
      <c r="G10" s="48" t="s">
        <v>56</v>
      </c>
      <c r="H10" s="42">
        <v>45691</v>
      </c>
      <c r="I10" s="49">
        <v>46081</v>
      </c>
      <c r="J10" s="42"/>
      <c r="K10" s="42"/>
      <c r="L10" s="43">
        <v>1</v>
      </c>
      <c r="M10" s="43">
        <v>1</v>
      </c>
      <c r="N10" s="43">
        <v>1</v>
      </c>
      <c r="O10" s="43">
        <v>1</v>
      </c>
      <c r="P10" s="43">
        <v>1</v>
      </c>
      <c r="Q10" s="43">
        <v>1</v>
      </c>
      <c r="R10" s="43">
        <v>1</v>
      </c>
      <c r="S10" s="43">
        <v>1</v>
      </c>
      <c r="T10" s="43">
        <v>1</v>
      </c>
      <c r="U10" s="43">
        <v>1</v>
      </c>
      <c r="V10" s="43">
        <v>1</v>
      </c>
      <c r="W10" s="43">
        <v>1</v>
      </c>
      <c r="X10" s="46">
        <v>1</v>
      </c>
      <c r="Y10" s="43"/>
      <c r="Z10" s="43"/>
      <c r="AA10" s="44"/>
      <c r="AB10" s="44"/>
      <c r="AC10" s="44"/>
      <c r="AD10" s="44"/>
      <c r="AE10" s="44"/>
      <c r="AF10" s="44"/>
      <c r="AG10" s="44"/>
      <c r="AH10" s="44"/>
      <c r="AI10" s="45">
        <f t="shared" si="0"/>
        <v>13</v>
      </c>
      <c r="AJ10" s="26"/>
      <c r="AK10" s="19"/>
    </row>
    <row r="11" spans="1:37" ht="16.5" customHeight="1">
      <c r="A11" s="19"/>
      <c r="B11" s="25"/>
      <c r="C11" s="50" t="s">
        <v>49</v>
      </c>
      <c r="D11" s="383"/>
      <c r="E11" s="51" t="s">
        <v>57</v>
      </c>
      <c r="F11" s="51" t="s">
        <v>58</v>
      </c>
      <c r="G11" s="52" t="s">
        <v>51</v>
      </c>
      <c r="H11" s="53">
        <v>45719</v>
      </c>
      <c r="I11" s="53">
        <v>46096</v>
      </c>
      <c r="J11" s="53"/>
      <c r="K11" s="53"/>
      <c r="L11" s="54">
        <v>0</v>
      </c>
      <c r="M11" s="55">
        <v>1</v>
      </c>
      <c r="N11" s="55">
        <v>1</v>
      </c>
      <c r="O11" s="55">
        <v>1</v>
      </c>
      <c r="P11" s="55">
        <v>1</v>
      </c>
      <c r="Q11" s="55">
        <v>1</v>
      </c>
      <c r="R11" s="55">
        <v>1</v>
      </c>
      <c r="S11" s="55">
        <v>1</v>
      </c>
      <c r="T11" s="55">
        <v>1</v>
      </c>
      <c r="U11" s="55">
        <v>1</v>
      </c>
      <c r="V11" s="55">
        <v>1</v>
      </c>
      <c r="W11" s="55">
        <v>1</v>
      </c>
      <c r="X11" s="55">
        <v>1</v>
      </c>
      <c r="Y11" s="55">
        <v>0.5</v>
      </c>
      <c r="Z11" s="55"/>
      <c r="AA11" s="44"/>
      <c r="AB11" s="44"/>
      <c r="AC11" s="44"/>
      <c r="AD11" s="44"/>
      <c r="AE11" s="44"/>
      <c r="AF11" s="44"/>
      <c r="AG11" s="44"/>
      <c r="AH11" s="44"/>
      <c r="AI11" s="45">
        <f t="shared" si="0"/>
        <v>12.5</v>
      </c>
      <c r="AJ11" s="26"/>
      <c r="AK11" s="19"/>
    </row>
    <row r="12" spans="1:37" ht="16.5" customHeight="1">
      <c r="A12" s="19"/>
      <c r="B12" s="25"/>
      <c r="C12" s="50" t="s">
        <v>49</v>
      </c>
      <c r="D12" s="383"/>
      <c r="E12" s="51" t="s">
        <v>57</v>
      </c>
      <c r="F12" s="51" t="s">
        <v>12</v>
      </c>
      <c r="G12" s="52" t="s">
        <v>51</v>
      </c>
      <c r="H12" s="53">
        <v>45691</v>
      </c>
      <c r="I12" s="56">
        <v>46068</v>
      </c>
      <c r="J12" s="53"/>
      <c r="K12" s="53"/>
      <c r="L12" s="55">
        <v>1</v>
      </c>
      <c r="M12" s="55">
        <v>1</v>
      </c>
      <c r="N12" s="55">
        <v>1</v>
      </c>
      <c r="O12" s="55">
        <v>1</v>
      </c>
      <c r="P12" s="55">
        <v>1</v>
      </c>
      <c r="Q12" s="55">
        <v>1</v>
      </c>
      <c r="R12" s="55">
        <v>1</v>
      </c>
      <c r="S12" s="55">
        <v>1</v>
      </c>
      <c r="T12" s="55">
        <v>1</v>
      </c>
      <c r="U12" s="55">
        <v>1</v>
      </c>
      <c r="V12" s="55">
        <v>1</v>
      </c>
      <c r="W12" s="55">
        <v>1</v>
      </c>
      <c r="X12" s="55">
        <v>0.5</v>
      </c>
      <c r="Y12" s="55"/>
      <c r="Z12" s="55"/>
      <c r="AA12" s="44"/>
      <c r="AB12" s="44"/>
      <c r="AC12" s="44"/>
      <c r="AD12" s="44"/>
      <c r="AE12" s="44"/>
      <c r="AF12" s="44"/>
      <c r="AG12" s="44"/>
      <c r="AH12" s="44"/>
      <c r="AI12" s="45">
        <f t="shared" si="0"/>
        <v>12.5</v>
      </c>
      <c r="AJ12" s="26"/>
      <c r="AK12" s="19"/>
    </row>
    <row r="13" spans="1:37" ht="16.5" customHeight="1">
      <c r="A13" s="19"/>
      <c r="B13" s="25"/>
      <c r="C13" s="50" t="s">
        <v>49</v>
      </c>
      <c r="D13" s="383"/>
      <c r="E13" s="57" t="s">
        <v>59</v>
      </c>
      <c r="F13" s="57" t="s">
        <v>13</v>
      </c>
      <c r="G13" s="58" t="s">
        <v>56</v>
      </c>
      <c r="H13" s="59">
        <v>45691</v>
      </c>
      <c r="I13" s="59">
        <v>46022</v>
      </c>
      <c r="J13" s="59"/>
      <c r="K13" s="59"/>
      <c r="L13" s="44">
        <v>1</v>
      </c>
      <c r="M13" s="44">
        <v>1</v>
      </c>
      <c r="N13" s="44">
        <v>1</v>
      </c>
      <c r="O13" s="44">
        <v>1</v>
      </c>
      <c r="P13" s="44">
        <v>1</v>
      </c>
      <c r="Q13" s="44">
        <v>1</v>
      </c>
      <c r="R13" s="44">
        <v>1</v>
      </c>
      <c r="S13" s="44">
        <v>1</v>
      </c>
      <c r="T13" s="44">
        <v>1</v>
      </c>
      <c r="U13" s="44">
        <v>1</v>
      </c>
      <c r="V13" s="44">
        <v>1</v>
      </c>
      <c r="W13" s="44"/>
      <c r="X13" s="44"/>
      <c r="Y13" s="44"/>
      <c r="Z13" s="44"/>
      <c r="AA13" s="44"/>
      <c r="AB13" s="44"/>
      <c r="AC13" s="44"/>
      <c r="AD13" s="44"/>
      <c r="AE13" s="44"/>
      <c r="AF13" s="44"/>
      <c r="AG13" s="44"/>
      <c r="AH13" s="44"/>
      <c r="AI13" s="45">
        <f t="shared" si="0"/>
        <v>11</v>
      </c>
      <c r="AJ13" s="26"/>
      <c r="AK13" s="19"/>
    </row>
    <row r="14" spans="1:37" ht="16.5" customHeight="1">
      <c r="A14" s="19"/>
      <c r="B14" s="25"/>
      <c r="C14" s="50" t="s">
        <v>49</v>
      </c>
      <c r="D14" s="384"/>
      <c r="E14" s="57" t="s">
        <v>59</v>
      </c>
      <c r="F14" s="57" t="s">
        <v>17</v>
      </c>
      <c r="G14" s="58" t="s">
        <v>56</v>
      </c>
      <c r="H14" s="59">
        <v>45691</v>
      </c>
      <c r="I14" s="59">
        <v>45930</v>
      </c>
      <c r="J14" s="59"/>
      <c r="K14" s="59"/>
      <c r="L14" s="44">
        <v>1</v>
      </c>
      <c r="M14" s="44">
        <v>1</v>
      </c>
      <c r="N14" s="44">
        <v>1</v>
      </c>
      <c r="O14" s="44">
        <v>1</v>
      </c>
      <c r="P14" s="44">
        <v>1</v>
      </c>
      <c r="Q14" s="44">
        <v>1</v>
      </c>
      <c r="R14" s="44">
        <v>1</v>
      </c>
      <c r="S14" s="44">
        <v>1</v>
      </c>
      <c r="T14" s="44"/>
      <c r="U14" s="44"/>
      <c r="V14" s="44"/>
      <c r="W14" s="44"/>
      <c r="X14" s="44"/>
      <c r="Y14" s="44"/>
      <c r="Z14" s="44"/>
      <c r="AA14" s="44"/>
      <c r="AB14" s="44"/>
      <c r="AC14" s="44"/>
      <c r="AD14" s="44"/>
      <c r="AE14" s="44"/>
      <c r="AF14" s="44"/>
      <c r="AG14" s="44"/>
      <c r="AH14" s="44"/>
      <c r="AI14" s="45">
        <f t="shared" si="0"/>
        <v>8</v>
      </c>
      <c r="AJ14" s="26"/>
      <c r="AK14" s="19"/>
    </row>
    <row r="15" spans="1:37" ht="16.5" hidden="1" customHeight="1">
      <c r="A15" s="19"/>
      <c r="B15" s="25"/>
      <c r="C15" s="50" t="s">
        <v>49</v>
      </c>
      <c r="D15" s="385"/>
      <c r="E15" s="57" t="s">
        <v>51</v>
      </c>
      <c r="F15" s="57"/>
      <c r="G15" s="60"/>
      <c r="H15" s="59"/>
      <c r="I15" s="59"/>
      <c r="J15" s="59"/>
      <c r="K15" s="59"/>
      <c r="L15" s="44"/>
      <c r="M15" s="44"/>
      <c r="N15" s="44"/>
      <c r="O15" s="44"/>
      <c r="P15" s="44"/>
      <c r="Q15" s="44"/>
      <c r="R15" s="44"/>
      <c r="S15" s="44"/>
      <c r="T15" s="44"/>
      <c r="U15" s="44"/>
      <c r="V15" s="44"/>
      <c r="W15" s="44"/>
      <c r="X15" s="44"/>
      <c r="Y15" s="44"/>
      <c r="Z15" s="44"/>
      <c r="AA15" s="44"/>
      <c r="AB15" s="44"/>
      <c r="AC15" s="44"/>
      <c r="AD15" s="44"/>
      <c r="AE15" s="44"/>
      <c r="AF15" s="44"/>
      <c r="AG15" s="44"/>
      <c r="AH15" s="44"/>
      <c r="AI15" s="45">
        <v>0</v>
      </c>
      <c r="AJ15" s="26"/>
      <c r="AK15" s="19"/>
    </row>
    <row r="16" spans="1:37" ht="16.5" hidden="1" customHeight="1">
      <c r="A16" s="19"/>
      <c r="B16" s="25"/>
      <c r="C16" s="50" t="s">
        <v>49</v>
      </c>
      <c r="D16" s="383"/>
      <c r="E16" s="57" t="s">
        <v>57</v>
      </c>
      <c r="F16" s="57"/>
      <c r="G16" s="60"/>
      <c r="H16" s="59"/>
      <c r="I16" s="59"/>
      <c r="J16" s="59"/>
      <c r="K16" s="59"/>
      <c r="L16" s="44"/>
      <c r="M16" s="44"/>
      <c r="N16" s="44"/>
      <c r="O16" s="44"/>
      <c r="P16" s="44"/>
      <c r="Q16" s="44"/>
      <c r="R16" s="44"/>
      <c r="S16" s="44"/>
      <c r="T16" s="44"/>
      <c r="U16" s="44"/>
      <c r="V16" s="44"/>
      <c r="W16" s="44"/>
      <c r="X16" s="44"/>
      <c r="Y16" s="44"/>
      <c r="Z16" s="44"/>
      <c r="AA16" s="44"/>
      <c r="AB16" s="44"/>
      <c r="AC16" s="44"/>
      <c r="AD16" s="44"/>
      <c r="AE16" s="44"/>
      <c r="AF16" s="44"/>
      <c r="AG16" s="44"/>
      <c r="AH16" s="44"/>
      <c r="AI16" s="45">
        <v>0</v>
      </c>
      <c r="AJ16" s="26"/>
      <c r="AK16" s="19"/>
    </row>
    <row r="17" spans="1:37" ht="16.5" hidden="1" customHeight="1">
      <c r="A17" s="19"/>
      <c r="B17" s="25"/>
      <c r="C17" s="50" t="s">
        <v>49</v>
      </c>
      <c r="D17" s="384"/>
      <c r="E17" s="57" t="s">
        <v>59</v>
      </c>
      <c r="F17" s="57"/>
      <c r="G17" s="60"/>
      <c r="H17" s="59"/>
      <c r="I17" s="59"/>
      <c r="J17" s="59"/>
      <c r="K17" s="59"/>
      <c r="L17" s="44"/>
      <c r="M17" s="44"/>
      <c r="N17" s="44"/>
      <c r="O17" s="44"/>
      <c r="P17" s="44"/>
      <c r="Q17" s="44"/>
      <c r="R17" s="44"/>
      <c r="S17" s="44"/>
      <c r="T17" s="44"/>
      <c r="U17" s="44"/>
      <c r="V17" s="44"/>
      <c r="W17" s="44"/>
      <c r="X17" s="44"/>
      <c r="Y17" s="44"/>
      <c r="Z17" s="44"/>
      <c r="AA17" s="44"/>
      <c r="AB17" s="44"/>
      <c r="AC17" s="44"/>
      <c r="AD17" s="44"/>
      <c r="AE17" s="44"/>
      <c r="AF17" s="44"/>
      <c r="AG17" s="44"/>
      <c r="AH17" s="44"/>
      <c r="AI17" s="45">
        <v>0</v>
      </c>
      <c r="AJ17" s="26"/>
      <c r="AK17" s="19"/>
    </row>
    <row r="18" spans="1:37" ht="16.5" hidden="1" customHeight="1">
      <c r="A18" s="19"/>
      <c r="B18" s="25"/>
      <c r="C18" s="50" t="s">
        <v>49</v>
      </c>
      <c r="D18" s="385"/>
      <c r="E18" s="57" t="s">
        <v>51</v>
      </c>
      <c r="F18" s="57"/>
      <c r="G18" s="60"/>
      <c r="H18" s="59"/>
      <c r="I18" s="59"/>
      <c r="J18" s="59"/>
      <c r="K18" s="59"/>
      <c r="L18" s="44"/>
      <c r="M18" s="44"/>
      <c r="N18" s="44"/>
      <c r="O18" s="44"/>
      <c r="P18" s="44"/>
      <c r="Q18" s="44"/>
      <c r="R18" s="44"/>
      <c r="S18" s="44"/>
      <c r="T18" s="44"/>
      <c r="U18" s="44"/>
      <c r="V18" s="44"/>
      <c r="W18" s="44"/>
      <c r="X18" s="44"/>
      <c r="Y18" s="44"/>
      <c r="Z18" s="44"/>
      <c r="AA18" s="44"/>
      <c r="AB18" s="44"/>
      <c r="AC18" s="44"/>
      <c r="AD18" s="44"/>
      <c r="AE18" s="44"/>
      <c r="AF18" s="44"/>
      <c r="AG18" s="44"/>
      <c r="AH18" s="44"/>
      <c r="AI18" s="45">
        <v>0</v>
      </c>
      <c r="AJ18" s="26"/>
      <c r="AK18" s="19"/>
    </row>
    <row r="19" spans="1:37" ht="16.5" hidden="1" customHeight="1">
      <c r="A19" s="19"/>
      <c r="B19" s="25"/>
      <c r="C19" s="50" t="s">
        <v>49</v>
      </c>
      <c r="D19" s="383"/>
      <c r="E19" s="57" t="s">
        <v>57</v>
      </c>
      <c r="F19" s="57"/>
      <c r="G19" s="60"/>
      <c r="H19" s="59"/>
      <c r="I19" s="59"/>
      <c r="J19" s="59"/>
      <c r="K19" s="59"/>
      <c r="L19" s="44"/>
      <c r="M19" s="44"/>
      <c r="N19" s="44"/>
      <c r="O19" s="44"/>
      <c r="P19" s="44"/>
      <c r="Q19" s="44"/>
      <c r="R19" s="44"/>
      <c r="S19" s="44"/>
      <c r="T19" s="44"/>
      <c r="U19" s="44"/>
      <c r="V19" s="44"/>
      <c r="W19" s="44"/>
      <c r="X19" s="44"/>
      <c r="Y19" s="44"/>
      <c r="Z19" s="44"/>
      <c r="AA19" s="44"/>
      <c r="AB19" s="44"/>
      <c r="AC19" s="44"/>
      <c r="AD19" s="44"/>
      <c r="AE19" s="44"/>
      <c r="AF19" s="44"/>
      <c r="AG19" s="44"/>
      <c r="AH19" s="44"/>
      <c r="AI19" s="45">
        <v>0</v>
      </c>
      <c r="AJ19" s="26"/>
      <c r="AK19" s="19"/>
    </row>
    <row r="20" spans="1:37" ht="16.5" hidden="1" customHeight="1">
      <c r="A20" s="19"/>
      <c r="B20" s="25"/>
      <c r="C20" s="50" t="s">
        <v>49</v>
      </c>
      <c r="D20" s="384"/>
      <c r="E20" s="57" t="s">
        <v>59</v>
      </c>
      <c r="F20" s="57"/>
      <c r="G20" s="60"/>
      <c r="H20" s="59"/>
      <c r="I20" s="59"/>
      <c r="J20" s="59"/>
      <c r="K20" s="59"/>
      <c r="L20" s="44"/>
      <c r="M20" s="44"/>
      <c r="N20" s="44"/>
      <c r="O20" s="44"/>
      <c r="P20" s="44"/>
      <c r="Q20" s="44"/>
      <c r="R20" s="44"/>
      <c r="S20" s="44"/>
      <c r="T20" s="44"/>
      <c r="U20" s="44"/>
      <c r="V20" s="44"/>
      <c r="W20" s="44"/>
      <c r="X20" s="44"/>
      <c r="Y20" s="44"/>
      <c r="Z20" s="44"/>
      <c r="AA20" s="44"/>
      <c r="AB20" s="44"/>
      <c r="AC20" s="44"/>
      <c r="AD20" s="44"/>
      <c r="AE20" s="44"/>
      <c r="AF20" s="44"/>
      <c r="AG20" s="44"/>
      <c r="AH20" s="44"/>
      <c r="AI20" s="45">
        <v>0</v>
      </c>
      <c r="AJ20" s="26"/>
      <c r="AK20" s="19"/>
    </row>
    <row r="21" spans="1:37" ht="16.5" customHeight="1">
      <c r="A21" s="19"/>
      <c r="B21" s="25"/>
      <c r="C21" s="61" t="s">
        <v>49</v>
      </c>
      <c r="D21" s="62" t="s">
        <v>60</v>
      </c>
      <c r="E21" s="63"/>
      <c r="F21" s="63"/>
      <c r="G21" s="64"/>
      <c r="H21" s="65"/>
      <c r="I21" s="66" t="s">
        <v>61</v>
      </c>
      <c r="J21" s="67"/>
      <c r="K21" s="67"/>
      <c r="L21" s="68">
        <f t="shared" ref="L21:Z21" si="1">SUM(L7:L20)</f>
        <v>6.5</v>
      </c>
      <c r="M21" s="68">
        <f t="shared" si="1"/>
        <v>8</v>
      </c>
      <c r="N21" s="68">
        <f t="shared" si="1"/>
        <v>8</v>
      </c>
      <c r="O21" s="68">
        <f t="shared" si="1"/>
        <v>8</v>
      </c>
      <c r="P21" s="68">
        <f t="shared" si="1"/>
        <v>8</v>
      </c>
      <c r="Q21" s="68">
        <f t="shared" si="1"/>
        <v>8</v>
      </c>
      <c r="R21" s="68">
        <f t="shared" si="1"/>
        <v>8</v>
      </c>
      <c r="S21" s="68">
        <f t="shared" si="1"/>
        <v>8</v>
      </c>
      <c r="T21" s="68">
        <f t="shared" si="1"/>
        <v>7</v>
      </c>
      <c r="U21" s="68">
        <f t="shared" si="1"/>
        <v>7</v>
      </c>
      <c r="V21" s="68">
        <f t="shared" si="1"/>
        <v>7</v>
      </c>
      <c r="W21" s="68">
        <f t="shared" si="1"/>
        <v>6</v>
      </c>
      <c r="X21" s="68">
        <f t="shared" si="1"/>
        <v>5.5</v>
      </c>
      <c r="Y21" s="68">
        <f t="shared" si="1"/>
        <v>3</v>
      </c>
      <c r="Z21" s="68">
        <f t="shared" si="1"/>
        <v>1</v>
      </c>
      <c r="AA21" s="68"/>
      <c r="AB21" s="68"/>
      <c r="AC21" s="68"/>
      <c r="AD21" s="68"/>
      <c r="AE21" s="68"/>
      <c r="AF21" s="68"/>
      <c r="AG21" s="68"/>
      <c r="AH21" s="68"/>
      <c r="AI21" s="69">
        <f>SUM(AI7:AI20)</f>
        <v>99</v>
      </c>
      <c r="AJ21" s="26"/>
      <c r="AK21" s="19"/>
    </row>
    <row r="22" spans="1:37" ht="4.5" customHeight="1">
      <c r="A22" s="70"/>
      <c r="B22" s="71"/>
      <c r="C22" s="72"/>
      <c r="D22" s="73"/>
      <c r="E22" s="74"/>
      <c r="F22" s="74"/>
      <c r="G22" s="75"/>
      <c r="H22" s="76"/>
      <c r="I22" s="76"/>
      <c r="J22" s="76"/>
      <c r="K22" s="76"/>
      <c r="L22" s="74"/>
      <c r="M22" s="74"/>
      <c r="N22" s="74"/>
      <c r="O22" s="74"/>
      <c r="P22" s="74"/>
      <c r="Q22" s="74"/>
      <c r="R22" s="74"/>
      <c r="S22" s="74"/>
      <c r="T22" s="74"/>
      <c r="U22" s="74"/>
      <c r="V22" s="74"/>
      <c r="W22" s="74"/>
      <c r="X22" s="74"/>
      <c r="Y22" s="74"/>
      <c r="Z22" s="74"/>
      <c r="AA22" s="74"/>
      <c r="AB22" s="74"/>
      <c r="AC22" s="74"/>
      <c r="AD22" s="74"/>
      <c r="AE22" s="74"/>
      <c r="AF22" s="74"/>
      <c r="AG22" s="74"/>
      <c r="AH22" s="74"/>
      <c r="AI22" s="77"/>
      <c r="AJ22" s="78"/>
      <c r="AK22" s="70"/>
    </row>
    <row r="23" spans="1:37" ht="16.5" customHeight="1">
      <c r="A23" s="19"/>
      <c r="B23" s="25"/>
      <c r="C23" s="38" t="s">
        <v>62</v>
      </c>
      <c r="D23" s="79" t="s">
        <v>54</v>
      </c>
      <c r="E23" s="51" t="s">
        <v>57</v>
      </c>
      <c r="F23" s="51" t="s">
        <v>6</v>
      </c>
      <c r="G23" s="80" t="s">
        <v>56</v>
      </c>
      <c r="H23" s="53">
        <v>45740</v>
      </c>
      <c r="I23" s="53">
        <v>46127</v>
      </c>
      <c r="J23" s="53"/>
      <c r="K23" s="53"/>
      <c r="L23" s="55"/>
      <c r="M23" s="54">
        <v>0.25</v>
      </c>
      <c r="N23" s="55">
        <v>1</v>
      </c>
      <c r="O23" s="55">
        <v>1</v>
      </c>
      <c r="P23" s="55">
        <v>1</v>
      </c>
      <c r="Q23" s="55">
        <v>1</v>
      </c>
      <c r="R23" s="55">
        <v>1</v>
      </c>
      <c r="S23" s="55">
        <v>1</v>
      </c>
      <c r="T23" s="55">
        <v>1</v>
      </c>
      <c r="U23" s="55">
        <v>1</v>
      </c>
      <c r="V23" s="55">
        <v>1</v>
      </c>
      <c r="W23" s="55">
        <v>1</v>
      </c>
      <c r="X23" s="55">
        <v>1</v>
      </c>
      <c r="Y23" s="55">
        <v>1</v>
      </c>
      <c r="Z23" s="55">
        <v>0.5</v>
      </c>
      <c r="AA23" s="44"/>
      <c r="AB23" s="44"/>
      <c r="AC23" s="44"/>
      <c r="AD23" s="44"/>
      <c r="AE23" s="44"/>
      <c r="AF23" s="44"/>
      <c r="AG23" s="44"/>
      <c r="AH23" s="44"/>
      <c r="AI23" s="45">
        <f t="shared" ref="AI23:AI29" si="2">SUM(M23:AH23)</f>
        <v>12.75</v>
      </c>
      <c r="AJ23" s="26"/>
      <c r="AK23" s="19"/>
    </row>
    <row r="24" spans="1:37" ht="16.5" customHeight="1">
      <c r="A24" s="19"/>
      <c r="B24" s="25"/>
      <c r="C24" s="47"/>
      <c r="D24" s="382" t="s">
        <v>63</v>
      </c>
      <c r="E24" s="51" t="s">
        <v>57</v>
      </c>
      <c r="F24" s="51" t="s">
        <v>10</v>
      </c>
      <c r="G24" s="80" t="s">
        <v>56</v>
      </c>
      <c r="H24" s="53">
        <v>45740</v>
      </c>
      <c r="I24" s="53">
        <v>46112</v>
      </c>
      <c r="J24" s="53"/>
      <c r="K24" s="53"/>
      <c r="L24" s="55"/>
      <c r="M24" s="54">
        <v>0.25</v>
      </c>
      <c r="N24" s="55">
        <v>1</v>
      </c>
      <c r="O24" s="55">
        <v>1</v>
      </c>
      <c r="P24" s="55">
        <v>1</v>
      </c>
      <c r="Q24" s="55">
        <v>1</v>
      </c>
      <c r="R24" s="55">
        <v>1</v>
      </c>
      <c r="S24" s="55">
        <v>1</v>
      </c>
      <c r="T24" s="55">
        <v>1</v>
      </c>
      <c r="U24" s="55">
        <v>1</v>
      </c>
      <c r="V24" s="55">
        <v>1</v>
      </c>
      <c r="W24" s="55">
        <v>1</v>
      </c>
      <c r="X24" s="54">
        <v>1</v>
      </c>
      <c r="Y24" s="54">
        <v>1</v>
      </c>
      <c r="Z24" s="55"/>
      <c r="AA24" s="44"/>
      <c r="AB24" s="44"/>
      <c r="AC24" s="44"/>
      <c r="AD24" s="44"/>
      <c r="AE24" s="44"/>
      <c r="AF24" s="44"/>
      <c r="AG24" s="44"/>
      <c r="AH24" s="44"/>
      <c r="AI24" s="45">
        <f t="shared" si="2"/>
        <v>12.25</v>
      </c>
      <c r="AJ24" s="26"/>
      <c r="AK24" s="19"/>
    </row>
    <row r="25" spans="1:37" ht="16.5" customHeight="1">
      <c r="A25" s="19"/>
      <c r="B25" s="25"/>
      <c r="C25" s="47"/>
      <c r="D25" s="383"/>
      <c r="E25" s="51" t="s">
        <v>57</v>
      </c>
      <c r="F25" s="51" t="s">
        <v>22</v>
      </c>
      <c r="G25" s="52" t="s">
        <v>51</v>
      </c>
      <c r="H25" s="53">
        <v>45748</v>
      </c>
      <c r="I25" s="53">
        <v>46112</v>
      </c>
      <c r="J25" s="53"/>
      <c r="K25" s="53"/>
      <c r="L25" s="55"/>
      <c r="M25" s="54"/>
      <c r="N25" s="55">
        <v>1</v>
      </c>
      <c r="O25" s="55">
        <v>1</v>
      </c>
      <c r="P25" s="55">
        <v>1</v>
      </c>
      <c r="Q25" s="55">
        <v>1</v>
      </c>
      <c r="R25" s="55">
        <v>1</v>
      </c>
      <c r="S25" s="55">
        <v>1</v>
      </c>
      <c r="T25" s="55">
        <v>1</v>
      </c>
      <c r="U25" s="55">
        <v>1</v>
      </c>
      <c r="V25" s="55">
        <v>1</v>
      </c>
      <c r="W25" s="54">
        <v>1</v>
      </c>
      <c r="X25" s="54">
        <v>1</v>
      </c>
      <c r="Y25" s="54">
        <v>1</v>
      </c>
      <c r="Z25" s="55"/>
      <c r="AA25" s="44"/>
      <c r="AB25" s="44"/>
      <c r="AC25" s="44"/>
      <c r="AD25" s="44"/>
      <c r="AE25" s="44"/>
      <c r="AF25" s="44"/>
      <c r="AG25" s="44"/>
      <c r="AH25" s="44"/>
      <c r="AI25" s="45">
        <f t="shared" si="2"/>
        <v>12</v>
      </c>
      <c r="AJ25" s="26"/>
      <c r="AK25" s="19"/>
    </row>
    <row r="26" spans="1:37" ht="16.5" customHeight="1">
      <c r="A26" s="19"/>
      <c r="B26" s="25"/>
      <c r="C26" s="50" t="s">
        <v>62</v>
      </c>
      <c r="D26" s="383"/>
      <c r="E26" s="57" t="s">
        <v>59</v>
      </c>
      <c r="F26" s="57" t="s">
        <v>14</v>
      </c>
      <c r="G26" s="58" t="s">
        <v>56</v>
      </c>
      <c r="H26" s="59">
        <v>45740</v>
      </c>
      <c r="I26" s="59">
        <v>46112</v>
      </c>
      <c r="J26" s="59"/>
      <c r="K26" s="59"/>
      <c r="L26" s="44"/>
      <c r="M26" s="81">
        <v>0.25</v>
      </c>
      <c r="N26" s="44">
        <v>1</v>
      </c>
      <c r="O26" s="44">
        <v>1</v>
      </c>
      <c r="P26" s="44">
        <v>1</v>
      </c>
      <c r="Q26" s="44">
        <v>1</v>
      </c>
      <c r="R26" s="44">
        <v>1</v>
      </c>
      <c r="S26" s="44">
        <v>1</v>
      </c>
      <c r="T26" s="44">
        <v>1</v>
      </c>
      <c r="U26" s="44">
        <v>1</v>
      </c>
      <c r="V26" s="44">
        <v>1</v>
      </c>
      <c r="W26" s="44">
        <v>1</v>
      </c>
      <c r="X26" s="44">
        <v>1</v>
      </c>
      <c r="Y26" s="44">
        <v>1</v>
      </c>
      <c r="Z26" s="44"/>
      <c r="AA26" s="44"/>
      <c r="AB26" s="44"/>
      <c r="AC26" s="44"/>
      <c r="AD26" s="44"/>
      <c r="AE26" s="44"/>
      <c r="AF26" s="44"/>
      <c r="AG26" s="44"/>
      <c r="AH26" s="44"/>
      <c r="AI26" s="45">
        <f t="shared" si="2"/>
        <v>12.25</v>
      </c>
      <c r="AJ26" s="26"/>
      <c r="AK26" s="19"/>
    </row>
    <row r="27" spans="1:37" ht="16.5" customHeight="1">
      <c r="A27" s="19"/>
      <c r="B27" s="25"/>
      <c r="C27" s="50" t="s">
        <v>62</v>
      </c>
      <c r="D27" s="383"/>
      <c r="E27" s="57" t="s">
        <v>59</v>
      </c>
      <c r="F27" s="57" t="s">
        <v>7</v>
      </c>
      <c r="G27" s="58" t="s">
        <v>56</v>
      </c>
      <c r="H27" s="59">
        <v>45740</v>
      </c>
      <c r="I27" s="59">
        <v>45991</v>
      </c>
      <c r="J27" s="59"/>
      <c r="K27" s="59"/>
      <c r="L27" s="44"/>
      <c r="M27" s="81">
        <v>0.25</v>
      </c>
      <c r="N27" s="44">
        <v>1</v>
      </c>
      <c r="O27" s="44">
        <v>1</v>
      </c>
      <c r="P27" s="44">
        <v>1</v>
      </c>
      <c r="Q27" s="44">
        <v>1</v>
      </c>
      <c r="R27" s="44">
        <v>1</v>
      </c>
      <c r="S27" s="44">
        <v>1</v>
      </c>
      <c r="T27" s="44">
        <v>1</v>
      </c>
      <c r="U27" s="44">
        <v>1</v>
      </c>
      <c r="V27" s="44"/>
      <c r="W27" s="44"/>
      <c r="X27" s="44"/>
      <c r="Y27" s="44"/>
      <c r="Z27" s="44"/>
      <c r="AA27" s="44"/>
      <c r="AB27" s="44"/>
      <c r="AC27" s="44"/>
      <c r="AD27" s="44"/>
      <c r="AE27" s="44"/>
      <c r="AF27" s="44"/>
      <c r="AG27" s="44"/>
      <c r="AH27" s="44"/>
      <c r="AI27" s="45">
        <f t="shared" si="2"/>
        <v>8.25</v>
      </c>
      <c r="AJ27" s="26"/>
      <c r="AK27" s="19"/>
    </row>
    <row r="28" spans="1:37" ht="16.5" customHeight="1">
      <c r="A28" s="19"/>
      <c r="B28" s="25"/>
      <c r="C28" s="50" t="s">
        <v>62</v>
      </c>
      <c r="D28" s="383"/>
      <c r="E28" s="57" t="s">
        <v>59</v>
      </c>
      <c r="F28" s="57" t="s">
        <v>18</v>
      </c>
      <c r="G28" s="58" t="s">
        <v>56</v>
      </c>
      <c r="H28" s="59">
        <v>45748</v>
      </c>
      <c r="I28" s="59">
        <v>45991</v>
      </c>
      <c r="J28" s="59"/>
      <c r="K28" s="59"/>
      <c r="L28" s="44"/>
      <c r="M28" s="44"/>
      <c r="N28" s="44">
        <v>1</v>
      </c>
      <c r="O28" s="44">
        <v>1</v>
      </c>
      <c r="P28" s="44">
        <v>1</v>
      </c>
      <c r="Q28" s="44">
        <v>1</v>
      </c>
      <c r="R28" s="44">
        <v>1</v>
      </c>
      <c r="S28" s="44">
        <v>1</v>
      </c>
      <c r="T28" s="44">
        <v>1</v>
      </c>
      <c r="U28" s="81">
        <v>1</v>
      </c>
      <c r="V28" s="44"/>
      <c r="W28" s="44"/>
      <c r="X28" s="44"/>
      <c r="Y28" s="44"/>
      <c r="Z28" s="44"/>
      <c r="AA28" s="44"/>
      <c r="AB28" s="44"/>
      <c r="AC28" s="44"/>
      <c r="AD28" s="44"/>
      <c r="AE28" s="44"/>
      <c r="AF28" s="44"/>
      <c r="AG28" s="44"/>
      <c r="AH28" s="44"/>
      <c r="AI28" s="45">
        <f t="shared" si="2"/>
        <v>8</v>
      </c>
      <c r="AJ28" s="26"/>
      <c r="AK28" s="19"/>
    </row>
    <row r="29" spans="1:37" ht="16.5" customHeight="1">
      <c r="A29" s="19"/>
      <c r="B29" s="25"/>
      <c r="C29" s="50" t="s">
        <v>62</v>
      </c>
      <c r="D29" s="384"/>
      <c r="E29" s="57" t="s">
        <v>59</v>
      </c>
      <c r="F29" s="57" t="s">
        <v>11</v>
      </c>
      <c r="G29" s="60" t="s">
        <v>51</v>
      </c>
      <c r="H29" s="59">
        <v>45748</v>
      </c>
      <c r="I29" s="59">
        <v>45976</v>
      </c>
      <c r="J29" s="59"/>
      <c r="K29" s="59"/>
      <c r="L29" s="44"/>
      <c r="M29" s="44"/>
      <c r="N29" s="44">
        <v>1</v>
      </c>
      <c r="O29" s="44">
        <v>1</v>
      </c>
      <c r="P29" s="44">
        <v>1</v>
      </c>
      <c r="Q29" s="44">
        <v>1</v>
      </c>
      <c r="R29" s="44">
        <v>1</v>
      </c>
      <c r="S29" s="44">
        <v>1</v>
      </c>
      <c r="T29" s="44">
        <v>1</v>
      </c>
      <c r="U29" s="81">
        <v>0.5</v>
      </c>
      <c r="V29" s="44"/>
      <c r="W29" s="44"/>
      <c r="X29" s="44"/>
      <c r="Y29" s="44"/>
      <c r="Z29" s="44"/>
      <c r="AA29" s="44"/>
      <c r="AB29" s="44"/>
      <c r="AC29" s="44"/>
      <c r="AD29" s="44"/>
      <c r="AE29" s="44"/>
      <c r="AF29" s="44"/>
      <c r="AG29" s="44"/>
      <c r="AH29" s="44"/>
      <c r="AI29" s="45">
        <f t="shared" si="2"/>
        <v>7.5</v>
      </c>
      <c r="AJ29" s="26"/>
      <c r="AK29" s="19"/>
    </row>
    <row r="30" spans="1:37" ht="16.5" hidden="1" customHeight="1">
      <c r="A30" s="19"/>
      <c r="B30" s="25"/>
      <c r="C30" s="50" t="s">
        <v>62</v>
      </c>
      <c r="D30" s="385"/>
      <c r="E30" s="57" t="s">
        <v>51</v>
      </c>
      <c r="F30" s="57"/>
      <c r="G30" s="60"/>
      <c r="H30" s="59"/>
      <c r="I30" s="59"/>
      <c r="J30" s="59"/>
      <c r="K30" s="59"/>
      <c r="L30" s="44"/>
      <c r="M30" s="44"/>
      <c r="N30" s="44"/>
      <c r="O30" s="44"/>
      <c r="P30" s="44"/>
      <c r="Q30" s="44"/>
      <c r="R30" s="44"/>
      <c r="S30" s="44"/>
      <c r="T30" s="44"/>
      <c r="U30" s="44"/>
      <c r="V30" s="44"/>
      <c r="W30" s="44"/>
      <c r="X30" s="44"/>
      <c r="Y30" s="44"/>
      <c r="Z30" s="44"/>
      <c r="AA30" s="44"/>
      <c r="AB30" s="44"/>
      <c r="AC30" s="44"/>
      <c r="AD30" s="44"/>
      <c r="AE30" s="44"/>
      <c r="AF30" s="44"/>
      <c r="AG30" s="44"/>
      <c r="AH30" s="44"/>
      <c r="AI30" s="45">
        <v>0</v>
      </c>
      <c r="AJ30" s="26"/>
      <c r="AK30" s="19"/>
    </row>
    <row r="31" spans="1:37" ht="16.5" hidden="1" customHeight="1">
      <c r="A31" s="19"/>
      <c r="B31" s="25"/>
      <c r="C31" s="50" t="s">
        <v>62</v>
      </c>
      <c r="D31" s="383"/>
      <c r="E31" s="57" t="s">
        <v>57</v>
      </c>
      <c r="F31" s="57"/>
      <c r="G31" s="60"/>
      <c r="H31" s="59"/>
      <c r="I31" s="59"/>
      <c r="J31" s="59"/>
      <c r="K31" s="59"/>
      <c r="L31" s="44"/>
      <c r="M31" s="44"/>
      <c r="N31" s="44"/>
      <c r="O31" s="44"/>
      <c r="P31" s="44"/>
      <c r="Q31" s="44"/>
      <c r="R31" s="44"/>
      <c r="S31" s="44"/>
      <c r="T31" s="44"/>
      <c r="U31" s="44"/>
      <c r="V31" s="44"/>
      <c r="W31" s="44"/>
      <c r="X31" s="44"/>
      <c r="Y31" s="44"/>
      <c r="Z31" s="44"/>
      <c r="AA31" s="44"/>
      <c r="AB31" s="44"/>
      <c r="AC31" s="44"/>
      <c r="AD31" s="44"/>
      <c r="AE31" s="44"/>
      <c r="AF31" s="44"/>
      <c r="AG31" s="44"/>
      <c r="AH31" s="44"/>
      <c r="AI31" s="45">
        <v>0</v>
      </c>
      <c r="AJ31" s="26"/>
      <c r="AK31" s="19"/>
    </row>
    <row r="32" spans="1:37" ht="16.5" hidden="1" customHeight="1">
      <c r="A32" s="19"/>
      <c r="B32" s="25"/>
      <c r="C32" s="50" t="s">
        <v>62</v>
      </c>
      <c r="D32" s="384"/>
      <c r="E32" s="57" t="s">
        <v>59</v>
      </c>
      <c r="F32" s="57"/>
      <c r="G32" s="60"/>
      <c r="H32" s="59"/>
      <c r="I32" s="59"/>
      <c r="J32" s="59"/>
      <c r="K32" s="59"/>
      <c r="L32" s="44"/>
      <c r="M32" s="44"/>
      <c r="N32" s="44"/>
      <c r="O32" s="44"/>
      <c r="P32" s="44"/>
      <c r="Q32" s="44"/>
      <c r="R32" s="44"/>
      <c r="S32" s="44"/>
      <c r="T32" s="44"/>
      <c r="U32" s="44"/>
      <c r="V32" s="44"/>
      <c r="W32" s="44"/>
      <c r="X32" s="44"/>
      <c r="Y32" s="44"/>
      <c r="Z32" s="44"/>
      <c r="AA32" s="44"/>
      <c r="AB32" s="44"/>
      <c r="AC32" s="44"/>
      <c r="AD32" s="44"/>
      <c r="AE32" s="44"/>
      <c r="AF32" s="44"/>
      <c r="AG32" s="44"/>
      <c r="AH32" s="44"/>
      <c r="AI32" s="45">
        <v>0</v>
      </c>
      <c r="AJ32" s="26"/>
      <c r="AK32" s="19"/>
    </row>
    <row r="33" spans="1:37" ht="16.5" hidden="1" customHeight="1">
      <c r="A33" s="19"/>
      <c r="B33" s="25"/>
      <c r="C33" s="50" t="s">
        <v>62</v>
      </c>
      <c r="D33" s="385"/>
      <c r="E33" s="57" t="s">
        <v>51</v>
      </c>
      <c r="F33" s="57"/>
      <c r="G33" s="60"/>
      <c r="H33" s="59"/>
      <c r="I33" s="59"/>
      <c r="J33" s="59"/>
      <c r="K33" s="59"/>
      <c r="L33" s="44"/>
      <c r="M33" s="44"/>
      <c r="N33" s="44"/>
      <c r="O33" s="44"/>
      <c r="P33" s="44"/>
      <c r="Q33" s="44"/>
      <c r="R33" s="44"/>
      <c r="S33" s="44"/>
      <c r="T33" s="44"/>
      <c r="U33" s="44"/>
      <c r="V33" s="44"/>
      <c r="W33" s="44"/>
      <c r="X33" s="44"/>
      <c r="Y33" s="44"/>
      <c r="Z33" s="44"/>
      <c r="AA33" s="44"/>
      <c r="AB33" s="44"/>
      <c r="AC33" s="44"/>
      <c r="AD33" s="44"/>
      <c r="AE33" s="44"/>
      <c r="AF33" s="44"/>
      <c r="AG33" s="44"/>
      <c r="AH33" s="44"/>
      <c r="AI33" s="45">
        <v>0</v>
      </c>
      <c r="AJ33" s="26"/>
      <c r="AK33" s="19"/>
    </row>
    <row r="34" spans="1:37" ht="16.5" hidden="1" customHeight="1">
      <c r="A34" s="19"/>
      <c r="B34" s="25"/>
      <c r="C34" s="50" t="s">
        <v>62</v>
      </c>
      <c r="D34" s="383"/>
      <c r="E34" s="57" t="s">
        <v>57</v>
      </c>
      <c r="F34" s="57"/>
      <c r="G34" s="60"/>
      <c r="H34" s="59"/>
      <c r="I34" s="59"/>
      <c r="J34" s="59"/>
      <c r="K34" s="59"/>
      <c r="L34" s="44"/>
      <c r="M34" s="44"/>
      <c r="N34" s="44"/>
      <c r="O34" s="44"/>
      <c r="P34" s="44"/>
      <c r="Q34" s="44"/>
      <c r="R34" s="44"/>
      <c r="S34" s="44"/>
      <c r="T34" s="44"/>
      <c r="U34" s="44"/>
      <c r="V34" s="44"/>
      <c r="W34" s="44"/>
      <c r="X34" s="44"/>
      <c r="Y34" s="44"/>
      <c r="Z34" s="44"/>
      <c r="AA34" s="44"/>
      <c r="AB34" s="44"/>
      <c r="AC34" s="44"/>
      <c r="AD34" s="44"/>
      <c r="AE34" s="44"/>
      <c r="AF34" s="44"/>
      <c r="AG34" s="44"/>
      <c r="AH34" s="44"/>
      <c r="AI34" s="45">
        <v>0</v>
      </c>
      <c r="AJ34" s="26"/>
      <c r="AK34" s="19"/>
    </row>
    <row r="35" spans="1:37" ht="16.5" hidden="1" customHeight="1">
      <c r="A35" s="19"/>
      <c r="B35" s="25"/>
      <c r="C35" s="50" t="s">
        <v>62</v>
      </c>
      <c r="D35" s="384"/>
      <c r="E35" s="57" t="s">
        <v>59</v>
      </c>
      <c r="F35" s="57"/>
      <c r="G35" s="60"/>
      <c r="H35" s="59"/>
      <c r="I35" s="59"/>
      <c r="J35" s="59"/>
      <c r="K35" s="59"/>
      <c r="L35" s="44"/>
      <c r="M35" s="44"/>
      <c r="N35" s="44"/>
      <c r="O35" s="44"/>
      <c r="P35" s="44"/>
      <c r="Q35" s="44"/>
      <c r="R35" s="44"/>
      <c r="S35" s="44"/>
      <c r="T35" s="44"/>
      <c r="U35" s="44"/>
      <c r="V35" s="44"/>
      <c r="W35" s="44"/>
      <c r="X35" s="44"/>
      <c r="Y35" s="44"/>
      <c r="Z35" s="44"/>
      <c r="AA35" s="44"/>
      <c r="AB35" s="44"/>
      <c r="AC35" s="44"/>
      <c r="AD35" s="44"/>
      <c r="AE35" s="44"/>
      <c r="AF35" s="44"/>
      <c r="AG35" s="44"/>
      <c r="AH35" s="44"/>
      <c r="AI35" s="45">
        <v>0</v>
      </c>
      <c r="AJ35" s="26"/>
      <c r="AK35" s="19"/>
    </row>
    <row r="36" spans="1:37" ht="16.5" hidden="1" customHeight="1">
      <c r="A36" s="19"/>
      <c r="B36" s="25"/>
      <c r="C36" s="50" t="s">
        <v>62</v>
      </c>
      <c r="D36" s="386" t="s">
        <v>64</v>
      </c>
      <c r="E36" s="57" t="s">
        <v>51</v>
      </c>
      <c r="F36" s="57"/>
      <c r="G36" s="60"/>
      <c r="H36" s="59"/>
      <c r="I36" s="59"/>
      <c r="J36" s="59"/>
      <c r="K36" s="59"/>
      <c r="L36" s="44"/>
      <c r="M36" s="44"/>
      <c r="N36" s="44"/>
      <c r="O36" s="44"/>
      <c r="P36" s="44"/>
      <c r="Q36" s="44"/>
      <c r="R36" s="44"/>
      <c r="S36" s="44"/>
      <c r="T36" s="44"/>
      <c r="U36" s="44"/>
      <c r="V36" s="44"/>
      <c r="W36" s="44"/>
      <c r="X36" s="44"/>
      <c r="Y36" s="44"/>
      <c r="Z36" s="44"/>
      <c r="AA36" s="44"/>
      <c r="AB36" s="44"/>
      <c r="AC36" s="44"/>
      <c r="AD36" s="44"/>
      <c r="AE36" s="44"/>
      <c r="AF36" s="44"/>
      <c r="AG36" s="44"/>
      <c r="AH36" s="44"/>
      <c r="AI36" s="45">
        <v>0</v>
      </c>
      <c r="AJ36" s="26"/>
      <c r="AK36" s="19"/>
    </row>
    <row r="37" spans="1:37" ht="16.5" hidden="1" customHeight="1">
      <c r="A37" s="19"/>
      <c r="B37" s="25"/>
      <c r="C37" s="50" t="s">
        <v>62</v>
      </c>
      <c r="D37" s="383"/>
      <c r="E37" s="57" t="s">
        <v>57</v>
      </c>
      <c r="F37" s="57"/>
      <c r="G37" s="60"/>
      <c r="H37" s="59"/>
      <c r="I37" s="59"/>
      <c r="J37" s="59"/>
      <c r="K37" s="59"/>
      <c r="L37" s="44"/>
      <c r="M37" s="44"/>
      <c r="N37" s="44"/>
      <c r="O37" s="44"/>
      <c r="P37" s="44"/>
      <c r="Q37" s="44"/>
      <c r="R37" s="44"/>
      <c r="S37" s="44"/>
      <c r="T37" s="44"/>
      <c r="U37" s="44"/>
      <c r="V37" s="44"/>
      <c r="W37" s="44"/>
      <c r="X37" s="44"/>
      <c r="Y37" s="44"/>
      <c r="Z37" s="44"/>
      <c r="AA37" s="44"/>
      <c r="AB37" s="44"/>
      <c r="AC37" s="44"/>
      <c r="AD37" s="44"/>
      <c r="AE37" s="44"/>
      <c r="AF37" s="44"/>
      <c r="AG37" s="44"/>
      <c r="AH37" s="44"/>
      <c r="AI37" s="45">
        <v>0</v>
      </c>
      <c r="AJ37" s="26"/>
      <c r="AK37" s="19"/>
    </row>
    <row r="38" spans="1:37" ht="16.5" hidden="1" customHeight="1">
      <c r="A38" s="19"/>
      <c r="B38" s="25"/>
      <c r="C38" s="50" t="s">
        <v>62</v>
      </c>
      <c r="D38" s="384"/>
      <c r="E38" s="57" t="s">
        <v>59</v>
      </c>
      <c r="F38" s="57"/>
      <c r="G38" s="60"/>
      <c r="H38" s="59"/>
      <c r="I38" s="59"/>
      <c r="J38" s="59"/>
      <c r="K38" s="59"/>
      <c r="L38" s="44"/>
      <c r="M38" s="44"/>
      <c r="N38" s="44"/>
      <c r="O38" s="44"/>
      <c r="P38" s="44"/>
      <c r="Q38" s="44"/>
      <c r="R38" s="44"/>
      <c r="S38" s="44"/>
      <c r="T38" s="44"/>
      <c r="U38" s="44"/>
      <c r="V38" s="44"/>
      <c r="W38" s="44"/>
      <c r="X38" s="44"/>
      <c r="Y38" s="44"/>
      <c r="Z38" s="44"/>
      <c r="AA38" s="44"/>
      <c r="AB38" s="44"/>
      <c r="AC38" s="44"/>
      <c r="AD38" s="44"/>
      <c r="AE38" s="44"/>
      <c r="AF38" s="44"/>
      <c r="AG38" s="44"/>
      <c r="AH38" s="44"/>
      <c r="AI38" s="45">
        <v>0</v>
      </c>
      <c r="AJ38" s="26"/>
      <c r="AK38" s="19"/>
    </row>
    <row r="39" spans="1:37" ht="16.5" customHeight="1">
      <c r="A39" s="19"/>
      <c r="B39" s="25"/>
      <c r="C39" s="61" t="s">
        <v>62</v>
      </c>
      <c r="D39" s="62" t="s">
        <v>60</v>
      </c>
      <c r="E39" s="82"/>
      <c r="F39" s="82"/>
      <c r="G39" s="83"/>
      <c r="H39" s="65"/>
      <c r="I39" s="66" t="s">
        <v>61</v>
      </c>
      <c r="J39" s="67"/>
      <c r="K39" s="67"/>
      <c r="L39" s="68">
        <f t="shared" ref="L39:Z39" si="3">SUM(L23:L38)</f>
        <v>0</v>
      </c>
      <c r="M39" s="68">
        <f t="shared" si="3"/>
        <v>1</v>
      </c>
      <c r="N39" s="68">
        <f t="shared" si="3"/>
        <v>7</v>
      </c>
      <c r="O39" s="68">
        <f t="shared" si="3"/>
        <v>7</v>
      </c>
      <c r="P39" s="68">
        <f t="shared" si="3"/>
        <v>7</v>
      </c>
      <c r="Q39" s="68">
        <f t="shared" si="3"/>
        <v>7</v>
      </c>
      <c r="R39" s="68">
        <f t="shared" si="3"/>
        <v>7</v>
      </c>
      <c r="S39" s="68">
        <f t="shared" si="3"/>
        <v>7</v>
      </c>
      <c r="T39" s="68">
        <f t="shared" si="3"/>
        <v>7</v>
      </c>
      <c r="U39" s="68">
        <f t="shared" si="3"/>
        <v>6.5</v>
      </c>
      <c r="V39" s="68">
        <f t="shared" si="3"/>
        <v>4</v>
      </c>
      <c r="W39" s="68">
        <f t="shared" si="3"/>
        <v>4</v>
      </c>
      <c r="X39" s="68">
        <f t="shared" si="3"/>
        <v>4</v>
      </c>
      <c r="Y39" s="68">
        <f t="shared" si="3"/>
        <v>4</v>
      </c>
      <c r="Z39" s="68">
        <f t="shared" si="3"/>
        <v>0.5</v>
      </c>
      <c r="AA39" s="68"/>
      <c r="AB39" s="68"/>
      <c r="AC39" s="68"/>
      <c r="AD39" s="68"/>
      <c r="AE39" s="68"/>
      <c r="AF39" s="68"/>
      <c r="AG39" s="68"/>
      <c r="AH39" s="68"/>
      <c r="AI39" s="69">
        <f>SUM(AI23:AI38)</f>
        <v>73</v>
      </c>
      <c r="AJ39" s="26"/>
      <c r="AK39" s="19"/>
    </row>
    <row r="40" spans="1:37" ht="4.5" customHeight="1">
      <c r="A40" s="70"/>
      <c r="B40" s="71"/>
      <c r="C40" s="72"/>
      <c r="D40" s="73"/>
      <c r="E40" s="74"/>
      <c r="F40" s="74"/>
      <c r="G40" s="74"/>
      <c r="H40" s="74"/>
      <c r="I40" s="74"/>
      <c r="J40" s="74"/>
      <c r="K40" s="74"/>
      <c r="L40" s="74"/>
      <c r="M40" s="74"/>
      <c r="N40" s="74"/>
      <c r="O40" s="74"/>
      <c r="P40" s="74"/>
      <c r="Q40" s="74"/>
      <c r="R40" s="74"/>
      <c r="S40" s="74"/>
      <c r="T40" s="74"/>
      <c r="U40" s="74"/>
      <c r="V40" s="74"/>
      <c r="W40" s="74"/>
      <c r="X40" s="74"/>
      <c r="Y40" s="74"/>
      <c r="Z40" s="74"/>
      <c r="AA40" s="74"/>
      <c r="AB40" s="74"/>
      <c r="AC40" s="74"/>
      <c r="AD40" s="74"/>
      <c r="AE40" s="74"/>
      <c r="AF40" s="74"/>
      <c r="AG40" s="74"/>
      <c r="AH40" s="74"/>
      <c r="AI40" s="77"/>
      <c r="AJ40" s="78"/>
      <c r="AK40" s="70"/>
    </row>
    <row r="41" spans="1:37" ht="16.5" customHeight="1">
      <c r="A41" s="19"/>
      <c r="B41" s="25"/>
      <c r="C41" s="387" t="s">
        <v>60</v>
      </c>
      <c r="D41" s="388"/>
      <c r="E41" s="389"/>
      <c r="F41" s="84"/>
      <c r="G41" s="85"/>
      <c r="H41" s="85"/>
      <c r="I41" s="85" t="s">
        <v>65</v>
      </c>
      <c r="J41" s="86"/>
      <c r="K41" s="86"/>
      <c r="L41" s="68">
        <f t="shared" ref="L41:Z41" si="4">L21+L39</f>
        <v>6.5</v>
      </c>
      <c r="M41" s="68">
        <f t="shared" si="4"/>
        <v>9</v>
      </c>
      <c r="N41" s="68">
        <f t="shared" si="4"/>
        <v>15</v>
      </c>
      <c r="O41" s="68">
        <f t="shared" si="4"/>
        <v>15</v>
      </c>
      <c r="P41" s="68">
        <f t="shared" si="4"/>
        <v>15</v>
      </c>
      <c r="Q41" s="68">
        <f t="shared" si="4"/>
        <v>15</v>
      </c>
      <c r="R41" s="68">
        <f t="shared" si="4"/>
        <v>15</v>
      </c>
      <c r="S41" s="68">
        <f t="shared" si="4"/>
        <v>15</v>
      </c>
      <c r="T41" s="68">
        <f t="shared" si="4"/>
        <v>14</v>
      </c>
      <c r="U41" s="68">
        <f t="shared" si="4"/>
        <v>13.5</v>
      </c>
      <c r="V41" s="68">
        <f t="shared" si="4"/>
        <v>11</v>
      </c>
      <c r="W41" s="68">
        <f t="shared" si="4"/>
        <v>10</v>
      </c>
      <c r="X41" s="68">
        <f t="shared" si="4"/>
        <v>9.5</v>
      </c>
      <c r="Y41" s="68">
        <f t="shared" si="4"/>
        <v>7</v>
      </c>
      <c r="Z41" s="68">
        <f t="shared" si="4"/>
        <v>1.5</v>
      </c>
      <c r="AA41" s="68"/>
      <c r="AB41" s="68"/>
      <c r="AC41" s="68"/>
      <c r="AD41" s="68"/>
      <c r="AE41" s="68"/>
      <c r="AF41" s="68"/>
      <c r="AG41" s="68"/>
      <c r="AH41" s="68"/>
      <c r="AI41" s="69">
        <f>AI21+AI39</f>
        <v>172</v>
      </c>
      <c r="AJ41" s="26"/>
      <c r="AK41" s="19"/>
    </row>
    <row r="42" spans="1:37" ht="16.5" customHeight="1">
      <c r="A42" s="19"/>
      <c r="B42" s="87"/>
      <c r="C42" s="88"/>
      <c r="D42" s="88"/>
      <c r="E42" s="89"/>
      <c r="F42" s="89"/>
      <c r="G42" s="89"/>
      <c r="H42" s="89"/>
      <c r="I42" s="88"/>
      <c r="J42" s="88"/>
      <c r="K42" s="90"/>
      <c r="L42" s="89"/>
      <c r="M42" s="89"/>
      <c r="N42" s="89"/>
      <c r="O42" s="89"/>
      <c r="P42" s="89"/>
      <c r="Q42" s="89"/>
      <c r="R42" s="89"/>
      <c r="S42" s="89"/>
      <c r="T42" s="89"/>
      <c r="U42" s="89"/>
      <c r="V42" s="89"/>
      <c r="W42" s="89"/>
      <c r="X42" s="89"/>
      <c r="Y42" s="89"/>
      <c r="Z42" s="89"/>
      <c r="AA42" s="89"/>
      <c r="AB42" s="89"/>
      <c r="AC42" s="89"/>
      <c r="AD42" s="89"/>
      <c r="AE42" s="89"/>
      <c r="AF42" s="89"/>
      <c r="AG42" s="89"/>
      <c r="AH42" s="89"/>
      <c r="AI42" s="89"/>
      <c r="AJ42" s="91"/>
      <c r="AK42" s="19"/>
    </row>
    <row r="43" spans="1:37" ht="16.5" customHeight="1">
      <c r="A43" s="19"/>
      <c r="B43" s="19"/>
      <c r="C43" s="19"/>
      <c r="D43" s="19"/>
      <c r="E43" s="20"/>
      <c r="F43" s="20"/>
      <c r="G43" s="20"/>
      <c r="H43" s="20"/>
      <c r="I43" s="19"/>
      <c r="J43" s="19"/>
      <c r="K43" s="19"/>
      <c r="L43" s="20"/>
      <c r="M43" s="20"/>
      <c r="N43" s="20"/>
      <c r="O43" s="20"/>
      <c r="P43" s="20"/>
      <c r="Q43" s="20"/>
      <c r="R43" s="20"/>
      <c r="S43" s="20"/>
      <c r="T43" s="20"/>
      <c r="U43" s="20"/>
      <c r="V43" s="20"/>
      <c r="W43" s="20"/>
      <c r="X43" s="20"/>
      <c r="Y43" s="20"/>
      <c r="Z43" s="20"/>
      <c r="AA43" s="20"/>
      <c r="AB43" s="20"/>
      <c r="AC43" s="20"/>
      <c r="AD43" s="20"/>
      <c r="AE43" s="20"/>
      <c r="AF43" s="20"/>
      <c r="AG43" s="20"/>
      <c r="AH43" s="20"/>
      <c r="AI43" s="20"/>
      <c r="AJ43" s="19"/>
      <c r="AK43" s="19"/>
    </row>
    <row r="44" spans="1:37" ht="16.5" customHeight="1">
      <c r="S44" s="92" t="s">
        <v>66</v>
      </c>
      <c r="X44" s="92" t="s">
        <v>67</v>
      </c>
    </row>
    <row r="45" spans="1:37" ht="16.5" customHeight="1">
      <c r="S45" s="93" t="s">
        <v>68</v>
      </c>
      <c r="T45" s="94" t="s">
        <v>69</v>
      </c>
      <c r="U45" s="93" t="s">
        <v>70</v>
      </c>
      <c r="V45" s="93" t="s">
        <v>60</v>
      </c>
      <c r="X45" s="390" t="s">
        <v>71</v>
      </c>
      <c r="Y45" s="381"/>
      <c r="Z45" s="95">
        <v>172</v>
      </c>
    </row>
    <row r="46" spans="1:37" ht="16.5" customHeight="1">
      <c r="S46" s="375" t="s">
        <v>53</v>
      </c>
      <c r="T46" s="96" t="s">
        <v>51</v>
      </c>
      <c r="U46" s="95">
        <f>SUMIF($E$7:$E$14,"고급",$AI$7:$AI$14)</f>
        <v>55</v>
      </c>
      <c r="V46" s="378">
        <f>SUM(U46:U48)</f>
        <v>99</v>
      </c>
      <c r="X46" s="391" t="s">
        <v>72</v>
      </c>
      <c r="Y46" s="381"/>
      <c r="Z46" s="95">
        <f>204.5-Z45</f>
        <v>32.5</v>
      </c>
    </row>
    <row r="47" spans="1:37" ht="16.5" customHeight="1">
      <c r="S47" s="376"/>
      <c r="T47" s="96" t="s">
        <v>57</v>
      </c>
      <c r="U47" s="95">
        <f>SUMIF($E$7:$E$14,"중급",$AI$7:$AI$14)</f>
        <v>25</v>
      </c>
      <c r="V47" s="376"/>
      <c r="X47" s="391" t="s">
        <v>73</v>
      </c>
      <c r="Y47" s="381"/>
      <c r="Z47" s="95">
        <v>204.5</v>
      </c>
    </row>
    <row r="48" spans="1:37" ht="16.5" customHeight="1">
      <c r="S48" s="377"/>
      <c r="T48" s="96" t="s">
        <v>59</v>
      </c>
      <c r="U48" s="95">
        <f>SUMIF($E$7:$E$14,"초급",$AI$7:$AI$14)</f>
        <v>19</v>
      </c>
      <c r="V48" s="377"/>
    </row>
    <row r="49" spans="19:22" ht="16.5" customHeight="1">
      <c r="S49" s="375" t="s">
        <v>62</v>
      </c>
      <c r="T49" s="96" t="s">
        <v>51</v>
      </c>
      <c r="U49" s="95">
        <f>SUMIF($E$23:$E$29,"고급",$AI$23:$AI$29)</f>
        <v>0</v>
      </c>
      <c r="V49" s="378">
        <f>SUM(U49:U51)</f>
        <v>73</v>
      </c>
    </row>
    <row r="50" spans="19:22" ht="16.5" customHeight="1">
      <c r="S50" s="376"/>
      <c r="T50" s="96" t="s">
        <v>57</v>
      </c>
      <c r="U50" s="95">
        <f>SUMIF($E$23:$E$29,"중급",$AI$23:$AI$29)</f>
        <v>37</v>
      </c>
      <c r="V50" s="376"/>
    </row>
    <row r="51" spans="19:22" ht="16.5" customHeight="1">
      <c r="S51" s="377"/>
      <c r="T51" s="96" t="s">
        <v>59</v>
      </c>
      <c r="U51" s="95">
        <f>SUMIF($E$23:$E$29,"초급",$AI$23:$AI$29)</f>
        <v>36</v>
      </c>
      <c r="V51" s="377"/>
    </row>
    <row r="52" spans="19:22" ht="16.5" customHeight="1">
      <c r="S52" s="379" t="s">
        <v>74</v>
      </c>
      <c r="T52" s="380"/>
      <c r="U52" s="381"/>
      <c r="V52" s="97">
        <f>SUM(V46:V51)</f>
        <v>172</v>
      </c>
    </row>
    <row r="53" spans="19:22" ht="16.5" customHeight="1"/>
    <row r="54" spans="19:22" ht="16.5" customHeight="1"/>
    <row r="55" spans="19:22" ht="16.5" customHeight="1"/>
    <row r="56" spans="19:22" ht="16.5" customHeight="1"/>
    <row r="57" spans="19:22" ht="16.5" customHeight="1"/>
    <row r="58" spans="19:22" ht="16.5" customHeight="1"/>
    <row r="59" spans="19:22" ht="16.5" customHeight="1"/>
    <row r="60" spans="19:22" ht="16.5" customHeight="1"/>
    <row r="61" spans="19:22" ht="16.5" customHeight="1"/>
    <row r="62" spans="19:22" ht="16.5" customHeight="1"/>
    <row r="63" spans="19:22" ht="16.5" customHeight="1"/>
    <row r="64" spans="19:22" ht="16.5" customHeight="1"/>
    <row r="65" ht="16.5" customHeight="1"/>
    <row r="66" ht="16.5" customHeight="1"/>
    <row r="67" ht="16.5" customHeight="1"/>
    <row r="68" ht="16.5" customHeight="1"/>
    <row r="69" ht="16.5" customHeight="1"/>
    <row r="70" ht="16.5" customHeight="1"/>
    <row r="71" ht="16.5" customHeight="1"/>
    <row r="72" ht="16.5" customHeight="1"/>
    <row r="73" ht="16.5" customHeight="1"/>
    <row r="74" ht="16.5" customHeight="1"/>
    <row r="75" ht="16.5" customHeight="1"/>
    <row r="76" ht="16.5" customHeight="1"/>
    <row r="77" ht="16.5" customHeight="1"/>
    <row r="78" ht="16.5" customHeight="1"/>
    <row r="79" ht="16.5" customHeight="1"/>
    <row r="80" ht="16.5" customHeight="1"/>
    <row r="81" ht="16.5" customHeight="1"/>
    <row r="82" ht="16.5" customHeight="1"/>
    <row r="83" ht="16.5" customHeight="1"/>
    <row r="84" ht="16.5" customHeight="1"/>
    <row r="85" ht="16.5" customHeight="1"/>
    <row r="86" ht="16.5" customHeight="1"/>
    <row r="87" ht="16.5" customHeight="1"/>
    <row r="88" ht="16.5" customHeight="1"/>
    <row r="89" ht="16.5" customHeight="1"/>
    <row r="90" ht="16.5" customHeight="1"/>
    <row r="91" ht="16.5" customHeight="1"/>
    <row r="92" ht="16.5" customHeight="1"/>
    <row r="93" ht="16.5" customHeight="1"/>
    <row r="94" ht="16.5" customHeight="1"/>
    <row r="95" ht="16.5" customHeight="1"/>
    <row r="96" ht="16.5" customHeight="1"/>
    <row r="97" ht="16.5" customHeight="1"/>
    <row r="98" ht="16.5" customHeight="1"/>
    <row r="99" ht="16.5" customHeight="1"/>
    <row r="100" ht="16.5" customHeight="1"/>
    <row r="101" ht="16.5" customHeight="1"/>
    <row r="102" ht="16.5" customHeight="1"/>
    <row r="103" ht="16.5" customHeight="1"/>
    <row r="104" ht="16.5" customHeight="1"/>
    <row r="105" ht="16.5" customHeight="1"/>
    <row r="106" ht="16.5" customHeight="1"/>
    <row r="107" ht="16.5" customHeight="1"/>
    <row r="108" ht="16.5" customHeight="1"/>
    <row r="109" ht="16.5" customHeight="1"/>
    <row r="110" ht="16.5" customHeight="1"/>
    <row r="111" ht="16.5" customHeight="1"/>
    <row r="112" ht="16.5" customHeight="1"/>
    <row r="113" ht="16.5" customHeight="1"/>
    <row r="114" ht="16.5" customHeight="1"/>
    <row r="115" ht="16.5" customHeight="1"/>
    <row r="116" ht="16.5" customHeight="1"/>
    <row r="117" ht="16.5" customHeight="1"/>
    <row r="118" ht="16.5" customHeight="1"/>
    <row r="119" ht="16.5" customHeight="1"/>
    <row r="120" ht="16.5" customHeight="1"/>
    <row r="121" ht="16.5" customHeight="1"/>
    <row r="122" ht="16.5" customHeight="1"/>
    <row r="123" ht="16.5" customHeight="1"/>
    <row r="124" ht="16.5" customHeight="1"/>
    <row r="125" ht="16.5" customHeight="1"/>
    <row r="126" ht="16.5" customHeight="1"/>
    <row r="127" ht="16.5" customHeight="1"/>
    <row r="128" ht="16.5" customHeight="1"/>
    <row r="129" ht="16.5" customHeight="1"/>
    <row r="130" ht="16.5" customHeight="1"/>
    <row r="131" ht="16.5" customHeight="1"/>
    <row r="132" ht="16.5" customHeight="1"/>
    <row r="133" ht="16.5" customHeight="1"/>
    <row r="134" ht="16.5" customHeight="1"/>
    <row r="135" ht="16.5" customHeight="1"/>
    <row r="136" ht="16.5" customHeight="1"/>
    <row r="137" ht="16.5" customHeight="1"/>
    <row r="138" ht="16.5" customHeight="1"/>
    <row r="139" ht="16.5" customHeight="1"/>
    <row r="140" ht="16.5" customHeight="1"/>
    <row r="141" ht="16.5" customHeight="1"/>
    <row r="142" ht="16.5" customHeight="1"/>
    <row r="143" ht="16.5" customHeight="1"/>
    <row r="144" ht="16.5" customHeight="1"/>
    <row r="145" ht="16.5" customHeight="1"/>
    <row r="146" ht="16.5" customHeight="1"/>
    <row r="147" ht="16.5" customHeight="1"/>
    <row r="148" ht="16.5" customHeight="1"/>
    <row r="149" ht="16.5" customHeight="1"/>
    <row r="150" ht="16.5" customHeight="1"/>
    <row r="151" ht="16.5" customHeight="1"/>
    <row r="152" ht="16.5" customHeight="1"/>
    <row r="153" ht="16.5" customHeight="1"/>
    <row r="154" ht="16.5" customHeight="1"/>
    <row r="155" ht="16.5" customHeight="1"/>
    <row r="156" ht="16.5" customHeight="1"/>
    <row r="157" ht="16.5" customHeight="1"/>
    <row r="158" ht="16.5" customHeight="1"/>
    <row r="159" ht="16.5" customHeight="1"/>
    <row r="160" ht="16.5" customHeight="1"/>
    <row r="161" ht="16.5" customHeight="1"/>
    <row r="162" ht="16.5" customHeight="1"/>
    <row r="163" ht="16.5" customHeight="1"/>
    <row r="164" ht="16.5" customHeight="1"/>
    <row r="165" ht="16.5" customHeight="1"/>
    <row r="166" ht="16.5" customHeight="1"/>
    <row r="167" ht="16.5" customHeight="1"/>
    <row r="168" ht="16.5" customHeight="1"/>
    <row r="169" ht="16.5" customHeight="1"/>
    <row r="170" ht="16.5" customHeight="1"/>
    <row r="171" ht="16.5" customHeight="1"/>
    <row r="172" ht="16.5" customHeight="1"/>
    <row r="173" ht="16.5" customHeight="1"/>
    <row r="174" ht="16.5" customHeight="1"/>
    <row r="175" ht="16.5" customHeight="1"/>
    <row r="176" ht="16.5" customHeight="1"/>
    <row r="177" ht="16.5" customHeight="1"/>
    <row r="178" ht="16.5" customHeight="1"/>
    <row r="179" ht="16.5" customHeight="1"/>
    <row r="180" ht="16.5" customHeight="1"/>
    <row r="181" ht="16.5" customHeight="1"/>
    <row r="182" ht="16.5" customHeight="1"/>
    <row r="183" ht="16.5" customHeight="1"/>
    <row r="184" ht="16.5" customHeight="1"/>
    <row r="185" ht="16.5" customHeight="1"/>
    <row r="186" ht="16.5" customHeight="1"/>
    <row r="187" ht="16.5" customHeight="1"/>
    <row r="188" ht="16.5" customHeight="1"/>
    <row r="189" ht="16.5" customHeight="1"/>
    <row r="190" ht="16.5" customHeight="1"/>
    <row r="191" ht="16.5" customHeight="1"/>
    <row r="192" ht="16.5" customHeight="1"/>
    <row r="193" ht="16.5" customHeight="1"/>
    <row r="194" ht="16.5" customHeight="1"/>
    <row r="195" ht="16.5" customHeight="1"/>
    <row r="196" ht="16.5" customHeight="1"/>
    <row r="197" ht="16.5" customHeight="1"/>
    <row r="198" ht="16.5" customHeight="1"/>
    <row r="199" ht="16.5" customHeight="1"/>
    <row r="200" ht="16.5" customHeight="1"/>
    <row r="201" ht="16.5" customHeight="1"/>
    <row r="202" ht="16.5" customHeight="1"/>
    <row r="203" ht="16.5" customHeight="1"/>
    <row r="204" ht="16.5" customHeight="1"/>
    <row r="205" ht="16.5" customHeight="1"/>
    <row r="206" ht="16.5" customHeight="1"/>
    <row r="207" ht="16.5" customHeight="1"/>
    <row r="208" ht="16.5" customHeight="1"/>
    <row r="209" ht="16.5" customHeight="1"/>
    <row r="210" ht="16.5" customHeight="1"/>
    <row r="211" ht="16.5" customHeight="1"/>
    <row r="212" ht="16.5" customHeight="1"/>
    <row r="213" ht="16.5" customHeight="1"/>
    <row r="214" ht="16.5" customHeight="1"/>
    <row r="215" ht="16.5" customHeight="1"/>
    <row r="216" ht="16.5" customHeight="1"/>
    <row r="217" ht="16.5" customHeight="1"/>
    <row r="218" ht="16.5" customHeight="1"/>
    <row r="219" ht="16.5" customHeight="1"/>
    <row r="220" ht="16.5" customHeight="1"/>
    <row r="221" ht="16.5" customHeight="1"/>
    <row r="222" ht="16.5" customHeight="1"/>
    <row r="223" ht="16.5" customHeight="1"/>
    <row r="224" ht="16.5" customHeight="1"/>
    <row r="225" ht="16.5" customHeight="1"/>
    <row r="226" ht="16.5" customHeight="1"/>
    <row r="227" ht="16.5" customHeight="1"/>
    <row r="228" ht="16.5" customHeight="1"/>
    <row r="229" ht="16.5" customHeight="1"/>
    <row r="230" ht="16.5" customHeight="1"/>
    <row r="231" ht="16.5" customHeight="1"/>
    <row r="232" ht="16.5" customHeight="1"/>
    <row r="233" ht="16.5" customHeight="1"/>
    <row r="234" ht="16.5" customHeight="1"/>
    <row r="235" ht="16.5" customHeight="1"/>
    <row r="236" ht="16.5" customHeight="1"/>
    <row r="237" ht="16.5" customHeight="1"/>
    <row r="238" ht="16.5" customHeight="1"/>
    <row r="239" ht="16.5" customHeight="1"/>
    <row r="240" ht="16.5" customHeight="1"/>
    <row r="241" ht="16.5" customHeight="1"/>
    <row r="242" ht="16.5" customHeight="1"/>
    <row r="243" ht="16.5" customHeight="1"/>
    <row r="244" ht="16.5" customHeight="1"/>
    <row r="245" ht="16.5" customHeight="1"/>
    <row r="246" ht="16.5" customHeight="1"/>
    <row r="247" ht="16.5" customHeight="1"/>
    <row r="248" ht="16.5" customHeight="1"/>
    <row r="249" ht="16.5" customHeight="1"/>
    <row r="250" ht="16.5" customHeight="1"/>
    <row r="251" ht="16.5" customHeight="1"/>
    <row r="252" ht="16.5" customHeight="1"/>
    <row r="253" ht="16.5" customHeight="1"/>
    <row r="254" ht="16.5" customHeight="1"/>
    <row r="255" ht="16.5" customHeight="1"/>
    <row r="256" ht="16.5" customHeight="1"/>
    <row r="257" ht="16.5" customHeight="1"/>
    <row r="258" ht="16.5" customHeight="1"/>
    <row r="259" ht="16.5" customHeight="1"/>
    <row r="260" ht="16.5" customHeight="1"/>
    <row r="261" ht="16.5" customHeight="1"/>
    <row r="262" ht="16.5" customHeight="1"/>
    <row r="263" ht="16.5" customHeight="1"/>
    <row r="264" ht="16.5" customHeight="1"/>
    <row r="265" ht="16.5" customHeight="1"/>
    <row r="266" ht="16.5" customHeight="1"/>
    <row r="267" ht="16.5" customHeight="1"/>
    <row r="268" ht="16.5" customHeight="1"/>
    <row r="269" ht="16.5" customHeight="1"/>
    <row r="270" ht="16.5" customHeight="1"/>
    <row r="271" ht="16.5" customHeight="1"/>
    <row r="272" ht="16.5" customHeight="1"/>
    <row r="273" ht="16.5" customHeight="1"/>
    <row r="274" ht="16.5" customHeight="1"/>
    <row r="275" ht="16.5" customHeight="1"/>
    <row r="276" ht="16.5" customHeight="1"/>
    <row r="277" ht="16.5" customHeight="1"/>
    <row r="278" ht="16.5" customHeight="1"/>
    <row r="279" ht="16.5" customHeight="1"/>
    <row r="280" ht="16.5" customHeight="1"/>
    <row r="281" ht="16.5" customHeight="1"/>
    <row r="282" ht="16.5" customHeight="1"/>
    <row r="283" ht="16.5" customHeight="1"/>
    <row r="284" ht="16.5" customHeight="1"/>
    <row r="285" ht="16.5" customHeight="1"/>
    <row r="286" ht="16.5" customHeight="1"/>
    <row r="287" ht="16.5" customHeight="1"/>
    <row r="288" ht="16.5" customHeight="1"/>
    <row r="289" ht="16.5" customHeight="1"/>
    <row r="290" ht="16.5" customHeight="1"/>
    <row r="291" ht="16.5" customHeight="1"/>
    <row r="292" ht="16.5" customHeight="1"/>
    <row r="293" ht="16.5" customHeight="1"/>
    <row r="294" ht="16.5" customHeight="1"/>
    <row r="295" ht="16.5" customHeight="1"/>
    <row r="296" ht="16.5" customHeight="1"/>
    <row r="297" ht="16.5" customHeight="1"/>
    <row r="298" ht="16.5" customHeight="1"/>
    <row r="299" ht="16.5" customHeight="1"/>
    <row r="300" ht="16.5" customHeight="1"/>
    <row r="301" ht="16.5" customHeight="1"/>
    <row r="302" ht="16.5" customHeight="1"/>
    <row r="303" ht="16.5" customHeight="1"/>
    <row r="304" ht="16.5" customHeight="1"/>
    <row r="305" ht="16.5" customHeight="1"/>
    <row r="306" ht="16.5" customHeight="1"/>
    <row r="307" ht="16.5" customHeight="1"/>
    <row r="308" ht="16.5" customHeight="1"/>
    <row r="309" ht="16.5" customHeight="1"/>
    <row r="310" ht="16.5" customHeight="1"/>
    <row r="311" ht="16.5" customHeight="1"/>
    <row r="312" ht="16.5" customHeight="1"/>
    <row r="313" ht="16.5" customHeight="1"/>
    <row r="314" ht="16.5" customHeight="1"/>
    <row r="315" ht="16.5" customHeight="1"/>
    <row r="316" ht="16.5" customHeight="1"/>
    <row r="317" ht="16.5" customHeight="1"/>
    <row r="318" ht="16.5" customHeight="1"/>
    <row r="319" ht="16.5" customHeight="1"/>
    <row r="320" ht="16.5" customHeight="1"/>
    <row r="321" ht="16.5" customHeight="1"/>
    <row r="322" ht="16.5" customHeight="1"/>
    <row r="323" ht="16.5" customHeight="1"/>
    <row r="324" ht="16.5" customHeight="1"/>
    <row r="325" ht="16.5" customHeight="1"/>
    <row r="326" ht="16.5" customHeight="1"/>
    <row r="327" ht="16.5" customHeight="1"/>
    <row r="328" ht="16.5" customHeight="1"/>
    <row r="329" ht="16.5" customHeight="1"/>
    <row r="330" ht="16.5" customHeight="1"/>
    <row r="331" ht="16.5" customHeight="1"/>
    <row r="332" ht="16.5" customHeight="1"/>
    <row r="333" ht="16.5" customHeight="1"/>
    <row r="334" ht="16.5" customHeight="1"/>
    <row r="335" ht="16.5" customHeight="1"/>
    <row r="336" ht="16.5" customHeight="1"/>
    <row r="337" ht="16.5" customHeight="1"/>
    <row r="338" ht="16.5" customHeight="1"/>
    <row r="339" ht="16.5" customHeight="1"/>
    <row r="340" ht="16.5" customHeight="1"/>
    <row r="341" ht="16.5" customHeight="1"/>
    <row r="342" ht="16.5" customHeight="1"/>
    <row r="343" ht="16.5" customHeight="1"/>
    <row r="344" ht="16.5" customHeight="1"/>
    <row r="345" ht="16.5" customHeight="1"/>
    <row r="346" ht="16.5" customHeight="1"/>
    <row r="347" ht="16.5" customHeight="1"/>
    <row r="348" ht="16.5" customHeight="1"/>
    <row r="349" ht="16.5" customHeight="1"/>
    <row r="350" ht="16.5" customHeight="1"/>
    <row r="351" ht="16.5" customHeight="1"/>
    <row r="352" ht="16.5" customHeight="1"/>
    <row r="353" ht="16.5" customHeight="1"/>
    <row r="354" ht="16.5" customHeight="1"/>
    <row r="355" ht="16.5" customHeight="1"/>
    <row r="356" ht="16.5" customHeight="1"/>
    <row r="357" ht="16.5" customHeight="1"/>
    <row r="358" ht="16.5" customHeight="1"/>
    <row r="359" ht="16.5" customHeight="1"/>
    <row r="360" ht="16.5" customHeight="1"/>
    <row r="361" ht="16.5" customHeight="1"/>
    <row r="362" ht="16.5" customHeight="1"/>
    <row r="363" ht="16.5" customHeight="1"/>
    <row r="364" ht="16.5" customHeight="1"/>
    <row r="365" ht="16.5" customHeight="1"/>
    <row r="366" ht="16.5" customHeight="1"/>
    <row r="367" ht="16.5" customHeight="1"/>
    <row r="368" ht="16.5" customHeight="1"/>
    <row r="369" ht="16.5" customHeight="1"/>
    <row r="370" ht="16.5" customHeight="1"/>
    <row r="371" ht="16.5" customHeight="1"/>
    <row r="372" ht="16.5" customHeight="1"/>
    <row r="373" ht="16.5" customHeight="1"/>
    <row r="374" ht="16.5" customHeight="1"/>
    <row r="375" ht="16.5" customHeight="1"/>
    <row r="376" ht="16.5" customHeight="1"/>
    <row r="377" ht="16.5" customHeight="1"/>
    <row r="378" ht="16.5" customHeight="1"/>
    <row r="379" ht="16.5" customHeight="1"/>
    <row r="380" ht="16.5" customHeight="1"/>
    <row r="381" ht="16.5" customHeight="1"/>
    <row r="382" ht="16.5" customHeight="1"/>
    <row r="383" ht="16.5" customHeight="1"/>
    <row r="384" ht="16.5" customHeight="1"/>
    <row r="385" ht="16.5" customHeight="1"/>
    <row r="386" ht="16.5" customHeight="1"/>
    <row r="387" ht="16.5" customHeight="1"/>
    <row r="388" ht="16.5" customHeight="1"/>
    <row r="389" ht="16.5" customHeight="1"/>
    <row r="390" ht="16.5" customHeight="1"/>
    <row r="391" ht="16.5" customHeight="1"/>
    <row r="392" ht="16.5" customHeight="1"/>
    <row r="393" ht="16.5" customHeight="1"/>
    <row r="394" ht="16.5" customHeight="1"/>
    <row r="395" ht="16.5" customHeight="1"/>
    <row r="396" ht="16.5" customHeight="1"/>
    <row r="397" ht="16.5" customHeight="1"/>
    <row r="398" ht="16.5" customHeight="1"/>
    <row r="399" ht="16.5" customHeight="1"/>
    <row r="400" ht="16.5" customHeight="1"/>
    <row r="401" ht="16.5" customHeight="1"/>
    <row r="402" ht="16.5" customHeight="1"/>
    <row r="403" ht="16.5" customHeight="1"/>
    <row r="404" ht="16.5" customHeight="1"/>
    <row r="405" ht="16.5" customHeight="1"/>
    <row r="406" ht="16.5" customHeight="1"/>
    <row r="407" ht="16.5" customHeight="1"/>
    <row r="408" ht="16.5" customHeight="1"/>
    <row r="409" ht="16.5" customHeight="1"/>
    <row r="410" ht="16.5" customHeight="1"/>
    <row r="411" ht="16.5" customHeight="1"/>
    <row r="412" ht="16.5" customHeight="1"/>
    <row r="413" ht="16.5" customHeight="1"/>
    <row r="414" ht="16.5" customHeight="1"/>
    <row r="415" ht="16.5" customHeight="1"/>
    <row r="416" ht="16.5" customHeight="1"/>
    <row r="417" ht="16.5" customHeight="1"/>
    <row r="418" ht="16.5" customHeight="1"/>
    <row r="419" ht="16.5" customHeight="1"/>
    <row r="420" ht="16.5" customHeight="1"/>
    <row r="421" ht="16.5" customHeight="1"/>
    <row r="422" ht="16.5" customHeight="1"/>
    <row r="423" ht="16.5" customHeight="1"/>
    <row r="424" ht="16.5" customHeight="1"/>
    <row r="425" ht="16.5" customHeight="1"/>
    <row r="426" ht="16.5" customHeight="1"/>
    <row r="427" ht="16.5" customHeight="1"/>
    <row r="428" ht="16.5" customHeight="1"/>
    <row r="429" ht="16.5" customHeight="1"/>
    <row r="430" ht="16.5" customHeight="1"/>
    <row r="431" ht="16.5" customHeight="1"/>
    <row r="432" ht="16.5" customHeight="1"/>
    <row r="433" ht="16.5" customHeight="1"/>
    <row r="434" ht="16.5" customHeight="1"/>
    <row r="435" ht="16.5" customHeight="1"/>
    <row r="436" ht="16.5" customHeight="1"/>
    <row r="437" ht="16.5" customHeight="1"/>
    <row r="438" ht="16.5" customHeight="1"/>
    <row r="439" ht="16.5" customHeight="1"/>
    <row r="440" ht="16.5" customHeight="1"/>
    <row r="441" ht="16.5" customHeight="1"/>
    <row r="442" ht="16.5" customHeight="1"/>
    <row r="443" ht="16.5" customHeight="1"/>
    <row r="444" ht="16.5" customHeight="1"/>
    <row r="445" ht="16.5" customHeight="1"/>
    <row r="446" ht="16.5" customHeight="1"/>
    <row r="447" ht="16.5" customHeight="1"/>
    <row r="448" ht="16.5" customHeight="1"/>
    <row r="449" ht="16.5" customHeight="1"/>
    <row r="450" ht="16.5" customHeight="1"/>
    <row r="451" ht="16.5" customHeight="1"/>
    <row r="452" ht="16.5" customHeight="1"/>
    <row r="453" ht="16.5" customHeight="1"/>
    <row r="454" ht="16.5" customHeight="1"/>
    <row r="455" ht="16.5" customHeight="1"/>
    <row r="456" ht="16.5" customHeight="1"/>
    <row r="457" ht="16.5" customHeight="1"/>
    <row r="458" ht="16.5" customHeight="1"/>
    <row r="459" ht="16.5" customHeight="1"/>
    <row r="460" ht="16.5" customHeight="1"/>
    <row r="461" ht="16.5" customHeight="1"/>
    <row r="462" ht="16.5" customHeight="1"/>
    <row r="463" ht="16.5" customHeight="1"/>
    <row r="464" ht="16.5" customHeight="1"/>
    <row r="465" ht="16.5" customHeight="1"/>
    <row r="466" ht="16.5" customHeight="1"/>
    <row r="467" ht="16.5" customHeight="1"/>
    <row r="468" ht="16.5" customHeight="1"/>
    <row r="469" ht="16.5" customHeight="1"/>
    <row r="470" ht="16.5" customHeight="1"/>
    <row r="471" ht="16.5" customHeight="1"/>
    <row r="472" ht="16.5" customHeight="1"/>
    <row r="473" ht="16.5" customHeight="1"/>
    <row r="474" ht="16.5" customHeight="1"/>
    <row r="475" ht="16.5" customHeight="1"/>
    <row r="476" ht="16.5" customHeight="1"/>
    <row r="477" ht="16.5" customHeight="1"/>
    <row r="478" ht="16.5" customHeight="1"/>
    <row r="479" ht="16.5" customHeight="1"/>
    <row r="480" ht="16.5" customHeight="1"/>
    <row r="481" ht="16.5" customHeight="1"/>
    <row r="482" ht="16.5" customHeight="1"/>
    <row r="483" ht="16.5" customHeight="1"/>
    <row r="484" ht="16.5" customHeight="1"/>
    <row r="485" ht="16.5" customHeight="1"/>
    <row r="486" ht="16.5" customHeight="1"/>
    <row r="487" ht="16.5" customHeight="1"/>
    <row r="488" ht="16.5" customHeight="1"/>
    <row r="489" ht="16.5" customHeight="1"/>
    <row r="490" ht="16.5" customHeight="1"/>
    <row r="491" ht="16.5" customHeight="1"/>
    <row r="492" ht="16.5" customHeight="1"/>
    <row r="493" ht="16.5" customHeight="1"/>
    <row r="494" ht="16.5" customHeight="1"/>
    <row r="495" ht="16.5" customHeight="1"/>
    <row r="496" ht="16.5" customHeight="1"/>
    <row r="497" ht="16.5" customHeight="1"/>
    <row r="498" ht="16.5" customHeight="1"/>
    <row r="499" ht="16.5" customHeight="1"/>
    <row r="500" ht="16.5" customHeight="1"/>
    <row r="501" ht="16.5" customHeight="1"/>
    <row r="502" ht="16.5" customHeight="1"/>
    <row r="503" ht="16.5" customHeight="1"/>
    <row r="504" ht="16.5" customHeight="1"/>
    <row r="505" ht="16.5" customHeight="1"/>
    <row r="506" ht="16.5" customHeight="1"/>
    <row r="507" ht="16.5" customHeight="1"/>
    <row r="508" ht="16.5" customHeight="1"/>
    <row r="509" ht="16.5" customHeight="1"/>
    <row r="510" ht="16.5" customHeight="1"/>
    <row r="511" ht="16.5" customHeight="1"/>
    <row r="512" ht="16.5" customHeight="1"/>
    <row r="513" ht="16.5" customHeight="1"/>
    <row r="514" ht="16.5" customHeight="1"/>
    <row r="515" ht="16.5" customHeight="1"/>
    <row r="516" ht="16.5" customHeight="1"/>
    <row r="517" ht="16.5" customHeight="1"/>
    <row r="518" ht="16.5" customHeight="1"/>
    <row r="519" ht="16.5" customHeight="1"/>
    <row r="520" ht="16.5" customHeight="1"/>
    <row r="521" ht="16.5" customHeight="1"/>
    <row r="522" ht="16.5" customHeight="1"/>
    <row r="523" ht="16.5" customHeight="1"/>
    <row r="524" ht="16.5" customHeight="1"/>
    <row r="525" ht="16.5" customHeight="1"/>
    <row r="526" ht="16.5" customHeight="1"/>
    <row r="527" ht="16.5" customHeight="1"/>
    <row r="528" ht="16.5" customHeight="1"/>
    <row r="529" ht="16.5" customHeight="1"/>
    <row r="530" ht="16.5" customHeight="1"/>
    <row r="531" ht="16.5" customHeight="1"/>
    <row r="532" ht="16.5" customHeight="1"/>
    <row r="533" ht="16.5" customHeight="1"/>
    <row r="534" ht="16.5" customHeight="1"/>
    <row r="535" ht="16.5" customHeight="1"/>
    <row r="536" ht="16.5" customHeight="1"/>
    <row r="537" ht="16.5" customHeight="1"/>
    <row r="538" ht="16.5" customHeight="1"/>
    <row r="539" ht="16.5" customHeight="1"/>
    <row r="540" ht="16.5" customHeight="1"/>
    <row r="541" ht="16.5" customHeight="1"/>
    <row r="542" ht="16.5" customHeight="1"/>
    <row r="543" ht="16.5" customHeight="1"/>
    <row r="544" ht="16.5" customHeight="1"/>
    <row r="545" ht="16.5" customHeight="1"/>
    <row r="546" ht="16.5" customHeight="1"/>
    <row r="547" ht="16.5" customHeight="1"/>
    <row r="548" ht="16.5" customHeight="1"/>
    <row r="549" ht="16.5" customHeight="1"/>
    <row r="550" ht="16.5" customHeight="1"/>
    <row r="551" ht="16.5" customHeight="1"/>
    <row r="552" ht="16.5" customHeight="1"/>
    <row r="553" ht="16.5" customHeight="1"/>
    <row r="554" ht="16.5" customHeight="1"/>
    <row r="555" ht="16.5" customHeight="1"/>
    <row r="556" ht="16.5" customHeight="1"/>
    <row r="557" ht="16.5" customHeight="1"/>
    <row r="558" ht="16.5" customHeight="1"/>
    <row r="559" ht="16.5" customHeight="1"/>
    <row r="560" ht="16.5" customHeight="1"/>
    <row r="561" ht="16.5" customHeight="1"/>
    <row r="562" ht="16.5" customHeight="1"/>
    <row r="563" ht="16.5" customHeight="1"/>
    <row r="564" ht="16.5" customHeight="1"/>
    <row r="565" ht="16.5" customHeight="1"/>
    <row r="566" ht="16.5" customHeight="1"/>
    <row r="567" ht="16.5" customHeight="1"/>
    <row r="568" ht="16.5" customHeight="1"/>
    <row r="569" ht="16.5" customHeight="1"/>
    <row r="570" ht="16.5" customHeight="1"/>
    <row r="571" ht="16.5" customHeight="1"/>
    <row r="572" ht="16.5" customHeight="1"/>
    <row r="573" ht="16.5" customHeight="1"/>
    <row r="574" ht="16.5" customHeight="1"/>
    <row r="575" ht="16.5" customHeight="1"/>
    <row r="576" ht="16.5" customHeight="1"/>
    <row r="577" ht="16.5" customHeight="1"/>
    <row r="578" ht="16.5" customHeight="1"/>
    <row r="579" ht="16.5" customHeight="1"/>
    <row r="580" ht="16.5" customHeight="1"/>
    <row r="581" ht="16.5" customHeight="1"/>
    <row r="582" ht="16.5" customHeight="1"/>
    <row r="583" ht="16.5" customHeight="1"/>
    <row r="584" ht="16.5" customHeight="1"/>
    <row r="585" ht="16.5" customHeight="1"/>
    <row r="586" ht="16.5" customHeight="1"/>
    <row r="587" ht="16.5" customHeight="1"/>
    <row r="588" ht="16.5" customHeight="1"/>
    <row r="589" ht="16.5" customHeight="1"/>
    <row r="590" ht="16.5" customHeight="1"/>
    <row r="591" ht="16.5" customHeight="1"/>
    <row r="592" ht="16.5" customHeight="1"/>
    <row r="593" ht="16.5" customHeight="1"/>
    <row r="594" ht="16.5" customHeight="1"/>
    <row r="595" ht="16.5" customHeight="1"/>
    <row r="596" ht="16.5" customHeight="1"/>
    <row r="597" ht="16.5" customHeight="1"/>
    <row r="598" ht="16.5" customHeight="1"/>
    <row r="599" ht="16.5" customHeight="1"/>
    <row r="600" ht="16.5" customHeight="1"/>
    <row r="601" ht="16.5" customHeight="1"/>
    <row r="602" ht="16.5" customHeight="1"/>
    <row r="603" ht="16.5" customHeight="1"/>
    <row r="604" ht="16.5" customHeight="1"/>
    <row r="605" ht="16.5" customHeight="1"/>
    <row r="606" ht="16.5" customHeight="1"/>
    <row r="607" ht="16.5" customHeight="1"/>
    <row r="608" ht="16.5" customHeight="1"/>
    <row r="609" ht="16.5" customHeight="1"/>
    <row r="610" ht="16.5" customHeight="1"/>
    <row r="611" ht="16.5" customHeight="1"/>
    <row r="612" ht="16.5" customHeight="1"/>
    <row r="613" ht="16.5" customHeight="1"/>
    <row r="614" ht="16.5" customHeight="1"/>
    <row r="615" ht="16.5" customHeight="1"/>
    <row r="616" ht="16.5" customHeight="1"/>
    <row r="617" ht="16.5" customHeight="1"/>
    <row r="618" ht="16.5" customHeight="1"/>
    <row r="619" ht="16.5" customHeight="1"/>
    <row r="620" ht="16.5" customHeight="1"/>
    <row r="621" ht="16.5" customHeight="1"/>
    <row r="622" ht="16.5" customHeight="1"/>
    <row r="623" ht="16.5" customHeight="1"/>
    <row r="624" ht="16.5" customHeight="1"/>
    <row r="625" ht="16.5" customHeight="1"/>
    <row r="626" ht="16.5" customHeight="1"/>
    <row r="627" ht="16.5" customHeight="1"/>
    <row r="628" ht="16.5" customHeight="1"/>
    <row r="629" ht="16.5" customHeight="1"/>
    <row r="630" ht="16.5" customHeight="1"/>
    <row r="631" ht="16.5" customHeight="1"/>
    <row r="632" ht="16.5" customHeight="1"/>
    <row r="633" ht="16.5" customHeight="1"/>
    <row r="634" ht="16.5" customHeight="1"/>
    <row r="635" ht="16.5" customHeight="1"/>
    <row r="636" ht="16.5" customHeight="1"/>
    <row r="637" ht="16.5" customHeight="1"/>
    <row r="638" ht="16.5" customHeight="1"/>
    <row r="639" ht="16.5" customHeight="1"/>
    <row r="640" ht="16.5" customHeight="1"/>
    <row r="641" ht="16.5" customHeight="1"/>
    <row r="642" ht="16.5" customHeight="1"/>
    <row r="643" ht="16.5" customHeight="1"/>
    <row r="644" ht="16.5" customHeight="1"/>
    <row r="645" ht="16.5" customHeight="1"/>
    <row r="646" ht="16.5" customHeight="1"/>
    <row r="647" ht="16.5" customHeight="1"/>
    <row r="648" ht="16.5" customHeight="1"/>
    <row r="649" ht="16.5" customHeight="1"/>
    <row r="650" ht="16.5" customHeight="1"/>
    <row r="651" ht="16.5" customHeight="1"/>
    <row r="652" ht="16.5" customHeight="1"/>
    <row r="653" ht="16.5" customHeight="1"/>
    <row r="654" ht="16.5" customHeight="1"/>
    <row r="655" ht="16.5" customHeight="1"/>
    <row r="656" ht="16.5" customHeight="1"/>
    <row r="657" ht="16.5" customHeight="1"/>
    <row r="658" ht="16.5" customHeight="1"/>
    <row r="659" ht="16.5" customHeight="1"/>
    <row r="660" ht="16.5" customHeight="1"/>
    <row r="661" ht="16.5" customHeight="1"/>
    <row r="662" ht="16.5" customHeight="1"/>
    <row r="663" ht="16.5" customHeight="1"/>
    <row r="664" ht="16.5" customHeight="1"/>
    <row r="665" ht="16.5" customHeight="1"/>
    <row r="666" ht="16.5" customHeight="1"/>
    <row r="667" ht="16.5" customHeight="1"/>
    <row r="668" ht="16.5" customHeight="1"/>
    <row r="669" ht="16.5" customHeight="1"/>
    <row r="670" ht="16.5" customHeight="1"/>
    <row r="671" ht="16.5" customHeight="1"/>
    <row r="672" ht="16.5" customHeight="1"/>
    <row r="673" ht="16.5" customHeight="1"/>
    <row r="674" ht="16.5" customHeight="1"/>
    <row r="675" ht="16.5" customHeight="1"/>
    <row r="676" ht="16.5" customHeight="1"/>
    <row r="677" ht="16.5" customHeight="1"/>
    <row r="678" ht="16.5" customHeight="1"/>
    <row r="679" ht="16.5" customHeight="1"/>
    <row r="680" ht="16.5" customHeight="1"/>
    <row r="681" ht="16.5" customHeight="1"/>
    <row r="682" ht="16.5" customHeight="1"/>
    <row r="683" ht="16.5" customHeight="1"/>
    <row r="684" ht="16.5" customHeight="1"/>
    <row r="685" ht="16.5" customHeight="1"/>
    <row r="686" ht="16.5" customHeight="1"/>
    <row r="687" ht="16.5" customHeight="1"/>
    <row r="688" ht="16.5" customHeight="1"/>
    <row r="689" ht="16.5" customHeight="1"/>
    <row r="690" ht="16.5" customHeight="1"/>
    <row r="691" ht="16.5" customHeight="1"/>
    <row r="692" ht="16.5" customHeight="1"/>
    <row r="693" ht="16.5" customHeight="1"/>
    <row r="694" ht="16.5" customHeight="1"/>
    <row r="695" ht="16.5" customHeight="1"/>
    <row r="696" ht="16.5" customHeight="1"/>
    <row r="697" ht="16.5" customHeight="1"/>
    <row r="698" ht="16.5" customHeight="1"/>
    <row r="699" ht="16.5" customHeight="1"/>
    <row r="700" ht="16.5" customHeight="1"/>
    <row r="701" ht="16.5" customHeight="1"/>
    <row r="702" ht="16.5" customHeight="1"/>
    <row r="703" ht="16.5" customHeight="1"/>
    <row r="704" ht="16.5" customHeight="1"/>
    <row r="705" ht="16.5" customHeight="1"/>
    <row r="706" ht="16.5" customHeight="1"/>
    <row r="707" ht="16.5" customHeight="1"/>
    <row r="708" ht="16.5" customHeight="1"/>
    <row r="709" ht="16.5" customHeight="1"/>
    <row r="710" ht="16.5" customHeight="1"/>
    <row r="711" ht="16.5" customHeight="1"/>
    <row r="712" ht="16.5" customHeight="1"/>
    <row r="713" ht="16.5" customHeight="1"/>
    <row r="714" ht="16.5" customHeight="1"/>
    <row r="715" ht="16.5" customHeight="1"/>
    <row r="716" ht="16.5" customHeight="1"/>
    <row r="717" ht="16.5" customHeight="1"/>
    <row r="718" ht="16.5" customHeight="1"/>
    <row r="719" ht="16.5" customHeight="1"/>
    <row r="720" ht="16.5" customHeight="1"/>
    <row r="721" ht="16.5" customHeight="1"/>
    <row r="722" ht="16.5" customHeight="1"/>
    <row r="723" ht="16.5" customHeight="1"/>
    <row r="724" ht="16.5" customHeight="1"/>
    <row r="725" ht="16.5" customHeight="1"/>
    <row r="726" ht="16.5" customHeight="1"/>
    <row r="727" ht="16.5" customHeight="1"/>
    <row r="728" ht="16.5" customHeight="1"/>
    <row r="729" ht="16.5" customHeight="1"/>
    <row r="730" ht="16.5" customHeight="1"/>
    <row r="731" ht="16.5" customHeight="1"/>
    <row r="732" ht="16.5" customHeight="1"/>
    <row r="733" ht="16.5" customHeight="1"/>
    <row r="734" ht="16.5" customHeight="1"/>
    <row r="735" ht="16.5" customHeight="1"/>
    <row r="736" ht="16.5" customHeight="1"/>
    <row r="737" ht="16.5" customHeight="1"/>
    <row r="738" ht="16.5" customHeight="1"/>
    <row r="739" ht="16.5" customHeight="1"/>
    <row r="740" ht="16.5" customHeight="1"/>
    <row r="741" ht="16.5" customHeight="1"/>
    <row r="742" ht="16.5" customHeight="1"/>
    <row r="743" ht="16.5" customHeight="1"/>
    <row r="744" ht="16.5" customHeight="1"/>
    <row r="745" ht="16.5" customHeight="1"/>
    <row r="746" ht="16.5" customHeight="1"/>
    <row r="747" ht="16.5" customHeight="1"/>
    <row r="748" ht="16.5" customHeight="1"/>
    <row r="749" ht="16.5" customHeight="1"/>
    <row r="750" ht="16.5" customHeight="1"/>
    <row r="751" ht="16.5" customHeight="1"/>
    <row r="752" ht="16.5" customHeight="1"/>
    <row r="753" ht="16.5" customHeight="1"/>
    <row r="754" ht="16.5" customHeight="1"/>
    <row r="755" ht="16.5" customHeight="1"/>
    <row r="756" ht="16.5" customHeight="1"/>
    <row r="757" ht="16.5" customHeight="1"/>
    <row r="758" ht="16.5" customHeight="1"/>
    <row r="759" ht="16.5" customHeight="1"/>
    <row r="760" ht="16.5" customHeight="1"/>
    <row r="761" ht="16.5" customHeight="1"/>
    <row r="762" ht="16.5" customHeight="1"/>
    <row r="763" ht="16.5" customHeight="1"/>
    <row r="764" ht="16.5" customHeight="1"/>
    <row r="765" ht="16.5" customHeight="1"/>
    <row r="766" ht="16.5" customHeight="1"/>
    <row r="767" ht="16.5" customHeight="1"/>
    <row r="768" ht="16.5" customHeight="1"/>
    <row r="769" ht="16.5" customHeight="1"/>
    <row r="770" ht="16.5" customHeight="1"/>
    <row r="771" ht="16.5" customHeight="1"/>
    <row r="772" ht="16.5" customHeight="1"/>
    <row r="773" ht="16.5" customHeight="1"/>
    <row r="774" ht="16.5" customHeight="1"/>
    <row r="775" ht="16.5" customHeight="1"/>
    <row r="776" ht="16.5" customHeight="1"/>
    <row r="777" ht="16.5" customHeight="1"/>
    <row r="778" ht="16.5" customHeight="1"/>
    <row r="779" ht="16.5" customHeight="1"/>
    <row r="780" ht="16.5" customHeight="1"/>
    <row r="781" ht="16.5" customHeight="1"/>
    <row r="782" ht="16.5" customHeight="1"/>
    <row r="783" ht="16.5" customHeight="1"/>
    <row r="784" ht="16.5" customHeight="1"/>
    <row r="785" ht="16.5" customHeight="1"/>
    <row r="786" ht="16.5" customHeight="1"/>
    <row r="787" ht="16.5" customHeight="1"/>
    <row r="788" ht="16.5" customHeight="1"/>
    <row r="789" ht="16.5" customHeight="1"/>
    <row r="790" ht="16.5" customHeight="1"/>
    <row r="791" ht="16.5" customHeight="1"/>
    <row r="792" ht="16.5" customHeight="1"/>
    <row r="793" ht="16.5" customHeight="1"/>
    <row r="794" ht="16.5" customHeight="1"/>
    <row r="795" ht="16.5" customHeight="1"/>
    <row r="796" ht="16.5" customHeight="1"/>
    <row r="797" ht="16.5" customHeight="1"/>
    <row r="798" ht="16.5" customHeight="1"/>
    <row r="799" ht="16.5" customHeight="1"/>
    <row r="800" ht="16.5" customHeight="1"/>
    <row r="801" ht="16.5" customHeight="1"/>
    <row r="802" ht="16.5" customHeight="1"/>
    <row r="803" ht="16.5" customHeight="1"/>
    <row r="804" ht="16.5" customHeight="1"/>
    <row r="805" ht="16.5" customHeight="1"/>
    <row r="806" ht="16.5" customHeight="1"/>
    <row r="807" ht="16.5" customHeight="1"/>
    <row r="808" ht="16.5" customHeight="1"/>
    <row r="809" ht="16.5" customHeight="1"/>
    <row r="810" ht="16.5" customHeight="1"/>
    <row r="811" ht="16.5" customHeight="1"/>
    <row r="812" ht="16.5" customHeight="1"/>
    <row r="813" ht="16.5" customHeight="1"/>
    <row r="814" ht="16.5" customHeight="1"/>
    <row r="815" ht="16.5" customHeight="1"/>
    <row r="816" ht="16.5" customHeight="1"/>
    <row r="817" ht="16.5" customHeight="1"/>
    <row r="818" ht="16.5" customHeight="1"/>
    <row r="819" ht="16.5" customHeight="1"/>
    <row r="820" ht="16.5" customHeight="1"/>
    <row r="821" ht="16.5" customHeight="1"/>
    <row r="822" ht="16.5" customHeight="1"/>
    <row r="823" ht="16.5" customHeight="1"/>
    <row r="824" ht="16.5" customHeight="1"/>
    <row r="825" ht="16.5" customHeight="1"/>
    <row r="826" ht="16.5" customHeight="1"/>
    <row r="827" ht="16.5" customHeight="1"/>
    <row r="828" ht="16.5" customHeight="1"/>
    <row r="829" ht="16.5" customHeight="1"/>
    <row r="830" ht="16.5" customHeight="1"/>
    <row r="831" ht="16.5" customHeight="1"/>
    <row r="832" ht="16.5" customHeight="1"/>
    <row r="833" ht="16.5" customHeight="1"/>
    <row r="834" ht="16.5" customHeight="1"/>
    <row r="835" ht="16.5" customHeight="1"/>
    <row r="836" ht="16.5" customHeight="1"/>
    <row r="837" ht="16.5" customHeight="1"/>
    <row r="838" ht="16.5" customHeight="1"/>
    <row r="839" ht="16.5" customHeight="1"/>
    <row r="840" ht="16.5" customHeight="1"/>
    <row r="841" ht="16.5" customHeight="1"/>
    <row r="842" ht="16.5" customHeight="1"/>
    <row r="843" ht="16.5" customHeight="1"/>
    <row r="844" ht="16.5" customHeight="1"/>
    <row r="845" ht="16.5" customHeight="1"/>
    <row r="846" ht="16.5" customHeight="1"/>
    <row r="847" ht="16.5" customHeight="1"/>
    <row r="848" ht="16.5" customHeight="1"/>
    <row r="849" ht="16.5" customHeight="1"/>
    <row r="850" ht="16.5" customHeight="1"/>
    <row r="851" ht="16.5" customHeight="1"/>
    <row r="852" ht="16.5" customHeight="1"/>
    <row r="853" ht="16.5" customHeight="1"/>
    <row r="854" ht="16.5" customHeight="1"/>
    <row r="855" ht="16.5" customHeight="1"/>
    <row r="856" ht="16.5" customHeight="1"/>
    <row r="857" ht="16.5" customHeight="1"/>
    <row r="858" ht="16.5" customHeight="1"/>
    <row r="859" ht="16.5" customHeight="1"/>
    <row r="860" ht="16.5" customHeight="1"/>
    <row r="861" ht="16.5" customHeight="1"/>
    <row r="862" ht="16.5" customHeight="1"/>
    <row r="863" ht="16.5" customHeight="1"/>
    <row r="864" ht="16.5" customHeight="1"/>
    <row r="865" ht="16.5" customHeight="1"/>
    <row r="866" ht="16.5" customHeight="1"/>
    <row r="867" ht="16.5" customHeight="1"/>
    <row r="868" ht="16.5" customHeight="1"/>
    <row r="869" ht="16.5" customHeight="1"/>
    <row r="870" ht="16.5" customHeight="1"/>
    <row r="871" ht="16.5" customHeight="1"/>
    <row r="872" ht="16.5" customHeight="1"/>
    <row r="873" ht="16.5" customHeight="1"/>
    <row r="874" ht="16.5" customHeight="1"/>
    <row r="875" ht="16.5" customHeight="1"/>
    <row r="876" ht="16.5" customHeight="1"/>
    <row r="877" ht="16.5" customHeight="1"/>
    <row r="878" ht="16.5" customHeight="1"/>
    <row r="879" ht="16.5" customHeight="1"/>
    <row r="880" ht="16.5" customHeight="1"/>
    <row r="881" ht="16.5" customHeight="1"/>
    <row r="882" ht="16.5" customHeight="1"/>
    <row r="883" ht="16.5" customHeight="1"/>
    <row r="884" ht="16.5" customHeight="1"/>
    <row r="885" ht="16.5" customHeight="1"/>
    <row r="886" ht="16.5" customHeight="1"/>
    <row r="887" ht="16.5" customHeight="1"/>
    <row r="888" ht="16.5" customHeight="1"/>
    <row r="889" ht="16.5" customHeight="1"/>
    <row r="890" ht="16.5" customHeight="1"/>
    <row r="891" ht="16.5" customHeight="1"/>
    <row r="892" ht="16.5" customHeight="1"/>
    <row r="893" ht="16.5" customHeight="1"/>
    <row r="894" ht="16.5" customHeight="1"/>
    <row r="895" ht="16.5" customHeight="1"/>
    <row r="896" ht="16.5" customHeight="1"/>
    <row r="897" ht="16.5" customHeight="1"/>
    <row r="898" ht="16.5" customHeight="1"/>
    <row r="899" ht="16.5" customHeight="1"/>
    <row r="900" ht="16.5" customHeight="1"/>
    <row r="901" ht="16.5" customHeight="1"/>
    <row r="902" ht="16.5" customHeight="1"/>
    <row r="903" ht="16.5" customHeight="1"/>
    <row r="904" ht="16.5" customHeight="1"/>
    <row r="905" ht="16.5" customHeight="1"/>
    <row r="906" ht="16.5" customHeight="1"/>
    <row r="907" ht="16.5" customHeight="1"/>
    <row r="908" ht="16.5" customHeight="1"/>
    <row r="909" ht="16.5" customHeight="1"/>
    <row r="910" ht="16.5" customHeight="1"/>
    <row r="911" ht="16.5" customHeight="1"/>
    <row r="912" ht="16.5" customHeight="1"/>
    <row r="913" ht="16.5" customHeight="1"/>
    <row r="914" ht="16.5" customHeight="1"/>
    <row r="915" ht="16.5" customHeight="1"/>
    <row r="916" ht="16.5" customHeight="1"/>
    <row r="917" ht="16.5" customHeight="1"/>
    <row r="918" ht="16.5" customHeight="1"/>
    <row r="919" ht="16.5" customHeight="1"/>
    <row r="920" ht="16.5" customHeight="1"/>
    <row r="921" ht="16.5" customHeight="1"/>
    <row r="922" ht="16.5" customHeight="1"/>
    <row r="923" ht="16.5" customHeight="1"/>
    <row r="924" ht="16.5" customHeight="1"/>
    <row r="925" ht="16.5" customHeight="1"/>
    <row r="926" ht="16.5" customHeight="1"/>
    <row r="927" ht="16.5" customHeight="1"/>
    <row r="928" ht="16.5" customHeight="1"/>
    <row r="929" ht="16.5" customHeight="1"/>
    <row r="930" ht="16.5" customHeight="1"/>
    <row r="931" ht="16.5" customHeight="1"/>
    <row r="932" ht="16.5" customHeight="1"/>
    <row r="933" ht="16.5" customHeight="1"/>
    <row r="934" ht="16.5" customHeight="1"/>
    <row r="935" ht="16.5" customHeight="1"/>
    <row r="936" ht="16.5" customHeight="1"/>
    <row r="937" ht="16.5" customHeight="1"/>
    <row r="938" ht="16.5" customHeight="1"/>
    <row r="939" ht="16.5" customHeight="1"/>
    <row r="940" ht="16.5" customHeight="1"/>
    <row r="941" ht="16.5" customHeight="1"/>
    <row r="942" ht="16.5" customHeight="1"/>
    <row r="943" ht="16.5" customHeight="1"/>
    <row r="944" ht="16.5" customHeight="1"/>
    <row r="945" ht="16.5" customHeight="1"/>
    <row r="946" ht="16.5" customHeight="1"/>
    <row r="947" ht="16.5" customHeight="1"/>
    <row r="948" ht="16.5" customHeight="1"/>
    <row r="949" ht="16.5" customHeight="1"/>
    <row r="950" ht="16.5" customHeight="1"/>
    <row r="951" ht="16.5" customHeight="1"/>
    <row r="952" ht="16.5" customHeight="1"/>
    <row r="953" ht="16.5" customHeight="1"/>
    <row r="954" ht="16.5" customHeight="1"/>
    <row r="955" ht="16.5" customHeight="1"/>
    <row r="956" ht="16.5" customHeight="1"/>
    <row r="957" ht="16.5" customHeight="1"/>
    <row r="958" ht="16.5" customHeight="1"/>
    <row r="959" ht="16.5" customHeight="1"/>
    <row r="960" ht="16.5" customHeight="1"/>
    <row r="961" ht="16.5" customHeight="1"/>
    <row r="962" ht="16.5" customHeight="1"/>
    <row r="963" ht="16.5" customHeight="1"/>
    <row r="964" ht="16.5" customHeight="1"/>
    <row r="965" ht="16.5" customHeight="1"/>
    <row r="966" ht="16.5" customHeight="1"/>
    <row r="967" ht="16.5" customHeight="1"/>
    <row r="968" ht="16.5" customHeight="1"/>
    <row r="969" ht="16.5" customHeight="1"/>
    <row r="970" ht="16.5" customHeight="1"/>
    <row r="971" ht="16.5" customHeight="1"/>
    <row r="972" ht="16.5" customHeight="1"/>
    <row r="973" ht="16.5" customHeight="1"/>
    <row r="974" ht="16.5" customHeight="1"/>
    <row r="975" ht="16.5" customHeight="1"/>
    <row r="976" ht="16.5" customHeight="1"/>
    <row r="977" ht="16.5" customHeight="1"/>
    <row r="978" ht="16.5" customHeight="1"/>
    <row r="979" ht="16.5" customHeight="1"/>
    <row r="980" ht="16.5" customHeight="1"/>
    <row r="981" ht="16.5" customHeight="1"/>
    <row r="982" ht="16.5" customHeight="1"/>
    <row r="983" ht="16.5" customHeight="1"/>
    <row r="984" ht="16.5" customHeight="1"/>
    <row r="985" ht="16.5" customHeight="1"/>
    <row r="986" ht="16.5" customHeight="1"/>
    <row r="987" ht="16.5" customHeight="1"/>
    <row r="988" ht="16.5" customHeight="1"/>
    <row r="989" ht="16.5" customHeight="1"/>
    <row r="990" ht="16.5" customHeight="1"/>
    <row r="991" ht="16.5" customHeight="1"/>
    <row r="992" ht="16.5" customHeight="1"/>
    <row r="993" ht="16.5" customHeight="1"/>
    <row r="994" ht="16.5" customHeight="1"/>
    <row r="995" ht="16.5" customHeight="1"/>
    <row r="996" ht="16.5" customHeight="1"/>
    <row r="997" ht="16.5" customHeight="1"/>
    <row r="998" ht="16.5" customHeight="1"/>
    <row r="999" ht="16.5" customHeight="1"/>
    <row r="1000" ht="16.5" customHeight="1"/>
  </sheetData>
  <mergeCells count="20">
    <mergeCell ref="C3:AI3"/>
    <mergeCell ref="C4:D4"/>
    <mergeCell ref="L5:M5"/>
    <mergeCell ref="N5:W5"/>
    <mergeCell ref="D9:D14"/>
    <mergeCell ref="D15:D17"/>
    <mergeCell ref="D18:D20"/>
    <mergeCell ref="X45:Y45"/>
    <mergeCell ref="X46:Y46"/>
    <mergeCell ref="X47:Y47"/>
    <mergeCell ref="S49:S51"/>
    <mergeCell ref="V49:V51"/>
    <mergeCell ref="S52:U52"/>
    <mergeCell ref="D24:D29"/>
    <mergeCell ref="D30:D32"/>
    <mergeCell ref="D33:D35"/>
    <mergeCell ref="D36:D38"/>
    <mergeCell ref="C41:E41"/>
    <mergeCell ref="S46:S48"/>
    <mergeCell ref="V46:V48"/>
  </mergeCells>
  <phoneticPr fontId="22" type="noConversion"/>
  <pageMargins left="0.7" right="0.7" top="0.75" bottom="0.75" header="0" footer="0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00B0F0"/>
  </sheetPr>
  <dimension ref="A1:AL1000"/>
  <sheetViews>
    <sheetView showGridLines="0" zoomScale="80" zoomScaleNormal="80" workbookViewId="0">
      <pane xSplit="11" ySplit="6" topLeftCell="L7" activePane="bottomRight" state="frozen"/>
      <selection pane="topRight"/>
      <selection pane="bottomLeft"/>
      <selection pane="bottomRight"/>
    </sheetView>
  </sheetViews>
  <sheetFormatPr baseColWidth="10" defaultColWidth="14.5" defaultRowHeight="15" customHeight="1"/>
  <cols>
    <col min="1" max="1" width="3.1640625" customWidth="1"/>
    <col min="2" max="2" width="2.1640625" customWidth="1"/>
    <col min="3" max="3" width="8.83203125" customWidth="1"/>
    <col min="4" max="4" width="24" customWidth="1"/>
    <col min="5" max="5" width="8.83203125" customWidth="1"/>
    <col min="6" max="6" width="15.6640625" customWidth="1"/>
    <col min="7" max="9" width="8.83203125" customWidth="1"/>
    <col min="10" max="11" width="8.83203125" hidden="1" customWidth="1"/>
    <col min="12" max="26" width="9.83203125" customWidth="1"/>
    <col min="27" max="34" width="8.83203125" hidden="1" customWidth="1"/>
    <col min="35" max="35" width="8.83203125" customWidth="1"/>
    <col min="36" max="36" width="3.1640625" customWidth="1"/>
    <col min="37" max="37" width="2" customWidth="1"/>
    <col min="38" max="38" width="8.83203125" customWidth="1"/>
  </cols>
  <sheetData>
    <row r="1" spans="1:38" ht="16.5" customHeight="1">
      <c r="A1" s="19"/>
      <c r="B1" s="19"/>
      <c r="C1" s="19"/>
      <c r="D1" s="19"/>
      <c r="E1" s="20"/>
      <c r="F1" s="20"/>
      <c r="G1" s="20"/>
      <c r="H1" s="20"/>
      <c r="I1" s="19"/>
      <c r="J1" s="19"/>
      <c r="K1" s="19"/>
      <c r="L1" s="20"/>
      <c r="M1" s="20"/>
      <c r="N1" s="20"/>
      <c r="O1" s="20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19"/>
      <c r="AK1" s="19"/>
    </row>
    <row r="2" spans="1:38" ht="16.5" customHeight="1">
      <c r="A2" s="19"/>
      <c r="B2" s="21"/>
      <c r="C2" s="22"/>
      <c r="D2" s="22"/>
      <c r="E2" s="23"/>
      <c r="F2" s="23"/>
      <c r="G2" s="23"/>
      <c r="H2" s="23"/>
      <c r="I2" s="22"/>
      <c r="J2" s="22"/>
      <c r="K2" s="22"/>
      <c r="L2" s="23"/>
      <c r="M2" s="23"/>
      <c r="N2" s="23"/>
      <c r="O2" s="23"/>
      <c r="P2" s="23"/>
      <c r="Q2" s="23"/>
      <c r="R2" s="23"/>
      <c r="S2" s="23"/>
      <c r="T2" s="23"/>
      <c r="U2" s="23"/>
      <c r="V2" s="23"/>
      <c r="W2" s="23"/>
      <c r="X2" s="23"/>
      <c r="Y2" s="23"/>
      <c r="Z2" s="23"/>
      <c r="AA2" s="23"/>
      <c r="AB2" s="23"/>
      <c r="AC2" s="23"/>
      <c r="AD2" s="23"/>
      <c r="AE2" s="23"/>
      <c r="AF2" s="23"/>
      <c r="AG2" s="23"/>
      <c r="AH2" s="23"/>
      <c r="AI2" s="23"/>
      <c r="AJ2" s="24"/>
      <c r="AK2" s="19"/>
    </row>
    <row r="3" spans="1:38" ht="32">
      <c r="A3" s="19"/>
      <c r="B3" s="25"/>
      <c r="C3" s="392" t="s">
        <v>23</v>
      </c>
      <c r="D3" s="393"/>
      <c r="E3" s="393"/>
      <c r="F3" s="393"/>
      <c r="G3" s="393"/>
      <c r="H3" s="393"/>
      <c r="I3" s="393"/>
      <c r="J3" s="393"/>
      <c r="K3" s="393"/>
      <c r="L3" s="393"/>
      <c r="M3" s="393"/>
      <c r="N3" s="393"/>
      <c r="O3" s="393"/>
      <c r="P3" s="393"/>
      <c r="Q3" s="393"/>
      <c r="R3" s="393"/>
      <c r="S3" s="393"/>
      <c r="T3" s="393"/>
      <c r="U3" s="393"/>
      <c r="V3" s="393"/>
      <c r="W3" s="393"/>
      <c r="X3" s="393"/>
      <c r="Y3" s="393"/>
      <c r="Z3" s="393"/>
      <c r="AA3" s="393"/>
      <c r="AB3" s="393"/>
      <c r="AC3" s="393"/>
      <c r="AD3" s="393"/>
      <c r="AE3" s="393"/>
      <c r="AF3" s="393"/>
      <c r="AG3" s="393"/>
      <c r="AH3" s="393"/>
      <c r="AI3" s="394"/>
      <c r="AJ3" s="26"/>
      <c r="AK3" s="19"/>
    </row>
    <row r="4" spans="1:38" ht="80.25" customHeight="1">
      <c r="A4" s="19"/>
      <c r="B4" s="25"/>
      <c r="C4" s="401">
        <v>45705</v>
      </c>
      <c r="D4" s="402"/>
      <c r="E4" s="27"/>
      <c r="F4" s="27"/>
      <c r="G4" s="27"/>
      <c r="H4" s="27"/>
      <c r="I4" s="27"/>
      <c r="J4" s="27"/>
      <c r="K4" s="27"/>
      <c r="L4" s="28"/>
      <c r="M4" s="28"/>
      <c r="N4" s="28"/>
      <c r="O4" s="28"/>
      <c r="P4" s="28"/>
      <c r="Q4" s="28"/>
      <c r="R4" s="28"/>
      <c r="S4" s="28"/>
      <c r="T4" s="28"/>
      <c r="U4" s="28"/>
      <c r="V4" s="28"/>
      <c r="W4" s="28"/>
      <c r="X4" s="28"/>
      <c r="Y4" s="28"/>
      <c r="Z4" s="28"/>
      <c r="AA4" s="28"/>
      <c r="AB4" s="28"/>
      <c r="AC4" s="28"/>
      <c r="AD4" s="28"/>
      <c r="AE4" s="28"/>
      <c r="AF4" s="28"/>
      <c r="AG4" s="28"/>
      <c r="AH4" s="28"/>
      <c r="AI4" s="28"/>
      <c r="AJ4" s="26"/>
      <c r="AK4" s="19"/>
    </row>
    <row r="5" spans="1:38" ht="16.5" customHeight="1">
      <c r="A5" s="19"/>
      <c r="B5" s="25"/>
      <c r="C5" s="29" t="s">
        <v>75</v>
      </c>
      <c r="D5" s="29"/>
      <c r="E5" s="30"/>
      <c r="F5" s="30"/>
      <c r="G5" s="30"/>
      <c r="H5" s="30"/>
      <c r="I5" s="30"/>
      <c r="J5" s="30"/>
      <c r="K5" s="31"/>
      <c r="L5" s="397"/>
      <c r="M5" s="398"/>
      <c r="N5" s="397"/>
      <c r="O5" s="398"/>
      <c r="P5" s="398"/>
      <c r="Q5" s="398"/>
      <c r="R5" s="398"/>
      <c r="S5" s="398"/>
      <c r="T5" s="398"/>
      <c r="U5" s="398"/>
      <c r="V5" s="398"/>
      <c r="W5" s="398"/>
      <c r="X5" s="32"/>
      <c r="Y5" s="32"/>
      <c r="Z5" s="32"/>
      <c r="AA5" s="32"/>
      <c r="AB5" s="32"/>
      <c r="AC5" s="32"/>
      <c r="AD5" s="32"/>
      <c r="AE5" s="32"/>
      <c r="AF5" s="32"/>
      <c r="AG5" s="32"/>
      <c r="AH5" s="32"/>
      <c r="AI5" s="32"/>
      <c r="AJ5" s="26"/>
      <c r="AK5" s="19"/>
    </row>
    <row r="6" spans="1:38" ht="30">
      <c r="A6" s="19"/>
      <c r="B6" s="25"/>
      <c r="C6" s="98" t="s">
        <v>24</v>
      </c>
      <c r="D6" s="98" t="s">
        <v>25</v>
      </c>
      <c r="E6" s="99" t="s">
        <v>26</v>
      </c>
      <c r="F6" s="99" t="s">
        <v>27</v>
      </c>
      <c r="G6" s="99" t="s">
        <v>28</v>
      </c>
      <c r="H6" s="99" t="s">
        <v>29</v>
      </c>
      <c r="I6" s="99" t="s">
        <v>30</v>
      </c>
      <c r="J6" s="99" t="s">
        <v>31</v>
      </c>
      <c r="K6" s="99" t="s">
        <v>32</v>
      </c>
      <c r="L6" s="100" t="s">
        <v>33</v>
      </c>
      <c r="M6" s="100" t="s">
        <v>34</v>
      </c>
      <c r="N6" s="100" t="s">
        <v>35</v>
      </c>
      <c r="O6" s="100" t="s">
        <v>36</v>
      </c>
      <c r="P6" s="100" t="s">
        <v>37</v>
      </c>
      <c r="Q6" s="100" t="s">
        <v>38</v>
      </c>
      <c r="R6" s="100" t="s">
        <v>39</v>
      </c>
      <c r="S6" s="100" t="s">
        <v>40</v>
      </c>
      <c r="T6" s="100" t="s">
        <v>41</v>
      </c>
      <c r="U6" s="100" t="s">
        <v>42</v>
      </c>
      <c r="V6" s="100" t="s">
        <v>43</v>
      </c>
      <c r="W6" s="100" t="s">
        <v>44</v>
      </c>
      <c r="X6" s="100" t="s">
        <v>45</v>
      </c>
      <c r="Y6" s="100" t="s">
        <v>46</v>
      </c>
      <c r="Z6" s="100" t="s">
        <v>47</v>
      </c>
      <c r="AA6" s="100"/>
      <c r="AB6" s="100"/>
      <c r="AC6" s="100"/>
      <c r="AD6" s="100"/>
      <c r="AE6" s="100"/>
      <c r="AF6" s="100"/>
      <c r="AG6" s="100"/>
      <c r="AH6" s="100"/>
      <c r="AI6" s="101" t="s">
        <v>48</v>
      </c>
      <c r="AJ6" s="26"/>
      <c r="AK6" s="19"/>
    </row>
    <row r="7" spans="1:38" ht="16.5" customHeight="1">
      <c r="A7" s="19"/>
      <c r="B7" s="25"/>
      <c r="C7" s="38" t="s">
        <v>49</v>
      </c>
      <c r="D7" s="39" t="s">
        <v>50</v>
      </c>
      <c r="E7" s="40" t="s">
        <v>51</v>
      </c>
      <c r="F7" s="40" t="s">
        <v>5</v>
      </c>
      <c r="G7" s="40" t="s">
        <v>52</v>
      </c>
      <c r="H7" s="42">
        <v>45691</v>
      </c>
      <c r="I7" s="42">
        <v>46127</v>
      </c>
      <c r="J7" s="42"/>
      <c r="K7" s="42"/>
      <c r="L7" s="43">
        <v>1</v>
      </c>
      <c r="M7" s="43">
        <v>1</v>
      </c>
      <c r="N7" s="43">
        <v>1</v>
      </c>
      <c r="O7" s="43">
        <v>1</v>
      </c>
      <c r="P7" s="43">
        <v>1</v>
      </c>
      <c r="Q7" s="43">
        <v>1</v>
      </c>
      <c r="R7" s="43">
        <v>1</v>
      </c>
      <c r="S7" s="43">
        <v>1</v>
      </c>
      <c r="T7" s="43">
        <v>1</v>
      </c>
      <c r="U7" s="43">
        <v>1</v>
      </c>
      <c r="V7" s="43">
        <v>1</v>
      </c>
      <c r="W7" s="43">
        <v>1</v>
      </c>
      <c r="X7" s="43">
        <v>1</v>
      </c>
      <c r="Y7" s="43">
        <v>1</v>
      </c>
      <c r="Z7" s="43">
        <v>0.5</v>
      </c>
      <c r="AA7" s="44"/>
      <c r="AB7" s="44"/>
      <c r="AC7" s="44"/>
      <c r="AD7" s="44"/>
      <c r="AE7" s="44"/>
      <c r="AF7" s="44"/>
      <c r="AG7" s="44"/>
      <c r="AH7" s="44"/>
      <c r="AI7" s="45">
        <f t="shared" ref="AI7:AI15" si="0">SUM(L7:AH7)</f>
        <v>14.5</v>
      </c>
      <c r="AJ7" s="26"/>
      <c r="AK7" s="19"/>
    </row>
    <row r="8" spans="1:38" ht="16.5" customHeight="1">
      <c r="A8" s="19"/>
      <c r="B8" s="25"/>
      <c r="C8" s="38" t="s">
        <v>53</v>
      </c>
      <c r="D8" s="39" t="s">
        <v>54</v>
      </c>
      <c r="E8" s="40" t="s">
        <v>51</v>
      </c>
      <c r="F8" s="40" t="s">
        <v>4</v>
      </c>
      <c r="G8" s="40" t="s">
        <v>52</v>
      </c>
      <c r="H8" s="42">
        <v>45705</v>
      </c>
      <c r="I8" s="42">
        <v>46127</v>
      </c>
      <c r="J8" s="42"/>
      <c r="K8" s="42"/>
      <c r="L8" s="43">
        <v>0.5</v>
      </c>
      <c r="M8" s="43">
        <v>1</v>
      </c>
      <c r="N8" s="43">
        <v>1</v>
      </c>
      <c r="O8" s="43">
        <v>1</v>
      </c>
      <c r="P8" s="43">
        <v>1</v>
      </c>
      <c r="Q8" s="43">
        <v>1</v>
      </c>
      <c r="R8" s="43">
        <v>1</v>
      </c>
      <c r="S8" s="43">
        <v>1</v>
      </c>
      <c r="T8" s="43">
        <v>1</v>
      </c>
      <c r="U8" s="43">
        <v>1</v>
      </c>
      <c r="V8" s="43">
        <v>1</v>
      </c>
      <c r="W8" s="43">
        <v>1</v>
      </c>
      <c r="X8" s="43">
        <v>1</v>
      </c>
      <c r="Y8" s="43">
        <v>1</v>
      </c>
      <c r="Z8" s="43">
        <v>0.5</v>
      </c>
      <c r="AA8" s="44"/>
      <c r="AB8" s="44"/>
      <c r="AC8" s="44"/>
      <c r="AD8" s="44"/>
      <c r="AE8" s="44"/>
      <c r="AF8" s="44"/>
      <c r="AG8" s="44"/>
      <c r="AH8" s="44"/>
      <c r="AI8" s="45">
        <f t="shared" si="0"/>
        <v>14</v>
      </c>
      <c r="AJ8" s="26"/>
      <c r="AK8" s="19"/>
    </row>
    <row r="9" spans="1:38" ht="16.5" customHeight="1">
      <c r="A9" s="19"/>
      <c r="B9" s="25"/>
      <c r="C9" s="47"/>
      <c r="D9" s="403" t="s">
        <v>55</v>
      </c>
      <c r="E9" s="40" t="s">
        <v>51</v>
      </c>
      <c r="F9" s="40" t="s">
        <v>9</v>
      </c>
      <c r="G9" s="40" t="s">
        <v>52</v>
      </c>
      <c r="H9" s="42">
        <v>45691</v>
      </c>
      <c r="I9" s="42">
        <v>46096</v>
      </c>
      <c r="J9" s="42"/>
      <c r="K9" s="42"/>
      <c r="L9" s="43">
        <v>1</v>
      </c>
      <c r="M9" s="43">
        <v>1</v>
      </c>
      <c r="N9" s="43">
        <v>1</v>
      </c>
      <c r="O9" s="43">
        <v>1</v>
      </c>
      <c r="P9" s="43">
        <v>1</v>
      </c>
      <c r="Q9" s="43">
        <v>1</v>
      </c>
      <c r="R9" s="43">
        <v>1</v>
      </c>
      <c r="S9" s="43">
        <v>1</v>
      </c>
      <c r="T9" s="43">
        <v>1</v>
      </c>
      <c r="U9" s="43">
        <v>1</v>
      </c>
      <c r="V9" s="43">
        <v>0.5</v>
      </c>
      <c r="W9" s="43"/>
      <c r="X9" s="43"/>
      <c r="Y9" s="43"/>
      <c r="Z9" s="43"/>
      <c r="AA9" s="44"/>
      <c r="AB9" s="44"/>
      <c r="AC9" s="44"/>
      <c r="AD9" s="44"/>
      <c r="AE9" s="44"/>
      <c r="AF9" s="44"/>
      <c r="AG9" s="44"/>
      <c r="AH9" s="44"/>
      <c r="AI9" s="121">
        <f t="shared" si="0"/>
        <v>10.5</v>
      </c>
      <c r="AJ9" s="26"/>
      <c r="AK9" s="19"/>
    </row>
    <row r="10" spans="1:38" ht="16.5" customHeight="1">
      <c r="A10" s="19"/>
      <c r="B10" s="25"/>
      <c r="C10" s="47"/>
      <c r="D10" s="383"/>
      <c r="E10" s="40" t="s">
        <v>51</v>
      </c>
      <c r="F10" s="40" t="s">
        <v>8</v>
      </c>
      <c r="G10" s="102" t="s">
        <v>52</v>
      </c>
      <c r="H10" s="42">
        <v>45691</v>
      </c>
      <c r="I10" s="42">
        <v>45989</v>
      </c>
      <c r="J10" s="42"/>
      <c r="K10" s="42"/>
      <c r="L10" s="43">
        <v>1</v>
      </c>
      <c r="M10" s="43">
        <v>1</v>
      </c>
      <c r="N10" s="43">
        <v>1</v>
      </c>
      <c r="O10" s="43">
        <v>1</v>
      </c>
      <c r="P10" s="43">
        <v>1</v>
      </c>
      <c r="Q10" s="43">
        <v>1</v>
      </c>
      <c r="R10" s="43">
        <v>1</v>
      </c>
      <c r="S10" s="43">
        <v>1</v>
      </c>
      <c r="T10" s="43">
        <v>1</v>
      </c>
      <c r="U10" s="43">
        <v>1</v>
      </c>
      <c r="V10" s="43"/>
      <c r="W10" s="43"/>
      <c r="X10" s="43"/>
      <c r="Y10" s="43"/>
      <c r="Z10" s="43"/>
      <c r="AA10" s="44"/>
      <c r="AB10" s="44"/>
      <c r="AC10" s="44"/>
      <c r="AD10" s="44"/>
      <c r="AE10" s="44"/>
      <c r="AF10" s="44"/>
      <c r="AG10" s="44"/>
      <c r="AH10" s="44"/>
      <c r="AI10" s="121">
        <f t="shared" si="0"/>
        <v>10</v>
      </c>
      <c r="AJ10" s="26"/>
      <c r="AK10" s="19"/>
    </row>
    <row r="11" spans="1:38" ht="16.5" customHeight="1">
      <c r="A11" s="19"/>
      <c r="B11" s="25"/>
      <c r="C11" s="50" t="s">
        <v>49</v>
      </c>
      <c r="D11" s="383"/>
      <c r="E11" s="122" t="s">
        <v>51</v>
      </c>
      <c r="F11" s="123" t="s">
        <v>76</v>
      </c>
      <c r="G11" s="124" t="s">
        <v>51</v>
      </c>
      <c r="H11" s="42">
        <v>45748</v>
      </c>
      <c r="I11" s="42">
        <v>45930</v>
      </c>
      <c r="J11" s="42"/>
      <c r="K11" s="42"/>
      <c r="L11" s="43"/>
      <c r="M11" s="43"/>
      <c r="N11" s="46">
        <v>1</v>
      </c>
      <c r="O11" s="46">
        <v>1</v>
      </c>
      <c r="P11" s="46">
        <v>1</v>
      </c>
      <c r="Q11" s="46">
        <v>1</v>
      </c>
      <c r="R11" s="46">
        <v>1</v>
      </c>
      <c r="S11" s="46">
        <v>1</v>
      </c>
      <c r="T11" s="43"/>
      <c r="U11" s="43"/>
      <c r="V11" s="43"/>
      <c r="W11" s="43"/>
      <c r="X11" s="46"/>
      <c r="Y11" s="46"/>
      <c r="Z11" s="46"/>
      <c r="AA11" s="44"/>
      <c r="AB11" s="44"/>
      <c r="AC11" s="44"/>
      <c r="AD11" s="44"/>
      <c r="AE11" s="44"/>
      <c r="AF11" s="44"/>
      <c r="AG11" s="44"/>
      <c r="AH11" s="44"/>
      <c r="AI11" s="121">
        <f t="shared" si="0"/>
        <v>6</v>
      </c>
      <c r="AJ11" s="26"/>
      <c r="AK11" s="19"/>
    </row>
    <row r="12" spans="1:38" ht="16.5" customHeight="1">
      <c r="A12" s="19"/>
      <c r="B12" s="25"/>
      <c r="C12" s="50" t="s">
        <v>49</v>
      </c>
      <c r="D12" s="383"/>
      <c r="E12" s="51" t="s">
        <v>57</v>
      </c>
      <c r="F12" s="51" t="s">
        <v>12</v>
      </c>
      <c r="G12" s="51" t="s">
        <v>51</v>
      </c>
      <c r="H12" s="53">
        <v>45691</v>
      </c>
      <c r="I12" s="53">
        <v>45960</v>
      </c>
      <c r="J12" s="53"/>
      <c r="K12" s="53"/>
      <c r="L12" s="55">
        <v>1</v>
      </c>
      <c r="M12" s="55">
        <v>1</v>
      </c>
      <c r="N12" s="55">
        <v>1</v>
      </c>
      <c r="O12" s="55">
        <v>1</v>
      </c>
      <c r="P12" s="55">
        <v>1</v>
      </c>
      <c r="Q12" s="55">
        <v>1</v>
      </c>
      <c r="R12" s="55">
        <v>1</v>
      </c>
      <c r="S12" s="55">
        <v>1</v>
      </c>
      <c r="T12" s="55">
        <v>1</v>
      </c>
      <c r="U12" s="55"/>
      <c r="V12" s="55"/>
      <c r="W12" s="55"/>
      <c r="X12" s="55"/>
      <c r="Y12" s="55"/>
      <c r="Z12" s="55"/>
      <c r="AA12" s="44"/>
      <c r="AB12" s="44"/>
      <c r="AC12" s="44"/>
      <c r="AD12" s="44"/>
      <c r="AE12" s="44"/>
      <c r="AF12" s="44"/>
      <c r="AG12" s="44"/>
      <c r="AH12" s="44"/>
      <c r="AI12" s="121">
        <f t="shared" si="0"/>
        <v>9</v>
      </c>
      <c r="AJ12" s="26"/>
      <c r="AK12" s="19"/>
    </row>
    <row r="13" spans="1:38" ht="16.5" customHeight="1">
      <c r="A13" s="19"/>
      <c r="B13" s="25"/>
      <c r="C13" s="50" t="s">
        <v>49</v>
      </c>
      <c r="D13" s="383"/>
      <c r="E13" s="51" t="s">
        <v>57</v>
      </c>
      <c r="F13" s="51" t="s">
        <v>16</v>
      </c>
      <c r="G13" s="51" t="s">
        <v>51</v>
      </c>
      <c r="H13" s="53">
        <v>45720</v>
      </c>
      <c r="I13" s="53">
        <v>46022</v>
      </c>
      <c r="J13" s="53"/>
      <c r="K13" s="53"/>
      <c r="L13" s="55"/>
      <c r="M13" s="55">
        <v>1</v>
      </c>
      <c r="N13" s="55">
        <v>1</v>
      </c>
      <c r="O13" s="55">
        <v>1</v>
      </c>
      <c r="P13" s="55">
        <v>1</v>
      </c>
      <c r="Q13" s="55">
        <v>1</v>
      </c>
      <c r="R13" s="55">
        <v>1</v>
      </c>
      <c r="S13" s="55">
        <v>1</v>
      </c>
      <c r="T13" s="55">
        <v>1</v>
      </c>
      <c r="U13" s="55">
        <v>1</v>
      </c>
      <c r="V13" s="55">
        <v>1</v>
      </c>
      <c r="W13" s="55"/>
      <c r="X13" s="55"/>
      <c r="Y13" s="55"/>
      <c r="Z13" s="55"/>
      <c r="AA13" s="44"/>
      <c r="AB13" s="44"/>
      <c r="AC13" s="44"/>
      <c r="AD13" s="44"/>
      <c r="AE13" s="44"/>
      <c r="AF13" s="44"/>
      <c r="AG13" s="44"/>
      <c r="AH13" s="44"/>
      <c r="AI13" s="121">
        <f t="shared" si="0"/>
        <v>10</v>
      </c>
      <c r="AJ13" s="26"/>
      <c r="AK13" s="19"/>
    </row>
    <row r="14" spans="1:38" ht="16.5" customHeight="1">
      <c r="A14" s="19"/>
      <c r="B14" s="25"/>
      <c r="C14" s="50" t="s">
        <v>49</v>
      </c>
      <c r="D14" s="383"/>
      <c r="E14" s="125" t="s">
        <v>57</v>
      </c>
      <c r="F14" s="126" t="s">
        <v>20</v>
      </c>
      <c r="G14" s="126" t="s">
        <v>51</v>
      </c>
      <c r="H14" s="53">
        <v>45720</v>
      </c>
      <c r="I14" s="53">
        <v>45900</v>
      </c>
      <c r="J14" s="53"/>
      <c r="K14" s="53"/>
      <c r="L14" s="55"/>
      <c r="M14" s="54">
        <v>1</v>
      </c>
      <c r="N14" s="54">
        <v>1</v>
      </c>
      <c r="O14" s="54">
        <v>1</v>
      </c>
      <c r="P14" s="54">
        <v>1</v>
      </c>
      <c r="Q14" s="54">
        <v>1</v>
      </c>
      <c r="R14" s="54">
        <v>1</v>
      </c>
      <c r="S14" s="55"/>
      <c r="T14" s="55"/>
      <c r="U14" s="55"/>
      <c r="V14" s="55"/>
      <c r="W14" s="55"/>
      <c r="X14" s="55"/>
      <c r="Y14" s="55"/>
      <c r="Z14" s="55"/>
      <c r="AA14" s="44"/>
      <c r="AB14" s="44"/>
      <c r="AC14" s="44"/>
      <c r="AD14" s="44"/>
      <c r="AE14" s="44"/>
      <c r="AF14" s="44"/>
      <c r="AG14" s="44"/>
      <c r="AH14" s="44"/>
      <c r="AI14" s="121">
        <f t="shared" si="0"/>
        <v>6</v>
      </c>
      <c r="AJ14" s="26"/>
      <c r="AK14" s="19"/>
      <c r="AL14" s="19"/>
    </row>
    <row r="15" spans="1:38" ht="16.5" customHeight="1">
      <c r="A15" s="19"/>
      <c r="B15" s="25"/>
      <c r="C15" s="50" t="s">
        <v>49</v>
      </c>
      <c r="D15" s="383"/>
      <c r="E15" s="57" t="s">
        <v>59</v>
      </c>
      <c r="F15" s="57" t="s">
        <v>13</v>
      </c>
      <c r="G15" s="57" t="s">
        <v>59</v>
      </c>
      <c r="H15" s="59">
        <v>45691</v>
      </c>
      <c r="I15" s="59">
        <v>45991</v>
      </c>
      <c r="J15" s="59"/>
      <c r="K15" s="59"/>
      <c r="L15" s="44">
        <v>1</v>
      </c>
      <c r="M15" s="44">
        <v>1</v>
      </c>
      <c r="N15" s="44">
        <v>1</v>
      </c>
      <c r="O15" s="44">
        <v>1</v>
      </c>
      <c r="P15" s="44">
        <v>1</v>
      </c>
      <c r="Q15" s="44">
        <v>1</v>
      </c>
      <c r="R15" s="44">
        <v>1</v>
      </c>
      <c r="S15" s="44">
        <v>1</v>
      </c>
      <c r="T15" s="44">
        <v>1</v>
      </c>
      <c r="U15" s="44">
        <v>1</v>
      </c>
      <c r="V15" s="44"/>
      <c r="W15" s="44"/>
      <c r="X15" s="44"/>
      <c r="Y15" s="44"/>
      <c r="Z15" s="44"/>
      <c r="AA15" s="44"/>
      <c r="AB15" s="44"/>
      <c r="AC15" s="44"/>
      <c r="AD15" s="44"/>
      <c r="AE15" s="44"/>
      <c r="AF15" s="44"/>
      <c r="AG15" s="44"/>
      <c r="AH15" s="44"/>
      <c r="AI15" s="121">
        <f t="shared" si="0"/>
        <v>10</v>
      </c>
      <c r="AJ15" s="26"/>
      <c r="AK15" s="19"/>
      <c r="AL15" s="19"/>
    </row>
    <row r="16" spans="1:38" ht="16.5" customHeight="1">
      <c r="A16" s="19"/>
      <c r="B16" s="25"/>
      <c r="C16" s="50" t="s">
        <v>49</v>
      </c>
      <c r="D16" s="383"/>
      <c r="E16" s="57" t="s">
        <v>59</v>
      </c>
      <c r="F16" s="57" t="s">
        <v>17</v>
      </c>
      <c r="G16" s="103" t="s">
        <v>59</v>
      </c>
      <c r="H16" s="59">
        <v>45691</v>
      </c>
      <c r="I16" s="59">
        <v>45961</v>
      </c>
      <c r="J16" s="59"/>
      <c r="K16" s="59"/>
      <c r="L16" s="44">
        <v>1</v>
      </c>
      <c r="M16" s="44">
        <v>1</v>
      </c>
      <c r="N16" s="44">
        <v>1</v>
      </c>
      <c r="O16" s="44">
        <v>1</v>
      </c>
      <c r="P16" s="44">
        <v>1</v>
      </c>
      <c r="Q16" s="44">
        <v>1</v>
      </c>
      <c r="R16" s="44">
        <v>1</v>
      </c>
      <c r="S16" s="44">
        <v>1</v>
      </c>
      <c r="T16" s="81">
        <v>1</v>
      </c>
      <c r="U16" s="44"/>
      <c r="V16" s="44"/>
      <c r="W16" s="44"/>
      <c r="X16" s="44"/>
      <c r="Y16" s="44"/>
      <c r="Z16" s="44"/>
      <c r="AA16" s="44"/>
      <c r="AB16" s="44"/>
      <c r="AC16" s="44"/>
      <c r="AD16" s="44"/>
      <c r="AE16" s="44"/>
      <c r="AF16" s="44"/>
      <c r="AG16" s="44"/>
      <c r="AH16" s="44"/>
      <c r="AI16" s="121">
        <f t="shared" ref="AI16:AI17" si="1">SUM(L16:Z16)</f>
        <v>9</v>
      </c>
      <c r="AJ16" s="26"/>
      <c r="AK16" s="19"/>
      <c r="AL16" s="19"/>
    </row>
    <row r="17" spans="1:38" ht="16.5" hidden="1" customHeight="1">
      <c r="A17" s="19"/>
      <c r="B17" s="25"/>
      <c r="C17" s="50" t="s">
        <v>49</v>
      </c>
      <c r="D17" s="383"/>
      <c r="E17" s="57"/>
      <c r="F17" s="57"/>
      <c r="G17" s="57"/>
      <c r="H17" s="59"/>
      <c r="I17" s="59"/>
      <c r="J17" s="59"/>
      <c r="K17" s="59"/>
      <c r="L17" s="44"/>
      <c r="M17" s="44"/>
      <c r="N17" s="44"/>
      <c r="O17" s="44"/>
      <c r="P17" s="44"/>
      <c r="Q17" s="44"/>
      <c r="R17" s="44"/>
      <c r="S17" s="44"/>
      <c r="T17" s="44"/>
      <c r="U17" s="44"/>
      <c r="V17" s="44"/>
      <c r="W17" s="44"/>
      <c r="X17" s="44"/>
      <c r="Y17" s="44"/>
      <c r="Z17" s="44"/>
      <c r="AA17" s="44"/>
      <c r="AB17" s="44"/>
      <c r="AC17" s="44"/>
      <c r="AD17" s="44"/>
      <c r="AE17" s="44"/>
      <c r="AF17" s="44"/>
      <c r="AG17" s="44"/>
      <c r="AH17" s="44"/>
      <c r="AI17" s="45">
        <f t="shared" si="1"/>
        <v>0</v>
      </c>
      <c r="AJ17" s="26"/>
      <c r="AK17" s="19"/>
      <c r="AL17" s="19"/>
    </row>
    <row r="18" spans="1:38" ht="16.5" hidden="1" customHeight="1">
      <c r="A18" s="19"/>
      <c r="B18" s="25"/>
      <c r="C18" s="50" t="s">
        <v>49</v>
      </c>
      <c r="D18" s="383"/>
      <c r="E18" s="57"/>
      <c r="F18" s="57"/>
      <c r="G18" s="57"/>
      <c r="H18" s="59"/>
      <c r="I18" s="59"/>
      <c r="J18" s="59"/>
      <c r="K18" s="59"/>
      <c r="L18" s="44"/>
      <c r="M18" s="44"/>
      <c r="N18" s="44"/>
      <c r="O18" s="44"/>
      <c r="P18" s="44"/>
      <c r="Q18" s="44"/>
      <c r="R18" s="44"/>
      <c r="S18" s="44"/>
      <c r="T18" s="44"/>
      <c r="U18" s="44"/>
      <c r="V18" s="44"/>
      <c r="W18" s="44"/>
      <c r="X18" s="44"/>
      <c r="Y18" s="44"/>
      <c r="Z18" s="44"/>
      <c r="AA18" s="44"/>
      <c r="AB18" s="44"/>
      <c r="AC18" s="44"/>
      <c r="AD18" s="44"/>
      <c r="AE18" s="44"/>
      <c r="AF18" s="44"/>
      <c r="AG18" s="44"/>
      <c r="AH18" s="44"/>
      <c r="AI18" s="45">
        <f t="shared" ref="AI18:AI22" si="2">SUM(L18:AH18)</f>
        <v>0</v>
      </c>
      <c r="AJ18" s="26"/>
      <c r="AK18" s="19"/>
      <c r="AL18" s="19"/>
    </row>
    <row r="19" spans="1:38" ht="16.5" hidden="1" customHeight="1">
      <c r="A19" s="19"/>
      <c r="B19" s="25"/>
      <c r="C19" s="50" t="s">
        <v>49</v>
      </c>
      <c r="D19" s="384"/>
      <c r="E19" s="57"/>
      <c r="F19" s="57"/>
      <c r="G19" s="57"/>
      <c r="H19" s="59"/>
      <c r="I19" s="59"/>
      <c r="J19" s="59"/>
      <c r="K19" s="59"/>
      <c r="L19" s="44"/>
      <c r="M19" s="44"/>
      <c r="N19" s="44"/>
      <c r="O19" s="44"/>
      <c r="P19" s="44"/>
      <c r="Q19" s="44"/>
      <c r="R19" s="44"/>
      <c r="S19" s="44"/>
      <c r="T19" s="44"/>
      <c r="U19" s="44"/>
      <c r="V19" s="44"/>
      <c r="W19" s="44"/>
      <c r="X19" s="44"/>
      <c r="Y19" s="44"/>
      <c r="Z19" s="44"/>
      <c r="AA19" s="44"/>
      <c r="AB19" s="44"/>
      <c r="AC19" s="44"/>
      <c r="AD19" s="44"/>
      <c r="AE19" s="44"/>
      <c r="AF19" s="44"/>
      <c r="AG19" s="44"/>
      <c r="AH19" s="44"/>
      <c r="AI19" s="45">
        <f t="shared" si="2"/>
        <v>0</v>
      </c>
      <c r="AJ19" s="26"/>
      <c r="AK19" s="19"/>
      <c r="AL19" s="19"/>
    </row>
    <row r="20" spans="1:38" ht="16.5" hidden="1" customHeight="1">
      <c r="A20" s="19"/>
      <c r="B20" s="25"/>
      <c r="C20" s="50" t="s">
        <v>49</v>
      </c>
      <c r="D20" s="385"/>
      <c r="E20" s="57"/>
      <c r="F20" s="57"/>
      <c r="G20" s="57"/>
      <c r="H20" s="59"/>
      <c r="I20" s="59"/>
      <c r="J20" s="59"/>
      <c r="K20" s="59"/>
      <c r="L20" s="44"/>
      <c r="M20" s="44"/>
      <c r="N20" s="44"/>
      <c r="O20" s="44"/>
      <c r="P20" s="44"/>
      <c r="Q20" s="44"/>
      <c r="R20" s="44"/>
      <c r="S20" s="44"/>
      <c r="T20" s="44"/>
      <c r="U20" s="44"/>
      <c r="V20" s="44"/>
      <c r="W20" s="44"/>
      <c r="X20" s="44"/>
      <c r="Y20" s="44"/>
      <c r="Z20" s="44"/>
      <c r="AA20" s="44"/>
      <c r="AB20" s="44"/>
      <c r="AC20" s="44"/>
      <c r="AD20" s="44"/>
      <c r="AE20" s="44"/>
      <c r="AF20" s="44"/>
      <c r="AG20" s="44"/>
      <c r="AH20" s="44"/>
      <c r="AI20" s="45">
        <f t="shared" si="2"/>
        <v>0</v>
      </c>
      <c r="AJ20" s="26"/>
      <c r="AK20" s="19"/>
    </row>
    <row r="21" spans="1:38" ht="16.5" hidden="1" customHeight="1">
      <c r="A21" s="19"/>
      <c r="B21" s="25"/>
      <c r="C21" s="50" t="s">
        <v>49</v>
      </c>
      <c r="D21" s="383"/>
      <c r="E21" s="57"/>
      <c r="F21" s="57"/>
      <c r="G21" s="57"/>
      <c r="H21" s="59"/>
      <c r="I21" s="59"/>
      <c r="J21" s="59"/>
      <c r="K21" s="59"/>
      <c r="L21" s="44"/>
      <c r="M21" s="44"/>
      <c r="N21" s="44"/>
      <c r="O21" s="44"/>
      <c r="P21" s="44"/>
      <c r="Q21" s="44"/>
      <c r="R21" s="44"/>
      <c r="S21" s="44"/>
      <c r="T21" s="44"/>
      <c r="U21" s="44"/>
      <c r="V21" s="44"/>
      <c r="W21" s="44"/>
      <c r="X21" s="44"/>
      <c r="Y21" s="44"/>
      <c r="Z21" s="44"/>
      <c r="AA21" s="44"/>
      <c r="AB21" s="44"/>
      <c r="AC21" s="44"/>
      <c r="AD21" s="44"/>
      <c r="AE21" s="44"/>
      <c r="AF21" s="44"/>
      <c r="AG21" s="44"/>
      <c r="AH21" s="44"/>
      <c r="AI21" s="45">
        <f t="shared" si="2"/>
        <v>0</v>
      </c>
      <c r="AJ21" s="26"/>
      <c r="AK21" s="19"/>
    </row>
    <row r="22" spans="1:38" ht="16.5" hidden="1" customHeight="1">
      <c r="A22" s="19"/>
      <c r="B22" s="25"/>
      <c r="C22" s="50" t="s">
        <v>49</v>
      </c>
      <c r="D22" s="384"/>
      <c r="E22" s="57"/>
      <c r="F22" s="57"/>
      <c r="G22" s="57"/>
      <c r="H22" s="59"/>
      <c r="I22" s="59"/>
      <c r="J22" s="59"/>
      <c r="K22" s="59"/>
      <c r="L22" s="44"/>
      <c r="M22" s="44"/>
      <c r="N22" s="44"/>
      <c r="O22" s="44"/>
      <c r="P22" s="44"/>
      <c r="Q22" s="44"/>
      <c r="R22" s="44"/>
      <c r="S22" s="44"/>
      <c r="T22" s="44"/>
      <c r="U22" s="44"/>
      <c r="V22" s="44"/>
      <c r="W22" s="44"/>
      <c r="X22" s="44"/>
      <c r="Y22" s="44"/>
      <c r="Z22" s="44"/>
      <c r="AA22" s="44"/>
      <c r="AB22" s="44"/>
      <c r="AC22" s="44"/>
      <c r="AD22" s="44"/>
      <c r="AE22" s="44"/>
      <c r="AF22" s="44"/>
      <c r="AG22" s="44"/>
      <c r="AH22" s="44"/>
      <c r="AI22" s="45">
        <f t="shared" si="2"/>
        <v>0</v>
      </c>
      <c r="AJ22" s="26"/>
      <c r="AK22" s="19"/>
    </row>
    <row r="23" spans="1:38" ht="16.5" customHeight="1">
      <c r="A23" s="19"/>
      <c r="B23" s="25"/>
      <c r="C23" s="61" t="s">
        <v>49</v>
      </c>
      <c r="D23" s="104" t="s">
        <v>60</v>
      </c>
      <c r="E23" s="66"/>
      <c r="F23" s="66"/>
      <c r="G23" s="66"/>
      <c r="H23" s="66"/>
      <c r="I23" s="66" t="s">
        <v>61</v>
      </c>
      <c r="J23" s="67"/>
      <c r="K23" s="67"/>
      <c r="L23" s="68">
        <f t="shared" ref="L23:Z23" si="3">SUM(L7:L22)</f>
        <v>6.5</v>
      </c>
      <c r="M23" s="68">
        <f t="shared" si="3"/>
        <v>9</v>
      </c>
      <c r="N23" s="68">
        <f t="shared" si="3"/>
        <v>10</v>
      </c>
      <c r="O23" s="68">
        <f t="shared" si="3"/>
        <v>10</v>
      </c>
      <c r="P23" s="68">
        <f t="shared" si="3"/>
        <v>10</v>
      </c>
      <c r="Q23" s="68">
        <f t="shared" si="3"/>
        <v>10</v>
      </c>
      <c r="R23" s="68">
        <f t="shared" si="3"/>
        <v>10</v>
      </c>
      <c r="S23" s="68">
        <f t="shared" si="3"/>
        <v>9</v>
      </c>
      <c r="T23" s="68">
        <f t="shared" si="3"/>
        <v>8</v>
      </c>
      <c r="U23" s="68">
        <f t="shared" si="3"/>
        <v>6</v>
      </c>
      <c r="V23" s="68">
        <f t="shared" si="3"/>
        <v>3.5</v>
      </c>
      <c r="W23" s="68">
        <f t="shared" si="3"/>
        <v>2</v>
      </c>
      <c r="X23" s="68">
        <f t="shared" si="3"/>
        <v>2</v>
      </c>
      <c r="Y23" s="68">
        <f t="shared" si="3"/>
        <v>2</v>
      </c>
      <c r="Z23" s="68">
        <f t="shared" si="3"/>
        <v>1</v>
      </c>
      <c r="AA23" s="68"/>
      <c r="AB23" s="68"/>
      <c r="AC23" s="68"/>
      <c r="AD23" s="68"/>
      <c r="AE23" s="68"/>
      <c r="AF23" s="68"/>
      <c r="AG23" s="68"/>
      <c r="AH23" s="68"/>
      <c r="AI23" s="69">
        <f>SUM(AI7:AI22)</f>
        <v>99</v>
      </c>
      <c r="AJ23" s="26"/>
      <c r="AK23" s="19"/>
    </row>
    <row r="24" spans="1:38" ht="4.5" customHeight="1">
      <c r="A24" s="70"/>
      <c r="B24" s="71"/>
      <c r="C24" s="72"/>
      <c r="D24" s="73"/>
      <c r="E24" s="74"/>
      <c r="F24" s="74"/>
      <c r="G24" s="74"/>
      <c r="H24" s="76"/>
      <c r="I24" s="76"/>
      <c r="J24" s="76"/>
      <c r="K24" s="76"/>
      <c r="L24" s="74"/>
      <c r="M24" s="74"/>
      <c r="N24" s="74"/>
      <c r="O24" s="74"/>
      <c r="P24" s="74"/>
      <c r="Q24" s="74"/>
      <c r="R24" s="74"/>
      <c r="S24" s="74"/>
      <c r="T24" s="74"/>
      <c r="U24" s="74"/>
      <c r="V24" s="74"/>
      <c r="W24" s="74"/>
      <c r="X24" s="74"/>
      <c r="Y24" s="74"/>
      <c r="Z24" s="74"/>
      <c r="AA24" s="74"/>
      <c r="AB24" s="74"/>
      <c r="AC24" s="74"/>
      <c r="AD24" s="74"/>
      <c r="AE24" s="74"/>
      <c r="AF24" s="74"/>
      <c r="AG24" s="74"/>
      <c r="AH24" s="74"/>
      <c r="AI24" s="74"/>
      <c r="AJ24" s="78"/>
      <c r="AK24" s="70"/>
    </row>
    <row r="25" spans="1:38" ht="16.5" customHeight="1">
      <c r="A25" s="19"/>
      <c r="B25" s="25"/>
      <c r="C25" s="38" t="s">
        <v>62</v>
      </c>
      <c r="D25" s="79" t="s">
        <v>54</v>
      </c>
      <c r="E25" s="51" t="s">
        <v>57</v>
      </c>
      <c r="F25" s="51" t="s">
        <v>6</v>
      </c>
      <c r="G25" s="105" t="s">
        <v>56</v>
      </c>
      <c r="H25" s="53">
        <v>45726</v>
      </c>
      <c r="I25" s="53">
        <v>46127</v>
      </c>
      <c r="J25" s="53"/>
      <c r="K25" s="53"/>
      <c r="L25" s="55"/>
      <c r="M25" s="54">
        <v>0.75</v>
      </c>
      <c r="N25" s="55">
        <v>1</v>
      </c>
      <c r="O25" s="55">
        <v>1</v>
      </c>
      <c r="P25" s="55">
        <v>1</v>
      </c>
      <c r="Q25" s="55">
        <v>1</v>
      </c>
      <c r="R25" s="55">
        <v>1</v>
      </c>
      <c r="S25" s="55">
        <v>1</v>
      </c>
      <c r="T25" s="55">
        <v>1</v>
      </c>
      <c r="U25" s="55">
        <v>1</v>
      </c>
      <c r="V25" s="55">
        <v>1</v>
      </c>
      <c r="W25" s="55">
        <v>1</v>
      </c>
      <c r="X25" s="55">
        <v>1</v>
      </c>
      <c r="Y25" s="55">
        <v>1</v>
      </c>
      <c r="Z25" s="55">
        <v>0.5</v>
      </c>
      <c r="AA25" s="44"/>
      <c r="AB25" s="44"/>
      <c r="AC25" s="44"/>
      <c r="AD25" s="44"/>
      <c r="AE25" s="44"/>
      <c r="AF25" s="44"/>
      <c r="AG25" s="44"/>
      <c r="AH25" s="44"/>
      <c r="AI25" s="121">
        <f t="shared" ref="AI25:AI31" si="4">SUM(L25:AH25)</f>
        <v>13.25</v>
      </c>
      <c r="AJ25" s="26"/>
      <c r="AK25" s="19"/>
    </row>
    <row r="26" spans="1:38" ht="16.5" customHeight="1">
      <c r="A26" s="19"/>
      <c r="B26" s="25"/>
      <c r="C26" s="47"/>
      <c r="D26" s="382" t="s">
        <v>63</v>
      </c>
      <c r="E26" s="51" t="s">
        <v>57</v>
      </c>
      <c r="F26" s="51" t="s">
        <v>10</v>
      </c>
      <c r="G26" s="105" t="s">
        <v>56</v>
      </c>
      <c r="H26" s="53">
        <v>45726</v>
      </c>
      <c r="I26" s="53">
        <v>46127</v>
      </c>
      <c r="J26" s="53"/>
      <c r="K26" s="53"/>
      <c r="L26" s="55"/>
      <c r="M26" s="54">
        <v>0.75</v>
      </c>
      <c r="N26" s="55">
        <v>1</v>
      </c>
      <c r="O26" s="55">
        <v>1</v>
      </c>
      <c r="P26" s="55">
        <v>1</v>
      </c>
      <c r="Q26" s="55">
        <v>1</v>
      </c>
      <c r="R26" s="55">
        <v>1</v>
      </c>
      <c r="S26" s="55">
        <v>1</v>
      </c>
      <c r="T26" s="55">
        <v>1</v>
      </c>
      <c r="U26" s="55">
        <v>1</v>
      </c>
      <c r="V26" s="55">
        <v>1</v>
      </c>
      <c r="W26" s="55">
        <v>1</v>
      </c>
      <c r="X26" s="55">
        <v>1</v>
      </c>
      <c r="Y26" s="55">
        <v>1</v>
      </c>
      <c r="Z26" s="54">
        <v>0.5</v>
      </c>
      <c r="AA26" s="44"/>
      <c r="AB26" s="44"/>
      <c r="AC26" s="44"/>
      <c r="AD26" s="44"/>
      <c r="AE26" s="44"/>
      <c r="AF26" s="44"/>
      <c r="AG26" s="44"/>
      <c r="AH26" s="44"/>
      <c r="AI26" s="121">
        <f t="shared" si="4"/>
        <v>13.25</v>
      </c>
      <c r="AJ26" s="26"/>
      <c r="AK26" s="19"/>
    </row>
    <row r="27" spans="1:38" ht="16.5" customHeight="1">
      <c r="A27" s="19"/>
      <c r="B27" s="25"/>
      <c r="C27" s="47"/>
      <c r="D27" s="383"/>
      <c r="E27" s="51" t="s">
        <v>57</v>
      </c>
      <c r="F27" s="51" t="s">
        <v>22</v>
      </c>
      <c r="G27" s="51" t="s">
        <v>51</v>
      </c>
      <c r="H27" s="53">
        <v>45748</v>
      </c>
      <c r="I27" s="53">
        <v>46066</v>
      </c>
      <c r="J27" s="53"/>
      <c r="K27" s="53"/>
      <c r="L27" s="55"/>
      <c r="M27" s="55"/>
      <c r="N27" s="55">
        <v>1</v>
      </c>
      <c r="O27" s="55">
        <v>1</v>
      </c>
      <c r="P27" s="55">
        <v>1</v>
      </c>
      <c r="Q27" s="55">
        <v>1</v>
      </c>
      <c r="R27" s="55">
        <v>1</v>
      </c>
      <c r="S27" s="55">
        <v>1</v>
      </c>
      <c r="T27" s="55">
        <v>1</v>
      </c>
      <c r="U27" s="55">
        <v>1</v>
      </c>
      <c r="V27" s="55">
        <v>1</v>
      </c>
      <c r="W27" s="55">
        <v>1</v>
      </c>
      <c r="X27" s="55">
        <v>0.5</v>
      </c>
      <c r="Y27" s="55"/>
      <c r="Z27" s="55"/>
      <c r="AA27" s="44"/>
      <c r="AB27" s="44"/>
      <c r="AC27" s="44"/>
      <c r="AD27" s="44"/>
      <c r="AE27" s="44"/>
      <c r="AF27" s="44"/>
      <c r="AG27" s="44"/>
      <c r="AH27" s="44"/>
      <c r="AI27" s="121">
        <f t="shared" si="4"/>
        <v>10.5</v>
      </c>
      <c r="AJ27" s="26"/>
      <c r="AK27" s="19"/>
    </row>
    <row r="28" spans="1:38" ht="16.5" customHeight="1">
      <c r="A28" s="19"/>
      <c r="B28" s="25"/>
      <c r="C28" s="50" t="s">
        <v>62</v>
      </c>
      <c r="D28" s="383"/>
      <c r="E28" s="57" t="s">
        <v>59</v>
      </c>
      <c r="F28" s="57" t="s">
        <v>14</v>
      </c>
      <c r="G28" s="103" t="s">
        <v>56</v>
      </c>
      <c r="H28" s="59">
        <v>45726</v>
      </c>
      <c r="I28" s="59">
        <v>46127</v>
      </c>
      <c r="J28" s="59"/>
      <c r="K28" s="59"/>
      <c r="L28" s="44"/>
      <c r="M28" s="81">
        <v>0.75</v>
      </c>
      <c r="N28" s="44">
        <v>1</v>
      </c>
      <c r="O28" s="44">
        <v>1</v>
      </c>
      <c r="P28" s="44">
        <v>1</v>
      </c>
      <c r="Q28" s="44">
        <v>1</v>
      </c>
      <c r="R28" s="44">
        <v>1</v>
      </c>
      <c r="S28" s="44">
        <v>1</v>
      </c>
      <c r="T28" s="44">
        <v>1</v>
      </c>
      <c r="U28" s="44">
        <v>1</v>
      </c>
      <c r="V28" s="44">
        <v>1</v>
      </c>
      <c r="W28" s="44">
        <v>1</v>
      </c>
      <c r="X28" s="44">
        <v>1</v>
      </c>
      <c r="Y28" s="44">
        <v>1</v>
      </c>
      <c r="Z28" s="81">
        <v>0.5</v>
      </c>
      <c r="AA28" s="44"/>
      <c r="AB28" s="44"/>
      <c r="AC28" s="44"/>
      <c r="AD28" s="44"/>
      <c r="AE28" s="44"/>
      <c r="AF28" s="44"/>
      <c r="AG28" s="44"/>
      <c r="AH28" s="44"/>
      <c r="AI28" s="121">
        <f t="shared" si="4"/>
        <v>13.25</v>
      </c>
      <c r="AJ28" s="26"/>
      <c r="AK28" s="19"/>
    </row>
    <row r="29" spans="1:38" ht="16.5" customHeight="1">
      <c r="A29" s="19"/>
      <c r="B29" s="25"/>
      <c r="C29" s="50" t="s">
        <v>62</v>
      </c>
      <c r="D29" s="383"/>
      <c r="E29" s="57" t="s">
        <v>59</v>
      </c>
      <c r="F29" s="57" t="s">
        <v>7</v>
      </c>
      <c r="G29" s="103" t="s">
        <v>56</v>
      </c>
      <c r="H29" s="59">
        <v>45748</v>
      </c>
      <c r="I29" s="59">
        <v>45961</v>
      </c>
      <c r="J29" s="59"/>
      <c r="K29" s="59"/>
      <c r="L29" s="44"/>
      <c r="M29" s="44"/>
      <c r="N29" s="44">
        <v>1</v>
      </c>
      <c r="O29" s="44">
        <v>1</v>
      </c>
      <c r="P29" s="44">
        <v>1</v>
      </c>
      <c r="Q29" s="44">
        <v>1</v>
      </c>
      <c r="R29" s="44">
        <v>1</v>
      </c>
      <c r="S29" s="44">
        <v>1</v>
      </c>
      <c r="T29" s="44">
        <v>1</v>
      </c>
      <c r="U29" s="44"/>
      <c r="V29" s="44"/>
      <c r="W29" s="44"/>
      <c r="X29" s="44"/>
      <c r="Y29" s="44"/>
      <c r="Z29" s="44"/>
      <c r="AA29" s="44"/>
      <c r="AB29" s="44"/>
      <c r="AC29" s="44"/>
      <c r="AD29" s="44"/>
      <c r="AE29" s="44"/>
      <c r="AF29" s="44"/>
      <c r="AG29" s="44"/>
      <c r="AH29" s="44"/>
      <c r="AI29" s="121">
        <f t="shared" si="4"/>
        <v>7</v>
      </c>
      <c r="AJ29" s="26"/>
      <c r="AK29" s="19"/>
    </row>
    <row r="30" spans="1:38" ht="16.5" customHeight="1">
      <c r="A30" s="19"/>
      <c r="B30" s="25"/>
      <c r="C30" s="50" t="s">
        <v>62</v>
      </c>
      <c r="D30" s="383"/>
      <c r="E30" s="57" t="s">
        <v>59</v>
      </c>
      <c r="F30" s="57" t="s">
        <v>18</v>
      </c>
      <c r="G30" s="103" t="s">
        <v>56</v>
      </c>
      <c r="H30" s="59">
        <v>45726</v>
      </c>
      <c r="I30" s="59">
        <v>45989</v>
      </c>
      <c r="J30" s="59"/>
      <c r="K30" s="59"/>
      <c r="L30" s="44"/>
      <c r="M30" s="81">
        <v>0.75</v>
      </c>
      <c r="N30" s="44">
        <v>1</v>
      </c>
      <c r="O30" s="44">
        <v>1</v>
      </c>
      <c r="P30" s="44">
        <v>1</v>
      </c>
      <c r="Q30" s="44">
        <v>1</v>
      </c>
      <c r="R30" s="44">
        <v>1</v>
      </c>
      <c r="S30" s="44">
        <v>1</v>
      </c>
      <c r="T30" s="44">
        <v>1</v>
      </c>
      <c r="U30" s="44">
        <v>1</v>
      </c>
      <c r="V30" s="44"/>
      <c r="W30" s="44"/>
      <c r="X30" s="44"/>
      <c r="Y30" s="44"/>
      <c r="Z30" s="44"/>
      <c r="AA30" s="44"/>
      <c r="AB30" s="44"/>
      <c r="AC30" s="44"/>
      <c r="AD30" s="44"/>
      <c r="AE30" s="44"/>
      <c r="AF30" s="44"/>
      <c r="AG30" s="44"/>
      <c r="AH30" s="44"/>
      <c r="AI30" s="121">
        <f t="shared" si="4"/>
        <v>8.75</v>
      </c>
      <c r="AJ30" s="26"/>
      <c r="AK30" s="19"/>
    </row>
    <row r="31" spans="1:38" ht="16.5" customHeight="1">
      <c r="A31" s="19"/>
      <c r="B31" s="25"/>
      <c r="C31" s="50" t="s">
        <v>62</v>
      </c>
      <c r="D31" s="384"/>
      <c r="E31" s="57" t="s">
        <v>59</v>
      </c>
      <c r="F31" s="57" t="s">
        <v>11</v>
      </c>
      <c r="G31" s="103" t="s">
        <v>56</v>
      </c>
      <c r="H31" s="59">
        <v>45748</v>
      </c>
      <c r="I31" s="59">
        <v>45961</v>
      </c>
      <c r="J31" s="59"/>
      <c r="K31" s="59"/>
      <c r="L31" s="44"/>
      <c r="M31" s="44"/>
      <c r="N31" s="44">
        <v>1</v>
      </c>
      <c r="O31" s="44">
        <v>1</v>
      </c>
      <c r="P31" s="44">
        <v>1</v>
      </c>
      <c r="Q31" s="44">
        <v>1</v>
      </c>
      <c r="R31" s="44">
        <v>1</v>
      </c>
      <c r="S31" s="44">
        <v>1</v>
      </c>
      <c r="T31" s="44">
        <v>1</v>
      </c>
      <c r="U31" s="81"/>
      <c r="V31" s="44"/>
      <c r="W31" s="44"/>
      <c r="X31" s="44"/>
      <c r="Y31" s="44"/>
      <c r="Z31" s="44"/>
      <c r="AA31" s="44"/>
      <c r="AB31" s="44"/>
      <c r="AC31" s="44"/>
      <c r="AD31" s="44"/>
      <c r="AE31" s="44"/>
      <c r="AF31" s="44"/>
      <c r="AG31" s="44"/>
      <c r="AH31" s="44"/>
      <c r="AI31" s="121">
        <f t="shared" si="4"/>
        <v>7</v>
      </c>
      <c r="AJ31" s="26"/>
      <c r="AK31" s="19"/>
    </row>
    <row r="32" spans="1:38" ht="16.5" hidden="1" customHeight="1">
      <c r="A32" s="19"/>
      <c r="B32" s="25"/>
      <c r="C32" s="50" t="s">
        <v>62</v>
      </c>
      <c r="D32" s="385"/>
      <c r="E32" s="57" t="s">
        <v>51</v>
      </c>
      <c r="F32" s="57"/>
      <c r="G32" s="60"/>
      <c r="H32" s="59"/>
      <c r="I32" s="59"/>
      <c r="J32" s="59"/>
      <c r="K32" s="59"/>
      <c r="L32" s="44"/>
      <c r="M32" s="44"/>
      <c r="N32" s="44"/>
      <c r="O32" s="44"/>
      <c r="P32" s="44"/>
      <c r="Q32" s="44"/>
      <c r="R32" s="44"/>
      <c r="S32" s="44"/>
      <c r="T32" s="44"/>
      <c r="U32" s="44"/>
      <c r="V32" s="44"/>
      <c r="W32" s="44"/>
      <c r="X32" s="44"/>
      <c r="Y32" s="44"/>
      <c r="Z32" s="44"/>
      <c r="AA32" s="44"/>
      <c r="AB32" s="44"/>
      <c r="AC32" s="44"/>
      <c r="AD32" s="44"/>
      <c r="AE32" s="44"/>
      <c r="AF32" s="44"/>
      <c r="AG32" s="44"/>
      <c r="AH32" s="44"/>
      <c r="AI32" s="45">
        <v>0</v>
      </c>
      <c r="AJ32" s="26"/>
      <c r="AK32" s="19"/>
    </row>
    <row r="33" spans="1:37" ht="16.5" hidden="1" customHeight="1">
      <c r="A33" s="19"/>
      <c r="B33" s="25"/>
      <c r="C33" s="50" t="s">
        <v>62</v>
      </c>
      <c r="D33" s="383"/>
      <c r="E33" s="57" t="s">
        <v>57</v>
      </c>
      <c r="F33" s="57"/>
      <c r="G33" s="60"/>
      <c r="H33" s="59"/>
      <c r="I33" s="59"/>
      <c r="J33" s="59"/>
      <c r="K33" s="59"/>
      <c r="L33" s="44"/>
      <c r="M33" s="44"/>
      <c r="N33" s="44"/>
      <c r="O33" s="44"/>
      <c r="P33" s="44"/>
      <c r="Q33" s="44"/>
      <c r="R33" s="44"/>
      <c r="S33" s="44"/>
      <c r="T33" s="44"/>
      <c r="U33" s="44"/>
      <c r="V33" s="44"/>
      <c r="W33" s="44"/>
      <c r="X33" s="44"/>
      <c r="Y33" s="44"/>
      <c r="Z33" s="44"/>
      <c r="AA33" s="44"/>
      <c r="AB33" s="44"/>
      <c r="AC33" s="44"/>
      <c r="AD33" s="44"/>
      <c r="AE33" s="44"/>
      <c r="AF33" s="44"/>
      <c r="AG33" s="44"/>
      <c r="AH33" s="44"/>
      <c r="AI33" s="45">
        <v>0</v>
      </c>
      <c r="AJ33" s="26"/>
      <c r="AK33" s="19"/>
    </row>
    <row r="34" spans="1:37" ht="16.5" hidden="1" customHeight="1">
      <c r="A34" s="19"/>
      <c r="B34" s="25"/>
      <c r="C34" s="50" t="s">
        <v>62</v>
      </c>
      <c r="D34" s="384"/>
      <c r="E34" s="57" t="s">
        <v>59</v>
      </c>
      <c r="F34" s="57"/>
      <c r="G34" s="60"/>
      <c r="H34" s="59"/>
      <c r="I34" s="59"/>
      <c r="J34" s="59"/>
      <c r="K34" s="59"/>
      <c r="L34" s="44"/>
      <c r="M34" s="44"/>
      <c r="N34" s="44"/>
      <c r="O34" s="44"/>
      <c r="P34" s="44"/>
      <c r="Q34" s="44"/>
      <c r="R34" s="44"/>
      <c r="S34" s="44"/>
      <c r="T34" s="44"/>
      <c r="U34" s="44"/>
      <c r="V34" s="44"/>
      <c r="W34" s="44"/>
      <c r="X34" s="44"/>
      <c r="Y34" s="44"/>
      <c r="Z34" s="44"/>
      <c r="AA34" s="44"/>
      <c r="AB34" s="44"/>
      <c r="AC34" s="44"/>
      <c r="AD34" s="44"/>
      <c r="AE34" s="44"/>
      <c r="AF34" s="44"/>
      <c r="AG34" s="44"/>
      <c r="AH34" s="44"/>
      <c r="AI34" s="45">
        <v>0</v>
      </c>
      <c r="AJ34" s="26"/>
      <c r="AK34" s="19"/>
    </row>
    <row r="35" spans="1:37" ht="16.5" hidden="1" customHeight="1">
      <c r="A35" s="19"/>
      <c r="B35" s="25"/>
      <c r="C35" s="50" t="s">
        <v>62</v>
      </c>
      <c r="D35" s="385"/>
      <c r="E35" s="57" t="s">
        <v>51</v>
      </c>
      <c r="F35" s="57"/>
      <c r="G35" s="60"/>
      <c r="H35" s="59"/>
      <c r="I35" s="59"/>
      <c r="J35" s="59"/>
      <c r="K35" s="59"/>
      <c r="L35" s="44"/>
      <c r="M35" s="44"/>
      <c r="N35" s="44"/>
      <c r="O35" s="44"/>
      <c r="P35" s="44"/>
      <c r="Q35" s="44"/>
      <c r="R35" s="44"/>
      <c r="S35" s="44"/>
      <c r="T35" s="44"/>
      <c r="U35" s="44"/>
      <c r="V35" s="44"/>
      <c r="W35" s="44"/>
      <c r="X35" s="44"/>
      <c r="Y35" s="44"/>
      <c r="Z35" s="44"/>
      <c r="AA35" s="44"/>
      <c r="AB35" s="44"/>
      <c r="AC35" s="44"/>
      <c r="AD35" s="44"/>
      <c r="AE35" s="44"/>
      <c r="AF35" s="44"/>
      <c r="AG35" s="44"/>
      <c r="AH35" s="44"/>
      <c r="AI35" s="45">
        <v>0</v>
      </c>
      <c r="AJ35" s="26"/>
      <c r="AK35" s="19"/>
    </row>
    <row r="36" spans="1:37" ht="16.5" hidden="1" customHeight="1">
      <c r="A36" s="19"/>
      <c r="B36" s="25"/>
      <c r="C36" s="50" t="s">
        <v>62</v>
      </c>
      <c r="D36" s="383"/>
      <c r="E36" s="57" t="s">
        <v>57</v>
      </c>
      <c r="F36" s="57"/>
      <c r="G36" s="60"/>
      <c r="H36" s="59"/>
      <c r="I36" s="59"/>
      <c r="J36" s="59"/>
      <c r="K36" s="59"/>
      <c r="L36" s="44"/>
      <c r="M36" s="44"/>
      <c r="N36" s="44"/>
      <c r="O36" s="44"/>
      <c r="P36" s="44"/>
      <c r="Q36" s="44"/>
      <c r="R36" s="44"/>
      <c r="S36" s="44"/>
      <c r="T36" s="44"/>
      <c r="U36" s="44"/>
      <c r="V36" s="44"/>
      <c r="W36" s="44"/>
      <c r="X36" s="44"/>
      <c r="Y36" s="44"/>
      <c r="Z36" s="44"/>
      <c r="AA36" s="44"/>
      <c r="AB36" s="44"/>
      <c r="AC36" s="44"/>
      <c r="AD36" s="44"/>
      <c r="AE36" s="44"/>
      <c r="AF36" s="44"/>
      <c r="AG36" s="44"/>
      <c r="AH36" s="44"/>
      <c r="AI36" s="45">
        <v>0</v>
      </c>
      <c r="AJ36" s="26"/>
      <c r="AK36" s="19"/>
    </row>
    <row r="37" spans="1:37" ht="16.5" hidden="1" customHeight="1">
      <c r="A37" s="19"/>
      <c r="B37" s="25"/>
      <c r="C37" s="50" t="s">
        <v>62</v>
      </c>
      <c r="D37" s="384"/>
      <c r="E37" s="57" t="s">
        <v>59</v>
      </c>
      <c r="F37" s="57"/>
      <c r="G37" s="60"/>
      <c r="H37" s="59"/>
      <c r="I37" s="59"/>
      <c r="J37" s="59"/>
      <c r="K37" s="59"/>
      <c r="L37" s="44"/>
      <c r="M37" s="44"/>
      <c r="N37" s="44"/>
      <c r="O37" s="44"/>
      <c r="P37" s="44"/>
      <c r="Q37" s="44"/>
      <c r="R37" s="44"/>
      <c r="S37" s="44"/>
      <c r="T37" s="44"/>
      <c r="U37" s="44"/>
      <c r="V37" s="44"/>
      <c r="W37" s="44"/>
      <c r="X37" s="44"/>
      <c r="Y37" s="44"/>
      <c r="Z37" s="44"/>
      <c r="AA37" s="44"/>
      <c r="AB37" s="44"/>
      <c r="AC37" s="44"/>
      <c r="AD37" s="44"/>
      <c r="AE37" s="44"/>
      <c r="AF37" s="44"/>
      <c r="AG37" s="44"/>
      <c r="AH37" s="44"/>
      <c r="AI37" s="45">
        <v>0</v>
      </c>
      <c r="AJ37" s="26"/>
      <c r="AK37" s="19"/>
    </row>
    <row r="38" spans="1:37" ht="16.5" hidden="1" customHeight="1">
      <c r="A38" s="19"/>
      <c r="B38" s="25"/>
      <c r="C38" s="50" t="s">
        <v>62</v>
      </c>
      <c r="D38" s="386" t="s">
        <v>64</v>
      </c>
      <c r="E38" s="57" t="s">
        <v>51</v>
      </c>
      <c r="F38" s="57"/>
      <c r="G38" s="60"/>
      <c r="H38" s="59"/>
      <c r="I38" s="59"/>
      <c r="J38" s="59"/>
      <c r="K38" s="59"/>
      <c r="L38" s="44"/>
      <c r="M38" s="44"/>
      <c r="N38" s="44"/>
      <c r="O38" s="44"/>
      <c r="P38" s="44"/>
      <c r="Q38" s="44"/>
      <c r="R38" s="44"/>
      <c r="S38" s="44"/>
      <c r="T38" s="44"/>
      <c r="U38" s="44"/>
      <c r="V38" s="44"/>
      <c r="W38" s="44"/>
      <c r="X38" s="44"/>
      <c r="Y38" s="44"/>
      <c r="Z38" s="44"/>
      <c r="AA38" s="44"/>
      <c r="AB38" s="44"/>
      <c r="AC38" s="44"/>
      <c r="AD38" s="44"/>
      <c r="AE38" s="44"/>
      <c r="AF38" s="44"/>
      <c r="AG38" s="44"/>
      <c r="AH38" s="44"/>
      <c r="AI38" s="45">
        <v>0</v>
      </c>
      <c r="AJ38" s="26"/>
      <c r="AK38" s="19"/>
    </row>
    <row r="39" spans="1:37" ht="16.5" hidden="1" customHeight="1">
      <c r="A39" s="19"/>
      <c r="B39" s="25"/>
      <c r="C39" s="50" t="s">
        <v>62</v>
      </c>
      <c r="D39" s="383"/>
      <c r="E39" s="57" t="s">
        <v>57</v>
      </c>
      <c r="F39" s="57"/>
      <c r="G39" s="60"/>
      <c r="H39" s="59"/>
      <c r="I39" s="59"/>
      <c r="J39" s="59"/>
      <c r="K39" s="59"/>
      <c r="L39" s="44"/>
      <c r="M39" s="44"/>
      <c r="N39" s="44"/>
      <c r="O39" s="44"/>
      <c r="P39" s="44"/>
      <c r="Q39" s="44"/>
      <c r="R39" s="44"/>
      <c r="S39" s="44"/>
      <c r="T39" s="44"/>
      <c r="U39" s="44"/>
      <c r="V39" s="44"/>
      <c r="W39" s="44"/>
      <c r="X39" s="44"/>
      <c r="Y39" s="44"/>
      <c r="Z39" s="44"/>
      <c r="AA39" s="44"/>
      <c r="AB39" s="44"/>
      <c r="AC39" s="44"/>
      <c r="AD39" s="44"/>
      <c r="AE39" s="44"/>
      <c r="AF39" s="44"/>
      <c r="AG39" s="44"/>
      <c r="AH39" s="44"/>
      <c r="AI39" s="45">
        <v>0</v>
      </c>
      <c r="AJ39" s="26"/>
      <c r="AK39" s="19"/>
    </row>
    <row r="40" spans="1:37" ht="16.5" hidden="1" customHeight="1">
      <c r="A40" s="19"/>
      <c r="B40" s="25"/>
      <c r="C40" s="50" t="s">
        <v>62</v>
      </c>
      <c r="D40" s="384"/>
      <c r="E40" s="57" t="s">
        <v>59</v>
      </c>
      <c r="F40" s="57"/>
      <c r="G40" s="60"/>
      <c r="H40" s="59"/>
      <c r="I40" s="59"/>
      <c r="J40" s="59"/>
      <c r="K40" s="59"/>
      <c r="L40" s="44"/>
      <c r="M40" s="44"/>
      <c r="N40" s="44"/>
      <c r="O40" s="44"/>
      <c r="P40" s="44"/>
      <c r="Q40" s="44"/>
      <c r="R40" s="44"/>
      <c r="S40" s="44"/>
      <c r="T40" s="44"/>
      <c r="U40" s="44"/>
      <c r="V40" s="44"/>
      <c r="W40" s="44"/>
      <c r="X40" s="44"/>
      <c r="Y40" s="44"/>
      <c r="Z40" s="44"/>
      <c r="AA40" s="44"/>
      <c r="AB40" s="44"/>
      <c r="AC40" s="44"/>
      <c r="AD40" s="44"/>
      <c r="AE40" s="44"/>
      <c r="AF40" s="44"/>
      <c r="AG40" s="44"/>
      <c r="AH40" s="44"/>
      <c r="AI40" s="45">
        <v>0</v>
      </c>
      <c r="AJ40" s="26"/>
      <c r="AK40" s="19"/>
    </row>
    <row r="41" spans="1:37" ht="16.5" customHeight="1">
      <c r="A41" s="19"/>
      <c r="B41" s="25"/>
      <c r="C41" s="61" t="s">
        <v>62</v>
      </c>
      <c r="D41" s="104" t="s">
        <v>60</v>
      </c>
      <c r="E41" s="66"/>
      <c r="F41" s="66"/>
      <c r="G41" s="66" t="s">
        <v>77</v>
      </c>
      <c r="H41" s="66"/>
      <c r="I41" s="66" t="s">
        <v>61</v>
      </c>
      <c r="J41" s="67"/>
      <c r="K41" s="67"/>
      <c r="L41" s="68">
        <f t="shared" ref="L41:Z41" si="5">SUM(L25:L40)</f>
        <v>0</v>
      </c>
      <c r="M41" s="68">
        <f t="shared" si="5"/>
        <v>3</v>
      </c>
      <c r="N41" s="68">
        <f t="shared" si="5"/>
        <v>7</v>
      </c>
      <c r="O41" s="68">
        <f t="shared" si="5"/>
        <v>7</v>
      </c>
      <c r="P41" s="68">
        <f t="shared" si="5"/>
        <v>7</v>
      </c>
      <c r="Q41" s="68">
        <f t="shared" si="5"/>
        <v>7</v>
      </c>
      <c r="R41" s="68">
        <f t="shared" si="5"/>
        <v>7</v>
      </c>
      <c r="S41" s="68">
        <f t="shared" si="5"/>
        <v>7</v>
      </c>
      <c r="T41" s="68">
        <f t="shared" si="5"/>
        <v>7</v>
      </c>
      <c r="U41" s="68">
        <f t="shared" si="5"/>
        <v>5</v>
      </c>
      <c r="V41" s="68">
        <f t="shared" si="5"/>
        <v>4</v>
      </c>
      <c r="W41" s="68">
        <f t="shared" si="5"/>
        <v>4</v>
      </c>
      <c r="X41" s="68">
        <f t="shared" si="5"/>
        <v>3.5</v>
      </c>
      <c r="Y41" s="68">
        <f t="shared" si="5"/>
        <v>3</v>
      </c>
      <c r="Z41" s="68">
        <f t="shared" si="5"/>
        <v>1.5</v>
      </c>
      <c r="AA41" s="68"/>
      <c r="AB41" s="68"/>
      <c r="AC41" s="68"/>
      <c r="AD41" s="68"/>
      <c r="AE41" s="68"/>
      <c r="AF41" s="68"/>
      <c r="AG41" s="68"/>
      <c r="AH41" s="68"/>
      <c r="AI41" s="69">
        <f>SUM(AI25:AI40)</f>
        <v>73</v>
      </c>
      <c r="AJ41" s="26"/>
      <c r="AK41" s="19"/>
    </row>
    <row r="42" spans="1:37" ht="4.5" customHeight="1">
      <c r="A42" s="70"/>
      <c r="B42" s="71"/>
      <c r="C42" s="72"/>
      <c r="D42" s="73"/>
      <c r="E42" s="74"/>
      <c r="F42" s="74"/>
      <c r="G42" s="74"/>
      <c r="H42" s="74"/>
      <c r="I42" s="74"/>
      <c r="J42" s="74"/>
      <c r="K42" s="74"/>
      <c r="L42" s="74"/>
      <c r="M42" s="74"/>
      <c r="N42" s="74"/>
      <c r="O42" s="74"/>
      <c r="P42" s="74"/>
      <c r="Q42" s="74"/>
      <c r="R42" s="74"/>
      <c r="S42" s="74"/>
      <c r="T42" s="74"/>
      <c r="U42" s="74"/>
      <c r="V42" s="74"/>
      <c r="W42" s="74"/>
      <c r="X42" s="74"/>
      <c r="Y42" s="74"/>
      <c r="Z42" s="74"/>
      <c r="AA42" s="74"/>
      <c r="AB42" s="74"/>
      <c r="AC42" s="74"/>
      <c r="AD42" s="74"/>
      <c r="AE42" s="74"/>
      <c r="AF42" s="74"/>
      <c r="AG42" s="74"/>
      <c r="AH42" s="74"/>
      <c r="AI42" s="74"/>
      <c r="AJ42" s="78"/>
      <c r="AK42" s="70"/>
    </row>
    <row r="43" spans="1:37" ht="16.5" customHeight="1">
      <c r="A43" s="19"/>
      <c r="B43" s="25"/>
      <c r="C43" s="387" t="s">
        <v>60</v>
      </c>
      <c r="D43" s="388"/>
      <c r="E43" s="389"/>
      <c r="F43" s="84"/>
      <c r="G43" s="85"/>
      <c r="H43" s="85"/>
      <c r="I43" s="85" t="s">
        <v>65</v>
      </c>
      <c r="J43" s="86"/>
      <c r="K43" s="86"/>
      <c r="L43" s="68">
        <f t="shared" ref="L43:Z43" si="6">L23+L41</f>
        <v>6.5</v>
      </c>
      <c r="M43" s="68">
        <f t="shared" si="6"/>
        <v>12</v>
      </c>
      <c r="N43" s="68">
        <f t="shared" si="6"/>
        <v>17</v>
      </c>
      <c r="O43" s="68">
        <f t="shared" si="6"/>
        <v>17</v>
      </c>
      <c r="P43" s="68">
        <f t="shared" si="6"/>
        <v>17</v>
      </c>
      <c r="Q43" s="68">
        <f t="shared" si="6"/>
        <v>17</v>
      </c>
      <c r="R43" s="68">
        <f t="shared" si="6"/>
        <v>17</v>
      </c>
      <c r="S43" s="68">
        <f t="shared" si="6"/>
        <v>16</v>
      </c>
      <c r="T43" s="68">
        <f t="shared" si="6"/>
        <v>15</v>
      </c>
      <c r="U43" s="68">
        <f t="shared" si="6"/>
        <v>11</v>
      </c>
      <c r="V43" s="68">
        <f t="shared" si="6"/>
        <v>7.5</v>
      </c>
      <c r="W43" s="68">
        <f t="shared" si="6"/>
        <v>6</v>
      </c>
      <c r="X43" s="68">
        <f t="shared" si="6"/>
        <v>5.5</v>
      </c>
      <c r="Y43" s="68">
        <f t="shared" si="6"/>
        <v>5</v>
      </c>
      <c r="Z43" s="68">
        <f t="shared" si="6"/>
        <v>2.5</v>
      </c>
      <c r="AA43" s="68"/>
      <c r="AB43" s="68"/>
      <c r="AC43" s="68"/>
      <c r="AD43" s="68"/>
      <c r="AE43" s="68"/>
      <c r="AF43" s="68"/>
      <c r="AG43" s="68"/>
      <c r="AH43" s="68"/>
      <c r="AI43" s="69">
        <f>AI23+AI41</f>
        <v>172</v>
      </c>
      <c r="AJ43" s="26"/>
      <c r="AK43" s="19"/>
    </row>
    <row r="44" spans="1:37" ht="16.5" customHeight="1">
      <c r="A44" s="19"/>
      <c r="B44" s="87"/>
      <c r="C44" s="88"/>
      <c r="D44" s="88"/>
      <c r="E44" s="89"/>
      <c r="F44" s="89"/>
      <c r="G44" s="89"/>
      <c r="H44" s="89"/>
      <c r="I44" s="88"/>
      <c r="J44" s="88"/>
      <c r="K44" s="90"/>
      <c r="L44" s="89"/>
      <c r="M44" s="89"/>
      <c r="N44" s="89"/>
      <c r="O44" s="89"/>
      <c r="P44" s="89"/>
      <c r="Q44" s="89"/>
      <c r="R44" s="89"/>
      <c r="S44" s="89"/>
      <c r="T44" s="89"/>
      <c r="U44" s="89"/>
      <c r="V44" s="89"/>
      <c r="W44" s="89"/>
      <c r="X44" s="89"/>
      <c r="Y44" s="89"/>
      <c r="Z44" s="89"/>
      <c r="AA44" s="89"/>
      <c r="AB44" s="89"/>
      <c r="AC44" s="89"/>
      <c r="AD44" s="89"/>
      <c r="AE44" s="89"/>
      <c r="AF44" s="89"/>
      <c r="AG44" s="89"/>
      <c r="AH44" s="89"/>
      <c r="AI44" s="89"/>
      <c r="AJ44" s="91"/>
      <c r="AK44" s="19"/>
    </row>
    <row r="45" spans="1:37" ht="16.5" customHeight="1">
      <c r="C45" s="106" t="s">
        <v>78</v>
      </c>
    </row>
    <row r="46" spans="1:37" ht="16.5" customHeight="1">
      <c r="C46" s="106" t="s">
        <v>79</v>
      </c>
    </row>
    <row r="47" spans="1:37" ht="27.75" customHeight="1">
      <c r="A47" s="19"/>
      <c r="B47" s="19"/>
      <c r="C47" s="127" t="s">
        <v>92</v>
      </c>
      <c r="D47" s="128"/>
      <c r="E47" s="129"/>
      <c r="F47" s="119"/>
      <c r="G47" s="119"/>
      <c r="H47" s="119"/>
      <c r="I47" s="119"/>
      <c r="J47" s="119"/>
      <c r="K47" s="119"/>
      <c r="L47" s="119"/>
      <c r="M47" s="119"/>
      <c r="N47" s="119"/>
      <c r="O47" s="119"/>
      <c r="P47" s="119"/>
      <c r="Q47" s="129"/>
      <c r="R47" s="20"/>
      <c r="S47" s="92" t="s">
        <v>66</v>
      </c>
      <c r="X47" s="92" t="s">
        <v>67</v>
      </c>
      <c r="AJ47" s="19"/>
      <c r="AK47" s="19"/>
    </row>
    <row r="48" spans="1:37" ht="16.5" customHeight="1">
      <c r="A48" s="19"/>
      <c r="B48" s="19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20"/>
      <c r="R48" s="20"/>
      <c r="S48" s="93" t="s">
        <v>68</v>
      </c>
      <c r="T48" s="94" t="s">
        <v>69</v>
      </c>
      <c r="U48" s="93" t="s">
        <v>70</v>
      </c>
      <c r="V48" s="93" t="s">
        <v>60</v>
      </c>
      <c r="W48" s="107" t="s">
        <v>80</v>
      </c>
      <c r="X48" s="400" t="s">
        <v>71</v>
      </c>
      <c r="Y48" s="381"/>
      <c r="Z48" s="95">
        <v>172</v>
      </c>
      <c r="AA48" s="108"/>
      <c r="AB48" s="108"/>
      <c r="AC48" s="108"/>
      <c r="AD48" s="108"/>
      <c r="AE48" s="108"/>
      <c r="AF48" s="108"/>
      <c r="AG48" s="108"/>
      <c r="AH48" s="108"/>
      <c r="AJ48" s="19"/>
      <c r="AK48" s="19"/>
    </row>
    <row r="49" spans="6:34" ht="16.5" customHeight="1"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S49" s="375" t="s">
        <v>53</v>
      </c>
      <c r="T49" s="96" t="s">
        <v>51</v>
      </c>
      <c r="U49" s="95">
        <f>SUMIF($E$7:$E$19,"고급",$AI$7:$AI$19)</f>
        <v>55</v>
      </c>
      <c r="V49" s="378">
        <f>SUM(U49:U51)</f>
        <v>99</v>
      </c>
      <c r="W49" s="107">
        <f>'250117 (제출본-최초)'!$U$46-U49</f>
        <v>0</v>
      </c>
      <c r="X49" s="399" t="s">
        <v>81</v>
      </c>
      <c r="Y49" s="381"/>
      <c r="Z49" s="95">
        <f>204.5-Z48</f>
        <v>32.5</v>
      </c>
      <c r="AA49" s="109"/>
      <c r="AB49" s="109"/>
      <c r="AC49" s="109"/>
      <c r="AD49" s="109"/>
      <c r="AE49" s="109"/>
      <c r="AF49" s="109"/>
      <c r="AG49" s="109"/>
      <c r="AH49" s="109"/>
    </row>
    <row r="50" spans="6:34" ht="16.5" customHeight="1"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S50" s="376"/>
      <c r="T50" s="96" t="s">
        <v>57</v>
      </c>
      <c r="U50" s="95">
        <f>SUMIF($E$7:$E$19,"중급",$AI$7:$AI$19)</f>
        <v>25</v>
      </c>
      <c r="V50" s="376"/>
      <c r="W50" s="107">
        <f>'250117 (제출본-최초)'!$U$47-U50</f>
        <v>0</v>
      </c>
      <c r="X50" s="399" t="s">
        <v>73</v>
      </c>
      <c r="Y50" s="381"/>
      <c r="Z50" s="95">
        <v>204.5</v>
      </c>
      <c r="AA50" s="109"/>
      <c r="AB50" s="109"/>
      <c r="AC50" s="109"/>
      <c r="AD50" s="109"/>
      <c r="AE50" s="109"/>
      <c r="AF50" s="109"/>
      <c r="AG50" s="109"/>
      <c r="AH50" s="109"/>
    </row>
    <row r="51" spans="6:34" ht="16.5" customHeight="1"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S51" s="377"/>
      <c r="T51" s="96" t="s">
        <v>59</v>
      </c>
      <c r="U51" s="95">
        <f>SUMIF($E$7:$E$19,"초급",$AI$7:$AI$19)</f>
        <v>19</v>
      </c>
      <c r="V51" s="377"/>
      <c r="W51" s="107">
        <f>'250117 (제출본-최초)'!$U$48-U51</f>
        <v>0</v>
      </c>
      <c r="AA51" s="109"/>
      <c r="AB51" s="109"/>
      <c r="AC51" s="109"/>
      <c r="AD51" s="109"/>
      <c r="AE51" s="109"/>
      <c r="AF51" s="109"/>
      <c r="AG51" s="109"/>
      <c r="AH51" s="109"/>
    </row>
    <row r="52" spans="6:34" ht="16.5" customHeight="1"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S52" s="375" t="s">
        <v>62</v>
      </c>
      <c r="T52" s="96" t="s">
        <v>51</v>
      </c>
      <c r="U52" s="95">
        <f>SUMIF($E$23:$E$31,"고급",$AI$23:$AI$31)</f>
        <v>0</v>
      </c>
      <c r="V52" s="378">
        <f>SUM(U52:U54)</f>
        <v>73</v>
      </c>
      <c r="W52" s="107">
        <f>'250117 (제출본-최초)'!$U$49-U52</f>
        <v>0</v>
      </c>
    </row>
    <row r="53" spans="6:34" ht="16.5" customHeight="1"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S53" s="376"/>
      <c r="T53" s="96" t="s">
        <v>57</v>
      </c>
      <c r="U53" s="95">
        <f>SUMIF($E$23:$E$31,"중급",$AI$23:$AI$31)</f>
        <v>37</v>
      </c>
      <c r="V53" s="376"/>
      <c r="W53" s="107">
        <f>'250117 (제출본-최초)'!$U$50-U53</f>
        <v>0</v>
      </c>
    </row>
    <row r="54" spans="6:34" ht="16.5" customHeight="1"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S54" s="377"/>
      <c r="T54" s="96" t="s">
        <v>59</v>
      </c>
      <c r="U54" s="95">
        <f>SUMIF($E$23:$E$31,"초급",$AI$23:$AI$31)</f>
        <v>36</v>
      </c>
      <c r="V54" s="377"/>
      <c r="W54" s="107">
        <f>'250117 (제출본-최초)'!$U$51-U54</f>
        <v>0</v>
      </c>
    </row>
    <row r="55" spans="6:34" ht="16.5" customHeight="1"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S55" s="379" t="s">
        <v>74</v>
      </c>
      <c r="T55" s="380"/>
      <c r="U55" s="381"/>
      <c r="V55" s="97">
        <f t="shared" ref="V55:W55" si="7">SUM(V49:V54)</f>
        <v>172</v>
      </c>
      <c r="W55" s="107">
        <f t="shared" si="7"/>
        <v>0</v>
      </c>
    </row>
    <row r="56" spans="6:34" ht="16.5" customHeight="1"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</row>
    <row r="57" spans="6:34" ht="16.5" customHeight="1"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</row>
    <row r="58" spans="6:34" ht="16.5" customHeight="1"/>
    <row r="59" spans="6:34" ht="16.5" customHeight="1"/>
    <row r="60" spans="6:34" ht="16.5" customHeight="1"/>
    <row r="61" spans="6:34" ht="16.5" customHeight="1"/>
    <row r="62" spans="6:34" ht="16.5" customHeight="1"/>
    <row r="63" spans="6:34" ht="16.5" customHeight="1"/>
    <row r="64" spans="6:34" ht="16.5" customHeight="1"/>
    <row r="65" ht="16.5" customHeight="1"/>
    <row r="66" ht="16.5" customHeight="1"/>
    <row r="67" ht="16.5" customHeight="1"/>
    <row r="68" ht="16.5" customHeight="1"/>
    <row r="69" ht="16.5" customHeight="1"/>
    <row r="70" ht="16.5" customHeight="1"/>
    <row r="71" ht="16.5" customHeight="1"/>
    <row r="72" ht="16.5" customHeight="1"/>
    <row r="73" ht="16.5" customHeight="1"/>
    <row r="74" ht="16.5" customHeight="1"/>
    <row r="75" ht="16.5" customHeight="1"/>
    <row r="76" ht="16.5" customHeight="1"/>
    <row r="77" ht="16.5" customHeight="1"/>
    <row r="78" ht="16.5" customHeight="1"/>
    <row r="79" ht="16.5" customHeight="1"/>
    <row r="80" ht="16.5" customHeight="1"/>
    <row r="81" ht="16.5" customHeight="1"/>
    <row r="82" ht="16.5" customHeight="1"/>
    <row r="83" ht="16.5" customHeight="1"/>
    <row r="84" ht="16.5" customHeight="1"/>
    <row r="85" ht="16.5" customHeight="1"/>
    <row r="86" ht="16.5" customHeight="1"/>
    <row r="87" ht="16.5" customHeight="1"/>
    <row r="88" ht="16.5" customHeight="1"/>
    <row r="89" ht="16.5" customHeight="1"/>
    <row r="90" ht="16.5" customHeight="1"/>
    <row r="91" ht="16.5" customHeight="1"/>
    <row r="92" ht="16.5" customHeight="1"/>
    <row r="93" ht="16.5" customHeight="1"/>
    <row r="94" ht="16.5" customHeight="1"/>
    <row r="95" ht="16.5" customHeight="1"/>
    <row r="96" ht="16.5" customHeight="1"/>
    <row r="97" ht="16.5" customHeight="1"/>
    <row r="98" ht="16.5" customHeight="1"/>
    <row r="99" ht="16.5" customHeight="1"/>
    <row r="100" ht="16.5" customHeight="1"/>
    <row r="101" ht="16.5" customHeight="1"/>
    <row r="102" ht="16.5" customHeight="1"/>
    <row r="103" ht="16.5" customHeight="1"/>
    <row r="104" ht="16.5" customHeight="1"/>
    <row r="105" ht="16.5" customHeight="1"/>
    <row r="106" ht="16.5" customHeight="1"/>
    <row r="107" ht="16.5" customHeight="1"/>
    <row r="108" ht="16.5" customHeight="1"/>
    <row r="109" ht="16.5" customHeight="1"/>
    <row r="110" ht="16.5" customHeight="1"/>
    <row r="111" ht="16.5" customHeight="1"/>
    <row r="112" ht="16.5" customHeight="1"/>
    <row r="113" ht="16.5" customHeight="1"/>
    <row r="114" ht="16.5" customHeight="1"/>
    <row r="115" ht="16.5" customHeight="1"/>
    <row r="116" ht="16.5" customHeight="1"/>
    <row r="117" ht="16.5" customHeight="1"/>
    <row r="118" ht="16.5" customHeight="1"/>
    <row r="119" ht="16.5" customHeight="1"/>
    <row r="120" ht="16.5" customHeight="1"/>
    <row r="121" ht="16.5" customHeight="1"/>
    <row r="122" ht="16.5" customHeight="1"/>
    <row r="123" ht="16.5" customHeight="1"/>
    <row r="124" ht="16.5" customHeight="1"/>
    <row r="125" ht="16.5" customHeight="1"/>
    <row r="126" ht="16.5" customHeight="1"/>
    <row r="127" ht="16.5" customHeight="1"/>
    <row r="128" ht="16.5" customHeight="1"/>
    <row r="129" ht="16.5" customHeight="1"/>
    <row r="130" ht="16.5" customHeight="1"/>
    <row r="131" ht="16.5" customHeight="1"/>
    <row r="132" ht="16.5" customHeight="1"/>
    <row r="133" ht="16.5" customHeight="1"/>
    <row r="134" ht="16.5" customHeight="1"/>
    <row r="135" ht="16.5" customHeight="1"/>
    <row r="136" ht="16.5" customHeight="1"/>
    <row r="137" ht="16.5" customHeight="1"/>
    <row r="138" ht="16.5" customHeight="1"/>
    <row r="139" ht="16.5" customHeight="1"/>
    <row r="140" ht="16.5" customHeight="1"/>
    <row r="141" ht="16.5" customHeight="1"/>
    <row r="142" ht="16.5" customHeight="1"/>
    <row r="143" ht="16.5" customHeight="1"/>
    <row r="144" ht="16.5" customHeight="1"/>
    <row r="145" ht="16.5" customHeight="1"/>
    <row r="146" ht="16.5" customHeight="1"/>
    <row r="147" ht="16.5" customHeight="1"/>
    <row r="148" ht="16.5" customHeight="1"/>
    <row r="149" ht="16.5" customHeight="1"/>
    <row r="150" ht="16.5" customHeight="1"/>
    <row r="151" ht="16.5" customHeight="1"/>
    <row r="152" ht="16.5" customHeight="1"/>
    <row r="153" ht="16.5" customHeight="1"/>
    <row r="154" ht="16.5" customHeight="1"/>
    <row r="155" ht="16.5" customHeight="1"/>
    <row r="156" ht="16.5" customHeight="1"/>
    <row r="157" ht="16.5" customHeight="1"/>
    <row r="158" ht="16.5" customHeight="1"/>
    <row r="159" ht="16.5" customHeight="1"/>
    <row r="160" ht="16.5" customHeight="1"/>
    <row r="161" ht="16.5" customHeight="1"/>
    <row r="162" ht="16.5" customHeight="1"/>
    <row r="163" ht="16.5" customHeight="1"/>
    <row r="164" ht="16.5" customHeight="1"/>
    <row r="165" ht="16.5" customHeight="1"/>
    <row r="166" ht="16.5" customHeight="1"/>
    <row r="167" ht="16.5" customHeight="1"/>
    <row r="168" ht="16.5" customHeight="1"/>
    <row r="169" ht="16.5" customHeight="1"/>
    <row r="170" ht="16.5" customHeight="1"/>
    <row r="171" ht="16.5" customHeight="1"/>
    <row r="172" ht="16.5" customHeight="1"/>
    <row r="173" ht="16.5" customHeight="1"/>
    <row r="174" ht="16.5" customHeight="1"/>
    <row r="175" ht="16.5" customHeight="1"/>
    <row r="176" ht="16.5" customHeight="1"/>
    <row r="177" ht="16.5" customHeight="1"/>
    <row r="178" ht="16.5" customHeight="1"/>
    <row r="179" ht="16.5" customHeight="1"/>
    <row r="180" ht="16.5" customHeight="1"/>
    <row r="181" ht="16.5" customHeight="1"/>
    <row r="182" ht="16.5" customHeight="1"/>
    <row r="183" ht="16.5" customHeight="1"/>
    <row r="184" ht="16.5" customHeight="1"/>
    <row r="185" ht="16.5" customHeight="1"/>
    <row r="186" ht="16.5" customHeight="1"/>
    <row r="187" ht="16.5" customHeight="1"/>
    <row r="188" ht="16.5" customHeight="1"/>
    <row r="189" ht="16.5" customHeight="1"/>
    <row r="190" ht="16.5" customHeight="1"/>
    <row r="191" ht="16.5" customHeight="1"/>
    <row r="192" ht="16.5" customHeight="1"/>
    <row r="193" ht="16.5" customHeight="1"/>
    <row r="194" ht="16.5" customHeight="1"/>
    <row r="195" ht="16.5" customHeight="1"/>
    <row r="196" ht="16.5" customHeight="1"/>
    <row r="197" ht="16.5" customHeight="1"/>
    <row r="198" ht="16.5" customHeight="1"/>
    <row r="199" ht="16.5" customHeight="1"/>
    <row r="200" ht="16.5" customHeight="1"/>
    <row r="201" ht="16.5" customHeight="1"/>
    <row r="202" ht="16.5" customHeight="1"/>
    <row r="203" ht="16.5" customHeight="1"/>
    <row r="204" ht="16.5" customHeight="1"/>
    <row r="205" ht="16.5" customHeight="1"/>
    <row r="206" ht="16.5" customHeight="1"/>
    <row r="207" ht="16.5" customHeight="1"/>
    <row r="208" ht="16.5" customHeight="1"/>
    <row r="209" ht="16.5" customHeight="1"/>
    <row r="210" ht="16.5" customHeight="1"/>
    <row r="211" ht="16.5" customHeight="1"/>
    <row r="212" ht="16.5" customHeight="1"/>
    <row r="213" ht="16.5" customHeight="1"/>
    <row r="214" ht="16.5" customHeight="1"/>
    <row r="215" ht="16.5" customHeight="1"/>
    <row r="216" ht="16.5" customHeight="1"/>
    <row r="217" ht="16.5" customHeight="1"/>
    <row r="218" ht="16.5" customHeight="1"/>
    <row r="219" ht="16.5" customHeight="1"/>
    <row r="220" ht="16.5" customHeight="1"/>
    <row r="221" ht="16.5" customHeight="1"/>
    <row r="222" ht="16.5" customHeight="1"/>
    <row r="223" ht="16.5" customHeight="1"/>
    <row r="224" ht="16.5" customHeight="1"/>
    <row r="225" ht="16.5" customHeight="1"/>
    <row r="226" ht="16.5" customHeight="1"/>
    <row r="227" ht="16.5" customHeight="1"/>
    <row r="228" ht="16.5" customHeight="1"/>
    <row r="229" ht="16.5" customHeight="1"/>
    <row r="230" ht="16.5" customHeight="1"/>
    <row r="231" ht="16.5" customHeight="1"/>
    <row r="232" ht="16.5" customHeight="1"/>
    <row r="233" ht="16.5" customHeight="1"/>
    <row r="234" ht="16.5" customHeight="1"/>
    <row r="235" ht="16.5" customHeight="1"/>
    <row r="236" ht="16.5" customHeight="1"/>
    <row r="237" ht="16.5" customHeight="1"/>
    <row r="238" ht="16.5" customHeight="1"/>
    <row r="239" ht="16.5" customHeight="1"/>
    <row r="240" ht="16.5" customHeight="1"/>
    <row r="241" ht="16.5" customHeight="1"/>
    <row r="242" ht="16.5" customHeight="1"/>
    <row r="243" ht="16.5" customHeight="1"/>
    <row r="244" ht="16.5" customHeight="1"/>
    <row r="245" ht="16.5" customHeight="1"/>
    <row r="246" ht="16.5" customHeight="1"/>
    <row r="247" ht="16.5" customHeight="1"/>
    <row r="248" ht="16.5" customHeight="1"/>
    <row r="249" ht="16.5" customHeight="1"/>
    <row r="250" ht="16.5" customHeight="1"/>
    <row r="251" ht="16.5" customHeight="1"/>
    <row r="252" ht="16.5" customHeight="1"/>
    <row r="253" ht="16.5" customHeight="1"/>
    <row r="254" ht="16.5" customHeight="1"/>
    <row r="255" ht="16.5" customHeight="1"/>
    <row r="256" ht="16.5" customHeight="1"/>
    <row r="257" ht="16.5" customHeight="1"/>
    <row r="258" ht="16.5" customHeight="1"/>
    <row r="259" ht="16.5" customHeight="1"/>
    <row r="260" ht="16.5" customHeight="1"/>
    <row r="261" ht="16.5" customHeight="1"/>
    <row r="262" ht="16.5" customHeight="1"/>
    <row r="263" ht="16.5" customHeight="1"/>
    <row r="264" ht="16.5" customHeight="1"/>
    <row r="265" ht="16.5" customHeight="1"/>
    <row r="266" ht="16.5" customHeight="1"/>
    <row r="267" ht="16.5" customHeight="1"/>
    <row r="268" ht="16.5" customHeight="1"/>
    <row r="269" ht="16.5" customHeight="1"/>
    <row r="270" ht="16.5" customHeight="1"/>
    <row r="271" ht="16.5" customHeight="1"/>
    <row r="272" ht="16.5" customHeight="1"/>
    <row r="273" ht="16.5" customHeight="1"/>
    <row r="274" ht="16.5" customHeight="1"/>
    <row r="275" ht="16.5" customHeight="1"/>
    <row r="276" ht="16.5" customHeight="1"/>
    <row r="277" ht="16.5" customHeight="1"/>
    <row r="278" ht="16.5" customHeight="1"/>
    <row r="279" ht="16.5" customHeight="1"/>
    <row r="280" ht="16.5" customHeight="1"/>
    <row r="281" ht="16.5" customHeight="1"/>
    <row r="282" ht="16.5" customHeight="1"/>
    <row r="283" ht="16.5" customHeight="1"/>
    <row r="284" ht="16.5" customHeight="1"/>
    <row r="285" ht="16.5" customHeight="1"/>
    <row r="286" ht="16.5" customHeight="1"/>
    <row r="287" ht="16.5" customHeight="1"/>
    <row r="288" ht="16.5" customHeight="1"/>
    <row r="289" ht="16.5" customHeight="1"/>
    <row r="290" ht="16.5" customHeight="1"/>
    <row r="291" ht="16.5" customHeight="1"/>
    <row r="292" ht="16.5" customHeight="1"/>
    <row r="293" ht="16.5" customHeight="1"/>
    <row r="294" ht="16.5" customHeight="1"/>
    <row r="295" ht="16.5" customHeight="1"/>
    <row r="296" ht="16.5" customHeight="1"/>
    <row r="297" ht="16.5" customHeight="1"/>
    <row r="298" ht="16.5" customHeight="1"/>
    <row r="299" ht="16.5" customHeight="1"/>
    <row r="300" ht="16.5" customHeight="1"/>
    <row r="301" ht="16.5" customHeight="1"/>
    <row r="302" ht="16.5" customHeight="1"/>
    <row r="303" ht="16.5" customHeight="1"/>
    <row r="304" ht="16.5" customHeight="1"/>
    <row r="305" ht="16.5" customHeight="1"/>
    <row r="306" ht="16.5" customHeight="1"/>
    <row r="307" ht="16.5" customHeight="1"/>
    <row r="308" ht="16.5" customHeight="1"/>
    <row r="309" ht="16.5" customHeight="1"/>
    <row r="310" ht="16.5" customHeight="1"/>
    <row r="311" ht="16.5" customHeight="1"/>
    <row r="312" ht="16.5" customHeight="1"/>
    <row r="313" ht="16.5" customHeight="1"/>
    <row r="314" ht="16.5" customHeight="1"/>
    <row r="315" ht="16.5" customHeight="1"/>
    <row r="316" ht="16.5" customHeight="1"/>
    <row r="317" ht="16.5" customHeight="1"/>
    <row r="318" ht="16.5" customHeight="1"/>
    <row r="319" ht="16.5" customHeight="1"/>
    <row r="320" ht="16.5" customHeight="1"/>
    <row r="321" ht="16.5" customHeight="1"/>
    <row r="322" ht="16.5" customHeight="1"/>
    <row r="323" ht="16.5" customHeight="1"/>
    <row r="324" ht="16.5" customHeight="1"/>
    <row r="325" ht="16.5" customHeight="1"/>
    <row r="326" ht="16.5" customHeight="1"/>
    <row r="327" ht="16.5" customHeight="1"/>
    <row r="328" ht="16.5" customHeight="1"/>
    <row r="329" ht="16.5" customHeight="1"/>
    <row r="330" ht="16.5" customHeight="1"/>
    <row r="331" ht="16.5" customHeight="1"/>
    <row r="332" ht="16.5" customHeight="1"/>
    <row r="333" ht="16.5" customHeight="1"/>
    <row r="334" ht="16.5" customHeight="1"/>
    <row r="335" ht="16.5" customHeight="1"/>
    <row r="336" ht="16.5" customHeight="1"/>
    <row r="337" ht="16.5" customHeight="1"/>
    <row r="338" ht="16.5" customHeight="1"/>
    <row r="339" ht="16.5" customHeight="1"/>
    <row r="340" ht="16.5" customHeight="1"/>
    <row r="341" ht="16.5" customHeight="1"/>
    <row r="342" ht="16.5" customHeight="1"/>
    <row r="343" ht="16.5" customHeight="1"/>
    <row r="344" ht="16.5" customHeight="1"/>
    <row r="345" ht="16.5" customHeight="1"/>
    <row r="346" ht="16.5" customHeight="1"/>
    <row r="347" ht="16.5" customHeight="1"/>
    <row r="348" ht="16.5" customHeight="1"/>
    <row r="349" ht="16.5" customHeight="1"/>
    <row r="350" ht="16.5" customHeight="1"/>
    <row r="351" ht="16.5" customHeight="1"/>
    <row r="352" ht="16.5" customHeight="1"/>
    <row r="353" ht="16.5" customHeight="1"/>
    <row r="354" ht="16.5" customHeight="1"/>
    <row r="355" ht="16.5" customHeight="1"/>
    <row r="356" ht="16.5" customHeight="1"/>
    <row r="357" ht="16.5" customHeight="1"/>
    <row r="358" ht="16.5" customHeight="1"/>
    <row r="359" ht="16.5" customHeight="1"/>
    <row r="360" ht="16.5" customHeight="1"/>
    <row r="361" ht="16.5" customHeight="1"/>
    <row r="362" ht="16.5" customHeight="1"/>
    <row r="363" ht="16.5" customHeight="1"/>
    <row r="364" ht="16.5" customHeight="1"/>
    <row r="365" ht="16.5" customHeight="1"/>
    <row r="366" ht="16.5" customHeight="1"/>
    <row r="367" ht="16.5" customHeight="1"/>
    <row r="368" ht="16.5" customHeight="1"/>
    <row r="369" ht="16.5" customHeight="1"/>
    <row r="370" ht="16.5" customHeight="1"/>
    <row r="371" ht="16.5" customHeight="1"/>
    <row r="372" ht="16.5" customHeight="1"/>
    <row r="373" ht="16.5" customHeight="1"/>
    <row r="374" ht="16.5" customHeight="1"/>
    <row r="375" ht="16.5" customHeight="1"/>
    <row r="376" ht="16.5" customHeight="1"/>
    <row r="377" ht="16.5" customHeight="1"/>
    <row r="378" ht="16.5" customHeight="1"/>
    <row r="379" ht="16.5" customHeight="1"/>
    <row r="380" ht="16.5" customHeight="1"/>
    <row r="381" ht="16.5" customHeight="1"/>
    <row r="382" ht="16.5" customHeight="1"/>
    <row r="383" ht="16.5" customHeight="1"/>
    <row r="384" ht="16.5" customHeight="1"/>
    <row r="385" ht="16.5" customHeight="1"/>
    <row r="386" ht="16.5" customHeight="1"/>
    <row r="387" ht="16.5" customHeight="1"/>
    <row r="388" ht="16.5" customHeight="1"/>
    <row r="389" ht="16.5" customHeight="1"/>
    <row r="390" ht="16.5" customHeight="1"/>
    <row r="391" ht="16.5" customHeight="1"/>
    <row r="392" ht="16.5" customHeight="1"/>
    <row r="393" ht="16.5" customHeight="1"/>
    <row r="394" ht="16.5" customHeight="1"/>
    <row r="395" ht="16.5" customHeight="1"/>
    <row r="396" ht="16.5" customHeight="1"/>
    <row r="397" ht="16.5" customHeight="1"/>
    <row r="398" ht="16.5" customHeight="1"/>
    <row r="399" ht="16.5" customHeight="1"/>
    <row r="400" ht="16.5" customHeight="1"/>
    <row r="401" ht="16.5" customHeight="1"/>
    <row r="402" ht="16.5" customHeight="1"/>
    <row r="403" ht="16.5" customHeight="1"/>
    <row r="404" ht="16.5" customHeight="1"/>
    <row r="405" ht="16.5" customHeight="1"/>
    <row r="406" ht="16.5" customHeight="1"/>
    <row r="407" ht="16.5" customHeight="1"/>
    <row r="408" ht="16.5" customHeight="1"/>
    <row r="409" ht="16.5" customHeight="1"/>
    <row r="410" ht="16.5" customHeight="1"/>
    <row r="411" ht="16.5" customHeight="1"/>
    <row r="412" ht="16.5" customHeight="1"/>
    <row r="413" ht="16.5" customHeight="1"/>
    <row r="414" ht="16.5" customHeight="1"/>
    <row r="415" ht="16.5" customHeight="1"/>
    <row r="416" ht="16.5" customHeight="1"/>
    <row r="417" ht="16.5" customHeight="1"/>
    <row r="418" ht="16.5" customHeight="1"/>
    <row r="419" ht="16.5" customHeight="1"/>
    <row r="420" ht="16.5" customHeight="1"/>
    <row r="421" ht="16.5" customHeight="1"/>
    <row r="422" ht="16.5" customHeight="1"/>
    <row r="423" ht="16.5" customHeight="1"/>
    <row r="424" ht="16.5" customHeight="1"/>
    <row r="425" ht="16.5" customHeight="1"/>
    <row r="426" ht="16.5" customHeight="1"/>
    <row r="427" ht="16.5" customHeight="1"/>
    <row r="428" ht="16.5" customHeight="1"/>
    <row r="429" ht="16.5" customHeight="1"/>
    <row r="430" ht="16.5" customHeight="1"/>
    <row r="431" ht="16.5" customHeight="1"/>
    <row r="432" ht="16.5" customHeight="1"/>
    <row r="433" ht="16.5" customHeight="1"/>
    <row r="434" ht="16.5" customHeight="1"/>
    <row r="435" ht="16.5" customHeight="1"/>
    <row r="436" ht="16.5" customHeight="1"/>
    <row r="437" ht="16.5" customHeight="1"/>
    <row r="438" ht="16.5" customHeight="1"/>
    <row r="439" ht="16.5" customHeight="1"/>
    <row r="440" ht="16.5" customHeight="1"/>
    <row r="441" ht="16.5" customHeight="1"/>
    <row r="442" ht="16.5" customHeight="1"/>
    <row r="443" ht="16.5" customHeight="1"/>
    <row r="444" ht="16.5" customHeight="1"/>
    <row r="445" ht="16.5" customHeight="1"/>
    <row r="446" ht="16.5" customHeight="1"/>
    <row r="447" ht="16.5" customHeight="1"/>
    <row r="448" ht="16.5" customHeight="1"/>
    <row r="449" ht="16.5" customHeight="1"/>
    <row r="450" ht="16.5" customHeight="1"/>
    <row r="451" ht="16.5" customHeight="1"/>
    <row r="452" ht="16.5" customHeight="1"/>
    <row r="453" ht="16.5" customHeight="1"/>
    <row r="454" ht="16.5" customHeight="1"/>
    <row r="455" ht="16.5" customHeight="1"/>
    <row r="456" ht="16.5" customHeight="1"/>
    <row r="457" ht="16.5" customHeight="1"/>
    <row r="458" ht="16.5" customHeight="1"/>
    <row r="459" ht="16.5" customHeight="1"/>
    <row r="460" ht="16.5" customHeight="1"/>
    <row r="461" ht="16.5" customHeight="1"/>
    <row r="462" ht="16.5" customHeight="1"/>
    <row r="463" ht="16.5" customHeight="1"/>
    <row r="464" ht="16.5" customHeight="1"/>
    <row r="465" ht="16.5" customHeight="1"/>
    <row r="466" ht="16.5" customHeight="1"/>
    <row r="467" ht="16.5" customHeight="1"/>
    <row r="468" ht="16.5" customHeight="1"/>
    <row r="469" ht="16.5" customHeight="1"/>
    <row r="470" ht="16.5" customHeight="1"/>
    <row r="471" ht="16.5" customHeight="1"/>
    <row r="472" ht="16.5" customHeight="1"/>
    <row r="473" ht="16.5" customHeight="1"/>
    <row r="474" ht="16.5" customHeight="1"/>
    <row r="475" ht="16.5" customHeight="1"/>
    <row r="476" ht="16.5" customHeight="1"/>
    <row r="477" ht="16.5" customHeight="1"/>
    <row r="478" ht="16.5" customHeight="1"/>
    <row r="479" ht="16.5" customHeight="1"/>
    <row r="480" ht="16.5" customHeight="1"/>
    <row r="481" ht="16.5" customHeight="1"/>
    <row r="482" ht="16.5" customHeight="1"/>
    <row r="483" ht="16.5" customHeight="1"/>
    <row r="484" ht="16.5" customHeight="1"/>
    <row r="485" ht="16.5" customHeight="1"/>
    <row r="486" ht="16.5" customHeight="1"/>
    <row r="487" ht="16.5" customHeight="1"/>
    <row r="488" ht="16.5" customHeight="1"/>
    <row r="489" ht="16.5" customHeight="1"/>
    <row r="490" ht="16.5" customHeight="1"/>
    <row r="491" ht="16.5" customHeight="1"/>
    <row r="492" ht="16.5" customHeight="1"/>
    <row r="493" ht="16.5" customHeight="1"/>
    <row r="494" ht="16.5" customHeight="1"/>
    <row r="495" ht="16.5" customHeight="1"/>
    <row r="496" ht="16.5" customHeight="1"/>
    <row r="497" ht="16.5" customHeight="1"/>
    <row r="498" ht="16.5" customHeight="1"/>
    <row r="499" ht="16.5" customHeight="1"/>
    <row r="500" ht="16.5" customHeight="1"/>
    <row r="501" ht="16.5" customHeight="1"/>
    <row r="502" ht="16.5" customHeight="1"/>
    <row r="503" ht="16.5" customHeight="1"/>
    <row r="504" ht="16.5" customHeight="1"/>
    <row r="505" ht="16.5" customHeight="1"/>
    <row r="506" ht="16.5" customHeight="1"/>
    <row r="507" ht="16.5" customHeight="1"/>
    <row r="508" ht="16.5" customHeight="1"/>
    <row r="509" ht="16.5" customHeight="1"/>
    <row r="510" ht="16.5" customHeight="1"/>
    <row r="511" ht="16.5" customHeight="1"/>
    <row r="512" ht="16.5" customHeight="1"/>
    <row r="513" ht="16.5" customHeight="1"/>
    <row r="514" ht="16.5" customHeight="1"/>
    <row r="515" ht="16.5" customHeight="1"/>
    <row r="516" ht="16.5" customHeight="1"/>
    <row r="517" ht="16.5" customHeight="1"/>
    <row r="518" ht="16.5" customHeight="1"/>
    <row r="519" ht="16.5" customHeight="1"/>
    <row r="520" ht="16.5" customHeight="1"/>
    <row r="521" ht="16.5" customHeight="1"/>
    <row r="522" ht="16.5" customHeight="1"/>
    <row r="523" ht="16.5" customHeight="1"/>
    <row r="524" ht="16.5" customHeight="1"/>
    <row r="525" ht="16.5" customHeight="1"/>
    <row r="526" ht="16.5" customHeight="1"/>
    <row r="527" ht="16.5" customHeight="1"/>
    <row r="528" ht="16.5" customHeight="1"/>
    <row r="529" ht="16.5" customHeight="1"/>
    <row r="530" ht="16.5" customHeight="1"/>
    <row r="531" ht="16.5" customHeight="1"/>
    <row r="532" ht="16.5" customHeight="1"/>
    <row r="533" ht="16.5" customHeight="1"/>
    <row r="534" ht="16.5" customHeight="1"/>
    <row r="535" ht="16.5" customHeight="1"/>
    <row r="536" ht="16.5" customHeight="1"/>
    <row r="537" ht="16.5" customHeight="1"/>
    <row r="538" ht="16.5" customHeight="1"/>
    <row r="539" ht="16.5" customHeight="1"/>
    <row r="540" ht="16.5" customHeight="1"/>
    <row r="541" ht="16.5" customHeight="1"/>
    <row r="542" ht="16.5" customHeight="1"/>
    <row r="543" ht="16.5" customHeight="1"/>
    <row r="544" ht="16.5" customHeight="1"/>
    <row r="545" ht="16.5" customHeight="1"/>
    <row r="546" ht="16.5" customHeight="1"/>
    <row r="547" ht="16.5" customHeight="1"/>
    <row r="548" ht="16.5" customHeight="1"/>
    <row r="549" ht="16.5" customHeight="1"/>
    <row r="550" ht="16.5" customHeight="1"/>
    <row r="551" ht="16.5" customHeight="1"/>
    <row r="552" ht="16.5" customHeight="1"/>
    <row r="553" ht="16.5" customHeight="1"/>
    <row r="554" ht="16.5" customHeight="1"/>
    <row r="555" ht="16.5" customHeight="1"/>
    <row r="556" ht="16.5" customHeight="1"/>
    <row r="557" ht="16.5" customHeight="1"/>
    <row r="558" ht="16.5" customHeight="1"/>
    <row r="559" ht="16.5" customHeight="1"/>
    <row r="560" ht="16.5" customHeight="1"/>
    <row r="561" ht="16.5" customHeight="1"/>
    <row r="562" ht="16.5" customHeight="1"/>
    <row r="563" ht="16.5" customHeight="1"/>
    <row r="564" ht="16.5" customHeight="1"/>
    <row r="565" ht="16.5" customHeight="1"/>
    <row r="566" ht="16.5" customHeight="1"/>
    <row r="567" ht="16.5" customHeight="1"/>
    <row r="568" ht="16.5" customHeight="1"/>
    <row r="569" ht="16.5" customHeight="1"/>
    <row r="570" ht="16.5" customHeight="1"/>
    <row r="571" ht="16.5" customHeight="1"/>
    <row r="572" ht="16.5" customHeight="1"/>
    <row r="573" ht="16.5" customHeight="1"/>
    <row r="574" ht="16.5" customHeight="1"/>
    <row r="575" ht="16.5" customHeight="1"/>
    <row r="576" ht="16.5" customHeight="1"/>
    <row r="577" ht="16.5" customHeight="1"/>
    <row r="578" ht="16.5" customHeight="1"/>
    <row r="579" ht="16.5" customHeight="1"/>
    <row r="580" ht="16.5" customHeight="1"/>
    <row r="581" ht="16.5" customHeight="1"/>
    <row r="582" ht="16.5" customHeight="1"/>
    <row r="583" ht="16.5" customHeight="1"/>
    <row r="584" ht="16.5" customHeight="1"/>
    <row r="585" ht="16.5" customHeight="1"/>
    <row r="586" ht="16.5" customHeight="1"/>
    <row r="587" ht="16.5" customHeight="1"/>
    <row r="588" ht="16.5" customHeight="1"/>
    <row r="589" ht="16.5" customHeight="1"/>
    <row r="590" ht="16.5" customHeight="1"/>
    <row r="591" ht="16.5" customHeight="1"/>
    <row r="592" ht="16.5" customHeight="1"/>
    <row r="593" ht="16.5" customHeight="1"/>
    <row r="594" ht="16.5" customHeight="1"/>
    <row r="595" ht="16.5" customHeight="1"/>
    <row r="596" ht="16.5" customHeight="1"/>
    <row r="597" ht="16.5" customHeight="1"/>
    <row r="598" ht="16.5" customHeight="1"/>
    <row r="599" ht="16.5" customHeight="1"/>
    <row r="600" ht="16.5" customHeight="1"/>
    <row r="601" ht="16.5" customHeight="1"/>
    <row r="602" ht="16.5" customHeight="1"/>
    <row r="603" ht="16.5" customHeight="1"/>
    <row r="604" ht="16.5" customHeight="1"/>
    <row r="605" ht="16.5" customHeight="1"/>
    <row r="606" ht="16.5" customHeight="1"/>
    <row r="607" ht="16.5" customHeight="1"/>
    <row r="608" ht="16.5" customHeight="1"/>
    <row r="609" ht="16.5" customHeight="1"/>
    <row r="610" ht="16.5" customHeight="1"/>
    <row r="611" ht="16.5" customHeight="1"/>
    <row r="612" ht="16.5" customHeight="1"/>
    <row r="613" ht="16.5" customHeight="1"/>
    <row r="614" ht="16.5" customHeight="1"/>
    <row r="615" ht="16.5" customHeight="1"/>
    <row r="616" ht="16.5" customHeight="1"/>
    <row r="617" ht="16.5" customHeight="1"/>
    <row r="618" ht="16.5" customHeight="1"/>
    <row r="619" ht="16.5" customHeight="1"/>
    <row r="620" ht="16.5" customHeight="1"/>
    <row r="621" ht="16.5" customHeight="1"/>
    <row r="622" ht="16.5" customHeight="1"/>
    <row r="623" ht="16.5" customHeight="1"/>
    <row r="624" ht="16.5" customHeight="1"/>
    <row r="625" ht="16.5" customHeight="1"/>
    <row r="626" ht="16.5" customHeight="1"/>
    <row r="627" ht="16.5" customHeight="1"/>
    <row r="628" ht="16.5" customHeight="1"/>
    <row r="629" ht="16.5" customHeight="1"/>
    <row r="630" ht="16.5" customHeight="1"/>
    <row r="631" ht="16.5" customHeight="1"/>
    <row r="632" ht="16.5" customHeight="1"/>
    <row r="633" ht="16.5" customHeight="1"/>
    <row r="634" ht="16.5" customHeight="1"/>
    <row r="635" ht="16.5" customHeight="1"/>
    <row r="636" ht="16.5" customHeight="1"/>
    <row r="637" ht="16.5" customHeight="1"/>
    <row r="638" ht="16.5" customHeight="1"/>
    <row r="639" ht="16.5" customHeight="1"/>
    <row r="640" ht="16.5" customHeight="1"/>
    <row r="641" ht="16.5" customHeight="1"/>
    <row r="642" ht="16.5" customHeight="1"/>
    <row r="643" ht="16.5" customHeight="1"/>
    <row r="644" ht="16.5" customHeight="1"/>
    <row r="645" ht="16.5" customHeight="1"/>
    <row r="646" ht="16.5" customHeight="1"/>
    <row r="647" ht="16.5" customHeight="1"/>
    <row r="648" ht="16.5" customHeight="1"/>
    <row r="649" ht="16.5" customHeight="1"/>
    <row r="650" ht="16.5" customHeight="1"/>
    <row r="651" ht="16.5" customHeight="1"/>
    <row r="652" ht="16.5" customHeight="1"/>
    <row r="653" ht="16.5" customHeight="1"/>
    <row r="654" ht="16.5" customHeight="1"/>
    <row r="655" ht="16.5" customHeight="1"/>
    <row r="656" ht="16.5" customHeight="1"/>
    <row r="657" ht="16.5" customHeight="1"/>
    <row r="658" ht="16.5" customHeight="1"/>
    <row r="659" ht="16.5" customHeight="1"/>
    <row r="660" ht="16.5" customHeight="1"/>
    <row r="661" ht="16.5" customHeight="1"/>
    <row r="662" ht="16.5" customHeight="1"/>
    <row r="663" ht="16.5" customHeight="1"/>
    <row r="664" ht="16.5" customHeight="1"/>
    <row r="665" ht="16.5" customHeight="1"/>
    <row r="666" ht="16.5" customHeight="1"/>
    <row r="667" ht="16.5" customHeight="1"/>
    <row r="668" ht="16.5" customHeight="1"/>
    <row r="669" ht="16.5" customHeight="1"/>
    <row r="670" ht="16.5" customHeight="1"/>
    <row r="671" ht="16.5" customHeight="1"/>
    <row r="672" ht="16.5" customHeight="1"/>
    <row r="673" ht="16.5" customHeight="1"/>
    <row r="674" ht="16.5" customHeight="1"/>
    <row r="675" ht="16.5" customHeight="1"/>
    <row r="676" ht="16.5" customHeight="1"/>
    <row r="677" ht="16.5" customHeight="1"/>
    <row r="678" ht="16.5" customHeight="1"/>
    <row r="679" ht="16.5" customHeight="1"/>
    <row r="680" ht="16.5" customHeight="1"/>
    <row r="681" ht="16.5" customHeight="1"/>
    <row r="682" ht="16.5" customHeight="1"/>
    <row r="683" ht="16.5" customHeight="1"/>
    <row r="684" ht="16.5" customHeight="1"/>
    <row r="685" ht="16.5" customHeight="1"/>
    <row r="686" ht="16.5" customHeight="1"/>
    <row r="687" ht="16.5" customHeight="1"/>
    <row r="688" ht="16.5" customHeight="1"/>
    <row r="689" ht="16.5" customHeight="1"/>
    <row r="690" ht="16.5" customHeight="1"/>
    <row r="691" ht="16.5" customHeight="1"/>
    <row r="692" ht="16.5" customHeight="1"/>
    <row r="693" ht="16.5" customHeight="1"/>
    <row r="694" ht="16.5" customHeight="1"/>
    <row r="695" ht="16.5" customHeight="1"/>
    <row r="696" ht="16.5" customHeight="1"/>
    <row r="697" ht="16.5" customHeight="1"/>
    <row r="698" ht="16.5" customHeight="1"/>
    <row r="699" ht="16.5" customHeight="1"/>
    <row r="700" ht="16.5" customHeight="1"/>
    <row r="701" ht="16.5" customHeight="1"/>
    <row r="702" ht="16.5" customHeight="1"/>
    <row r="703" ht="16.5" customHeight="1"/>
    <row r="704" ht="16.5" customHeight="1"/>
    <row r="705" ht="16.5" customHeight="1"/>
    <row r="706" ht="16.5" customHeight="1"/>
    <row r="707" ht="16.5" customHeight="1"/>
    <row r="708" ht="16.5" customHeight="1"/>
    <row r="709" ht="16.5" customHeight="1"/>
    <row r="710" ht="16.5" customHeight="1"/>
    <row r="711" ht="16.5" customHeight="1"/>
    <row r="712" ht="16.5" customHeight="1"/>
    <row r="713" ht="16.5" customHeight="1"/>
    <row r="714" ht="16.5" customHeight="1"/>
    <row r="715" ht="16.5" customHeight="1"/>
    <row r="716" ht="16.5" customHeight="1"/>
    <row r="717" ht="16.5" customHeight="1"/>
    <row r="718" ht="16.5" customHeight="1"/>
    <row r="719" ht="16.5" customHeight="1"/>
    <row r="720" ht="16.5" customHeight="1"/>
    <row r="721" ht="16.5" customHeight="1"/>
    <row r="722" ht="16.5" customHeight="1"/>
    <row r="723" ht="16.5" customHeight="1"/>
    <row r="724" ht="16.5" customHeight="1"/>
    <row r="725" ht="16.5" customHeight="1"/>
    <row r="726" ht="16.5" customHeight="1"/>
    <row r="727" ht="16.5" customHeight="1"/>
    <row r="728" ht="16.5" customHeight="1"/>
    <row r="729" ht="16.5" customHeight="1"/>
    <row r="730" ht="16.5" customHeight="1"/>
    <row r="731" ht="16.5" customHeight="1"/>
    <row r="732" ht="16.5" customHeight="1"/>
    <row r="733" ht="16.5" customHeight="1"/>
    <row r="734" ht="16.5" customHeight="1"/>
    <row r="735" ht="16.5" customHeight="1"/>
    <row r="736" ht="16.5" customHeight="1"/>
    <row r="737" ht="16.5" customHeight="1"/>
    <row r="738" ht="16.5" customHeight="1"/>
    <row r="739" ht="16.5" customHeight="1"/>
    <row r="740" ht="16.5" customHeight="1"/>
    <row r="741" ht="16.5" customHeight="1"/>
    <row r="742" ht="16.5" customHeight="1"/>
    <row r="743" ht="16.5" customHeight="1"/>
    <row r="744" ht="16.5" customHeight="1"/>
    <row r="745" ht="16.5" customHeight="1"/>
    <row r="746" ht="16.5" customHeight="1"/>
    <row r="747" ht="16.5" customHeight="1"/>
    <row r="748" ht="16.5" customHeight="1"/>
    <row r="749" ht="16.5" customHeight="1"/>
    <row r="750" ht="16.5" customHeight="1"/>
    <row r="751" ht="16.5" customHeight="1"/>
    <row r="752" ht="16.5" customHeight="1"/>
    <row r="753" ht="16.5" customHeight="1"/>
    <row r="754" ht="16.5" customHeight="1"/>
    <row r="755" ht="16.5" customHeight="1"/>
    <row r="756" ht="16.5" customHeight="1"/>
    <row r="757" ht="16.5" customHeight="1"/>
    <row r="758" ht="16.5" customHeight="1"/>
    <row r="759" ht="16.5" customHeight="1"/>
    <row r="760" ht="16.5" customHeight="1"/>
    <row r="761" ht="16.5" customHeight="1"/>
    <row r="762" ht="16.5" customHeight="1"/>
    <row r="763" ht="16.5" customHeight="1"/>
    <row r="764" ht="16.5" customHeight="1"/>
    <row r="765" ht="16.5" customHeight="1"/>
    <row r="766" ht="16.5" customHeight="1"/>
    <row r="767" ht="16.5" customHeight="1"/>
    <row r="768" ht="16.5" customHeight="1"/>
    <row r="769" ht="16.5" customHeight="1"/>
    <row r="770" ht="16.5" customHeight="1"/>
    <row r="771" ht="16.5" customHeight="1"/>
    <row r="772" ht="16.5" customHeight="1"/>
    <row r="773" ht="16.5" customHeight="1"/>
    <row r="774" ht="16.5" customHeight="1"/>
    <row r="775" ht="16.5" customHeight="1"/>
    <row r="776" ht="16.5" customHeight="1"/>
    <row r="777" ht="16.5" customHeight="1"/>
    <row r="778" ht="16.5" customHeight="1"/>
    <row r="779" ht="16.5" customHeight="1"/>
    <row r="780" ht="16.5" customHeight="1"/>
    <row r="781" ht="16.5" customHeight="1"/>
    <row r="782" ht="16.5" customHeight="1"/>
    <row r="783" ht="16.5" customHeight="1"/>
    <row r="784" ht="16.5" customHeight="1"/>
    <row r="785" ht="16.5" customHeight="1"/>
    <row r="786" ht="16.5" customHeight="1"/>
    <row r="787" ht="16.5" customHeight="1"/>
    <row r="788" ht="16.5" customHeight="1"/>
    <row r="789" ht="16.5" customHeight="1"/>
    <row r="790" ht="16.5" customHeight="1"/>
    <row r="791" ht="16.5" customHeight="1"/>
    <row r="792" ht="16.5" customHeight="1"/>
    <row r="793" ht="16.5" customHeight="1"/>
    <row r="794" ht="16.5" customHeight="1"/>
    <row r="795" ht="16.5" customHeight="1"/>
    <row r="796" ht="16.5" customHeight="1"/>
    <row r="797" ht="16.5" customHeight="1"/>
    <row r="798" ht="16.5" customHeight="1"/>
    <row r="799" ht="16.5" customHeight="1"/>
    <row r="800" ht="16.5" customHeight="1"/>
    <row r="801" ht="16.5" customHeight="1"/>
    <row r="802" ht="16.5" customHeight="1"/>
    <row r="803" ht="16.5" customHeight="1"/>
    <row r="804" ht="16.5" customHeight="1"/>
    <row r="805" ht="16.5" customHeight="1"/>
    <row r="806" ht="16.5" customHeight="1"/>
    <row r="807" ht="16.5" customHeight="1"/>
    <row r="808" ht="16.5" customHeight="1"/>
    <row r="809" ht="16.5" customHeight="1"/>
    <row r="810" ht="16.5" customHeight="1"/>
    <row r="811" ht="16.5" customHeight="1"/>
    <row r="812" ht="16.5" customHeight="1"/>
    <row r="813" ht="16.5" customHeight="1"/>
    <row r="814" ht="16.5" customHeight="1"/>
    <row r="815" ht="16.5" customHeight="1"/>
    <row r="816" ht="16.5" customHeight="1"/>
    <row r="817" ht="16.5" customHeight="1"/>
    <row r="818" ht="16.5" customHeight="1"/>
    <row r="819" ht="16.5" customHeight="1"/>
    <row r="820" ht="16.5" customHeight="1"/>
    <row r="821" ht="16.5" customHeight="1"/>
    <row r="822" ht="16.5" customHeight="1"/>
    <row r="823" ht="16.5" customHeight="1"/>
    <row r="824" ht="16.5" customHeight="1"/>
    <row r="825" ht="16.5" customHeight="1"/>
    <row r="826" ht="16.5" customHeight="1"/>
    <row r="827" ht="16.5" customHeight="1"/>
    <row r="828" ht="16.5" customHeight="1"/>
    <row r="829" ht="16.5" customHeight="1"/>
    <row r="830" ht="16.5" customHeight="1"/>
    <row r="831" ht="16.5" customHeight="1"/>
    <row r="832" ht="16.5" customHeight="1"/>
    <row r="833" ht="16.5" customHeight="1"/>
    <row r="834" ht="16.5" customHeight="1"/>
    <row r="835" ht="16.5" customHeight="1"/>
    <row r="836" ht="16.5" customHeight="1"/>
    <row r="837" ht="16.5" customHeight="1"/>
    <row r="838" ht="16.5" customHeight="1"/>
    <row r="839" ht="16.5" customHeight="1"/>
    <row r="840" ht="16.5" customHeight="1"/>
    <row r="841" ht="16.5" customHeight="1"/>
    <row r="842" ht="16.5" customHeight="1"/>
    <row r="843" ht="16.5" customHeight="1"/>
    <row r="844" ht="16.5" customHeight="1"/>
    <row r="845" ht="16.5" customHeight="1"/>
    <row r="846" ht="16.5" customHeight="1"/>
    <row r="847" ht="16.5" customHeight="1"/>
    <row r="848" ht="16.5" customHeight="1"/>
    <row r="849" ht="16.5" customHeight="1"/>
    <row r="850" ht="16.5" customHeight="1"/>
    <row r="851" ht="16.5" customHeight="1"/>
    <row r="852" ht="16.5" customHeight="1"/>
    <row r="853" ht="16.5" customHeight="1"/>
    <row r="854" ht="16.5" customHeight="1"/>
    <row r="855" ht="16.5" customHeight="1"/>
    <row r="856" ht="16.5" customHeight="1"/>
    <row r="857" ht="16.5" customHeight="1"/>
    <row r="858" ht="16.5" customHeight="1"/>
    <row r="859" ht="16.5" customHeight="1"/>
    <row r="860" ht="16.5" customHeight="1"/>
    <row r="861" ht="16.5" customHeight="1"/>
    <row r="862" ht="16.5" customHeight="1"/>
    <row r="863" ht="16.5" customHeight="1"/>
    <row r="864" ht="16.5" customHeight="1"/>
    <row r="865" ht="16.5" customHeight="1"/>
    <row r="866" ht="16.5" customHeight="1"/>
    <row r="867" ht="16.5" customHeight="1"/>
    <row r="868" ht="16.5" customHeight="1"/>
    <row r="869" ht="16.5" customHeight="1"/>
    <row r="870" ht="16.5" customHeight="1"/>
    <row r="871" ht="16.5" customHeight="1"/>
    <row r="872" ht="16.5" customHeight="1"/>
    <row r="873" ht="16.5" customHeight="1"/>
    <row r="874" ht="16.5" customHeight="1"/>
    <row r="875" ht="16.5" customHeight="1"/>
    <row r="876" ht="16.5" customHeight="1"/>
    <row r="877" ht="16.5" customHeight="1"/>
    <row r="878" ht="16.5" customHeight="1"/>
    <row r="879" ht="16.5" customHeight="1"/>
    <row r="880" ht="16.5" customHeight="1"/>
    <row r="881" ht="16.5" customHeight="1"/>
    <row r="882" ht="16.5" customHeight="1"/>
    <row r="883" ht="16.5" customHeight="1"/>
    <row r="884" ht="16.5" customHeight="1"/>
    <row r="885" ht="16.5" customHeight="1"/>
    <row r="886" ht="16.5" customHeight="1"/>
    <row r="887" ht="16.5" customHeight="1"/>
    <row r="888" ht="16.5" customHeight="1"/>
    <row r="889" ht="16.5" customHeight="1"/>
    <row r="890" ht="16.5" customHeight="1"/>
    <row r="891" ht="16.5" customHeight="1"/>
    <row r="892" ht="16.5" customHeight="1"/>
    <row r="893" ht="16.5" customHeight="1"/>
    <row r="894" ht="16.5" customHeight="1"/>
    <row r="895" ht="16.5" customHeight="1"/>
    <row r="896" ht="16.5" customHeight="1"/>
    <row r="897" ht="16.5" customHeight="1"/>
    <row r="898" ht="16.5" customHeight="1"/>
    <row r="899" ht="16.5" customHeight="1"/>
    <row r="900" ht="16.5" customHeight="1"/>
    <row r="901" ht="16.5" customHeight="1"/>
    <row r="902" ht="16.5" customHeight="1"/>
    <row r="903" ht="16.5" customHeight="1"/>
    <row r="904" ht="16.5" customHeight="1"/>
    <row r="905" ht="16.5" customHeight="1"/>
    <row r="906" ht="16.5" customHeight="1"/>
    <row r="907" ht="16.5" customHeight="1"/>
    <row r="908" ht="16.5" customHeight="1"/>
    <row r="909" ht="16.5" customHeight="1"/>
    <row r="910" ht="16.5" customHeight="1"/>
    <row r="911" ht="16.5" customHeight="1"/>
    <row r="912" ht="16.5" customHeight="1"/>
    <row r="913" ht="16.5" customHeight="1"/>
    <row r="914" ht="16.5" customHeight="1"/>
    <row r="915" ht="16.5" customHeight="1"/>
    <row r="916" ht="16.5" customHeight="1"/>
    <row r="917" ht="16.5" customHeight="1"/>
    <row r="918" ht="16.5" customHeight="1"/>
    <row r="919" ht="16.5" customHeight="1"/>
    <row r="920" ht="16.5" customHeight="1"/>
    <row r="921" ht="16.5" customHeight="1"/>
    <row r="922" ht="16.5" customHeight="1"/>
    <row r="923" ht="16.5" customHeight="1"/>
    <row r="924" ht="16.5" customHeight="1"/>
    <row r="925" ht="16.5" customHeight="1"/>
    <row r="926" ht="16.5" customHeight="1"/>
    <row r="927" ht="16.5" customHeight="1"/>
    <row r="928" ht="16.5" customHeight="1"/>
    <row r="929" ht="16.5" customHeight="1"/>
    <row r="930" ht="16.5" customHeight="1"/>
    <row r="931" ht="16.5" customHeight="1"/>
    <row r="932" ht="16.5" customHeight="1"/>
    <row r="933" ht="16.5" customHeight="1"/>
    <row r="934" ht="16.5" customHeight="1"/>
    <row r="935" ht="16.5" customHeight="1"/>
    <row r="936" ht="16.5" customHeight="1"/>
    <row r="937" ht="16.5" customHeight="1"/>
    <row r="938" ht="16.5" customHeight="1"/>
    <row r="939" ht="16.5" customHeight="1"/>
    <row r="940" ht="16.5" customHeight="1"/>
    <row r="941" ht="16.5" customHeight="1"/>
    <row r="942" ht="16.5" customHeight="1"/>
    <row r="943" ht="16.5" customHeight="1"/>
    <row r="944" ht="16.5" customHeight="1"/>
    <row r="945" ht="16.5" customHeight="1"/>
    <row r="946" ht="16.5" customHeight="1"/>
    <row r="947" ht="16.5" customHeight="1"/>
    <row r="948" ht="16.5" customHeight="1"/>
    <row r="949" ht="16.5" customHeight="1"/>
    <row r="950" ht="16.5" customHeight="1"/>
    <row r="951" ht="16.5" customHeight="1"/>
    <row r="952" ht="16.5" customHeight="1"/>
    <row r="953" ht="16.5" customHeight="1"/>
    <row r="954" ht="16.5" customHeight="1"/>
    <row r="955" ht="16.5" customHeight="1"/>
    <row r="956" ht="16.5" customHeight="1"/>
    <row r="957" ht="16.5" customHeight="1"/>
    <row r="958" ht="16.5" customHeight="1"/>
    <row r="959" ht="16.5" customHeight="1"/>
    <row r="960" ht="16.5" customHeight="1"/>
    <row r="961" ht="16.5" customHeight="1"/>
    <row r="962" ht="16.5" customHeight="1"/>
    <row r="963" ht="16.5" customHeight="1"/>
    <row r="964" ht="16.5" customHeight="1"/>
    <row r="965" ht="16.5" customHeight="1"/>
    <row r="966" ht="16.5" customHeight="1"/>
    <row r="967" ht="16.5" customHeight="1"/>
    <row r="968" ht="16.5" customHeight="1"/>
    <row r="969" ht="16.5" customHeight="1"/>
    <row r="970" ht="16.5" customHeight="1"/>
    <row r="971" ht="16.5" customHeight="1"/>
    <row r="972" ht="16.5" customHeight="1"/>
    <row r="973" ht="16.5" customHeight="1"/>
    <row r="974" ht="16.5" customHeight="1"/>
    <row r="975" ht="16.5" customHeight="1"/>
    <row r="976" ht="16.5" customHeight="1"/>
    <row r="977" ht="16.5" customHeight="1"/>
    <row r="978" ht="16.5" customHeight="1"/>
    <row r="979" ht="16.5" customHeight="1"/>
    <row r="980" ht="16.5" customHeight="1"/>
    <row r="981" ht="16.5" customHeight="1"/>
    <row r="982" ht="16.5" customHeight="1"/>
    <row r="983" ht="16.5" customHeight="1"/>
    <row r="984" ht="16.5" customHeight="1"/>
    <row r="985" ht="16.5" customHeight="1"/>
    <row r="986" ht="16.5" customHeight="1"/>
    <row r="987" ht="16.5" customHeight="1"/>
    <row r="988" ht="16.5" customHeight="1"/>
    <row r="989" ht="16.5" customHeight="1"/>
    <row r="990" ht="16.5" customHeight="1"/>
    <row r="991" ht="16.5" customHeight="1"/>
    <row r="992" ht="16.5" customHeight="1"/>
    <row r="993" ht="16.5" customHeight="1"/>
    <row r="994" ht="16.5" customHeight="1"/>
    <row r="995" ht="16.5" customHeight="1"/>
    <row r="996" ht="16.5" customHeight="1"/>
    <row r="997" ht="16.5" customHeight="1"/>
    <row r="998" ht="16.5" customHeight="1"/>
    <row r="999" ht="16.5" customHeight="1"/>
    <row r="1000" ht="16.5" customHeight="1"/>
  </sheetData>
  <mergeCells count="19">
    <mergeCell ref="C3:AI3"/>
    <mergeCell ref="C4:D4"/>
    <mergeCell ref="L5:M5"/>
    <mergeCell ref="N5:W5"/>
    <mergeCell ref="D9:D19"/>
    <mergeCell ref="D20:D22"/>
    <mergeCell ref="D26:D31"/>
    <mergeCell ref="X49:Y49"/>
    <mergeCell ref="X50:Y50"/>
    <mergeCell ref="S52:S54"/>
    <mergeCell ref="V52:V54"/>
    <mergeCell ref="X48:Y48"/>
    <mergeCell ref="V49:V51"/>
    <mergeCell ref="S55:U55"/>
    <mergeCell ref="D32:D34"/>
    <mergeCell ref="D35:D37"/>
    <mergeCell ref="D38:D40"/>
    <mergeCell ref="C43:E43"/>
    <mergeCell ref="S49:S51"/>
  </mergeCells>
  <phoneticPr fontId="22" type="noConversion"/>
  <pageMargins left="0.7" right="0.7" top="0.75" bottom="0.75" header="0" footer="0"/>
  <pageSetup paperSize="9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L1000"/>
  <sheetViews>
    <sheetView showGridLines="0" zoomScale="80" zoomScaleNormal="80" workbookViewId="0">
      <pane xSplit="11" ySplit="6" topLeftCell="L7" activePane="bottomRight" state="frozen"/>
      <selection pane="topRight" activeCell="L1" sqref="L1"/>
      <selection pane="bottomLeft" activeCell="A7" sqref="A7"/>
      <selection pane="bottomRight" activeCell="F25" sqref="F25:F31"/>
    </sheetView>
  </sheetViews>
  <sheetFormatPr baseColWidth="10" defaultColWidth="14.5" defaultRowHeight="15" customHeight="1"/>
  <cols>
    <col min="1" max="1" width="3.1640625" customWidth="1"/>
    <col min="2" max="2" width="2.1640625" customWidth="1"/>
    <col min="3" max="3" width="8.83203125" customWidth="1"/>
    <col min="4" max="4" width="24" customWidth="1"/>
    <col min="5" max="5" width="8.83203125" customWidth="1"/>
    <col min="6" max="6" width="15.6640625" customWidth="1"/>
    <col min="7" max="9" width="8.83203125" customWidth="1"/>
    <col min="10" max="11" width="8.83203125" hidden="1" customWidth="1"/>
    <col min="12" max="26" width="9.83203125" customWidth="1"/>
    <col min="27" max="34" width="8.83203125" hidden="1" customWidth="1"/>
    <col min="35" max="35" width="8.83203125" customWidth="1"/>
    <col min="36" max="36" width="3.1640625" customWidth="1"/>
    <col min="37" max="37" width="2" customWidth="1"/>
    <col min="38" max="38" width="8.83203125" customWidth="1"/>
  </cols>
  <sheetData>
    <row r="1" spans="1:38" ht="16.5" customHeight="1">
      <c r="A1" s="19"/>
      <c r="B1" s="19"/>
      <c r="C1" s="19"/>
      <c r="D1" s="19"/>
      <c r="E1" s="20"/>
      <c r="F1" s="20"/>
      <c r="G1" s="20"/>
      <c r="H1" s="20"/>
      <c r="I1" s="19"/>
      <c r="J1" s="19"/>
      <c r="K1" s="19"/>
      <c r="L1" s="20"/>
      <c r="M1" s="20"/>
      <c r="N1" s="20"/>
      <c r="O1" s="20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19"/>
      <c r="AK1" s="19"/>
    </row>
    <row r="2" spans="1:38" ht="16.5" customHeight="1">
      <c r="A2" s="19"/>
      <c r="B2" s="21"/>
      <c r="C2" s="22"/>
      <c r="D2" s="22"/>
      <c r="E2" s="23"/>
      <c r="F2" s="23"/>
      <c r="G2" s="23"/>
      <c r="H2" s="23"/>
      <c r="I2" s="22"/>
      <c r="J2" s="22"/>
      <c r="K2" s="22"/>
      <c r="L2" s="23"/>
      <c r="M2" s="23"/>
      <c r="N2" s="23"/>
      <c r="O2" s="23"/>
      <c r="P2" s="23"/>
      <c r="Q2" s="23"/>
      <c r="R2" s="23"/>
      <c r="S2" s="23"/>
      <c r="T2" s="23"/>
      <c r="U2" s="23"/>
      <c r="V2" s="23"/>
      <c r="W2" s="23"/>
      <c r="X2" s="23"/>
      <c r="Y2" s="23"/>
      <c r="Z2" s="23"/>
      <c r="AA2" s="23"/>
      <c r="AB2" s="23"/>
      <c r="AC2" s="23"/>
      <c r="AD2" s="23"/>
      <c r="AE2" s="23"/>
      <c r="AF2" s="23"/>
      <c r="AG2" s="23"/>
      <c r="AH2" s="23"/>
      <c r="AI2" s="23"/>
      <c r="AJ2" s="24"/>
      <c r="AK2" s="19"/>
    </row>
    <row r="3" spans="1:38" ht="32">
      <c r="A3" s="19"/>
      <c r="B3" s="25"/>
      <c r="C3" s="392" t="s">
        <v>23</v>
      </c>
      <c r="D3" s="393"/>
      <c r="E3" s="393"/>
      <c r="F3" s="393"/>
      <c r="G3" s="393"/>
      <c r="H3" s="393"/>
      <c r="I3" s="393"/>
      <c r="J3" s="393"/>
      <c r="K3" s="393"/>
      <c r="L3" s="393"/>
      <c r="M3" s="393"/>
      <c r="N3" s="393"/>
      <c r="O3" s="393"/>
      <c r="P3" s="393"/>
      <c r="Q3" s="393"/>
      <c r="R3" s="393"/>
      <c r="S3" s="393"/>
      <c r="T3" s="393"/>
      <c r="U3" s="393"/>
      <c r="V3" s="393"/>
      <c r="W3" s="393"/>
      <c r="X3" s="393"/>
      <c r="Y3" s="393"/>
      <c r="Z3" s="393"/>
      <c r="AA3" s="393"/>
      <c r="AB3" s="393"/>
      <c r="AC3" s="393"/>
      <c r="AD3" s="393"/>
      <c r="AE3" s="393"/>
      <c r="AF3" s="393"/>
      <c r="AG3" s="393"/>
      <c r="AH3" s="393"/>
      <c r="AI3" s="394"/>
      <c r="AJ3" s="26"/>
      <c r="AK3" s="19"/>
    </row>
    <row r="4" spans="1:38" ht="80.25" customHeight="1">
      <c r="A4" s="19"/>
      <c r="B4" s="25"/>
      <c r="C4" s="404">
        <v>45742</v>
      </c>
      <c r="D4" s="396"/>
      <c r="E4" s="27"/>
      <c r="F4" s="27"/>
      <c r="G4" s="27"/>
      <c r="H4" s="27"/>
      <c r="I4" s="27"/>
      <c r="J4" s="27"/>
      <c r="K4" s="27"/>
      <c r="L4" s="28"/>
      <c r="M4" s="28"/>
      <c r="N4" s="28"/>
      <c r="O4" s="28"/>
      <c r="P4" s="28"/>
      <c r="Q4" s="28"/>
      <c r="R4" s="28"/>
      <c r="S4" s="28"/>
      <c r="T4" s="28"/>
      <c r="U4" s="28"/>
      <c r="V4" s="28"/>
      <c r="W4" s="28"/>
      <c r="X4" s="28"/>
      <c r="Y4" s="28"/>
      <c r="Z4" s="28"/>
      <c r="AA4" s="28"/>
      <c r="AB4" s="28"/>
      <c r="AC4" s="28"/>
      <c r="AD4" s="28"/>
      <c r="AE4" s="28"/>
      <c r="AF4" s="28"/>
      <c r="AG4" s="28"/>
      <c r="AH4" s="28"/>
      <c r="AI4" s="28"/>
      <c r="AJ4" s="26"/>
      <c r="AK4" s="19"/>
    </row>
    <row r="5" spans="1:38" ht="16.5" customHeight="1">
      <c r="A5" s="19"/>
      <c r="B5" s="25"/>
      <c r="C5" s="29" t="s">
        <v>75</v>
      </c>
      <c r="D5" s="29"/>
      <c r="E5" s="30"/>
      <c r="F5" s="30"/>
      <c r="G5" s="30"/>
      <c r="H5" s="30"/>
      <c r="I5" s="30"/>
      <c r="J5" s="30"/>
      <c r="K5" s="31"/>
      <c r="L5" s="397"/>
      <c r="M5" s="398"/>
      <c r="N5" s="397"/>
      <c r="O5" s="398"/>
      <c r="P5" s="398"/>
      <c r="Q5" s="398"/>
      <c r="R5" s="398"/>
      <c r="S5" s="398"/>
      <c r="T5" s="398"/>
      <c r="U5" s="398"/>
      <c r="V5" s="398"/>
      <c r="W5" s="398"/>
      <c r="X5" s="32"/>
      <c r="Y5" s="32"/>
      <c r="Z5" s="32"/>
      <c r="AA5" s="32"/>
      <c r="AB5" s="32"/>
      <c r="AC5" s="32"/>
      <c r="AD5" s="32"/>
      <c r="AE5" s="32"/>
      <c r="AF5" s="32"/>
      <c r="AG5" s="32"/>
      <c r="AH5" s="32"/>
      <c r="AI5" s="32"/>
      <c r="AJ5" s="26"/>
      <c r="AK5" s="19"/>
    </row>
    <row r="6" spans="1:38" ht="30">
      <c r="A6" s="19"/>
      <c r="B6" s="25"/>
      <c r="C6" s="98" t="s">
        <v>24</v>
      </c>
      <c r="D6" s="98" t="s">
        <v>25</v>
      </c>
      <c r="E6" s="99" t="s">
        <v>26</v>
      </c>
      <c r="F6" s="99" t="s">
        <v>27</v>
      </c>
      <c r="G6" s="99" t="s">
        <v>28</v>
      </c>
      <c r="H6" s="99" t="s">
        <v>29</v>
      </c>
      <c r="I6" s="99" t="s">
        <v>30</v>
      </c>
      <c r="J6" s="99" t="s">
        <v>31</v>
      </c>
      <c r="K6" s="99" t="s">
        <v>32</v>
      </c>
      <c r="L6" s="100" t="s">
        <v>33</v>
      </c>
      <c r="M6" s="100" t="s">
        <v>34</v>
      </c>
      <c r="N6" s="100" t="s">
        <v>35</v>
      </c>
      <c r="O6" s="100" t="s">
        <v>36</v>
      </c>
      <c r="P6" s="100" t="s">
        <v>37</v>
      </c>
      <c r="Q6" s="100" t="s">
        <v>38</v>
      </c>
      <c r="R6" s="100" t="s">
        <v>39</v>
      </c>
      <c r="S6" s="100" t="s">
        <v>40</v>
      </c>
      <c r="T6" s="100" t="s">
        <v>41</v>
      </c>
      <c r="U6" s="100" t="s">
        <v>42</v>
      </c>
      <c r="V6" s="100" t="s">
        <v>43</v>
      </c>
      <c r="W6" s="100" t="s">
        <v>44</v>
      </c>
      <c r="X6" s="100" t="s">
        <v>45</v>
      </c>
      <c r="Y6" s="100" t="s">
        <v>46</v>
      </c>
      <c r="Z6" s="100" t="s">
        <v>47</v>
      </c>
      <c r="AA6" s="100"/>
      <c r="AB6" s="100"/>
      <c r="AC6" s="100"/>
      <c r="AD6" s="100"/>
      <c r="AE6" s="100"/>
      <c r="AF6" s="100"/>
      <c r="AG6" s="100"/>
      <c r="AH6" s="100"/>
      <c r="AI6" s="101" t="s">
        <v>48</v>
      </c>
      <c r="AJ6" s="26"/>
      <c r="AK6" s="19"/>
    </row>
    <row r="7" spans="1:38" ht="16.5" customHeight="1">
      <c r="A7" s="19"/>
      <c r="B7" s="25"/>
      <c r="C7" s="38" t="s">
        <v>49</v>
      </c>
      <c r="D7" s="39" t="s">
        <v>50</v>
      </c>
      <c r="E7" s="40" t="s">
        <v>51</v>
      </c>
      <c r="F7" s="40" t="s">
        <v>5</v>
      </c>
      <c r="G7" s="40" t="s">
        <v>52</v>
      </c>
      <c r="H7" s="42">
        <v>45691</v>
      </c>
      <c r="I7" s="42">
        <v>46127</v>
      </c>
      <c r="J7" s="42"/>
      <c r="K7" s="42"/>
      <c r="L7" s="43">
        <v>1</v>
      </c>
      <c r="M7" s="43">
        <v>1</v>
      </c>
      <c r="N7" s="43">
        <v>1</v>
      </c>
      <c r="O7" s="43">
        <v>1</v>
      </c>
      <c r="P7" s="43">
        <v>1</v>
      </c>
      <c r="Q7" s="43">
        <v>1</v>
      </c>
      <c r="R7" s="43">
        <v>1</v>
      </c>
      <c r="S7" s="43">
        <v>1</v>
      </c>
      <c r="T7" s="43">
        <v>1</v>
      </c>
      <c r="U7" s="43">
        <v>1</v>
      </c>
      <c r="V7" s="43">
        <v>1</v>
      </c>
      <c r="W7" s="43">
        <v>1</v>
      </c>
      <c r="X7" s="43">
        <v>1</v>
      </c>
      <c r="Y7" s="43">
        <v>1</v>
      </c>
      <c r="Z7" s="43">
        <v>0.5</v>
      </c>
      <c r="AA7" s="44"/>
      <c r="AB7" s="44"/>
      <c r="AC7" s="44"/>
      <c r="AD7" s="44"/>
      <c r="AE7" s="44"/>
      <c r="AF7" s="44"/>
      <c r="AG7" s="44"/>
      <c r="AH7" s="44"/>
      <c r="AI7" s="45">
        <f t="shared" ref="AI7:AI15" si="0">SUM(L7:AH7)</f>
        <v>14.5</v>
      </c>
      <c r="AJ7" s="26"/>
      <c r="AK7" s="19"/>
    </row>
    <row r="8" spans="1:38" ht="16.5" customHeight="1">
      <c r="A8" s="19"/>
      <c r="B8" s="25"/>
      <c r="C8" s="38" t="s">
        <v>53</v>
      </c>
      <c r="D8" s="39" t="s">
        <v>54</v>
      </c>
      <c r="E8" s="40" t="s">
        <v>51</v>
      </c>
      <c r="F8" s="40" t="s">
        <v>4</v>
      </c>
      <c r="G8" s="40" t="s">
        <v>52</v>
      </c>
      <c r="H8" s="42">
        <v>45705</v>
      </c>
      <c r="I8" s="42">
        <v>46127</v>
      </c>
      <c r="J8" s="42"/>
      <c r="K8" s="42"/>
      <c r="L8" s="43">
        <v>0.5</v>
      </c>
      <c r="M8" s="43">
        <v>1</v>
      </c>
      <c r="N8" s="43">
        <v>1</v>
      </c>
      <c r="O8" s="43">
        <v>1</v>
      </c>
      <c r="P8" s="43">
        <v>1</v>
      </c>
      <c r="Q8" s="43">
        <v>1</v>
      </c>
      <c r="R8" s="43">
        <v>1</v>
      </c>
      <c r="S8" s="43">
        <v>1</v>
      </c>
      <c r="T8" s="43">
        <v>1</v>
      </c>
      <c r="U8" s="43">
        <v>1</v>
      </c>
      <c r="V8" s="43">
        <v>1</v>
      </c>
      <c r="W8" s="43">
        <v>1</v>
      </c>
      <c r="X8" s="43">
        <v>1</v>
      </c>
      <c r="Y8" s="43">
        <v>1</v>
      </c>
      <c r="Z8" s="43">
        <v>0.5</v>
      </c>
      <c r="AA8" s="44"/>
      <c r="AB8" s="44"/>
      <c r="AC8" s="44"/>
      <c r="AD8" s="44"/>
      <c r="AE8" s="44"/>
      <c r="AF8" s="44"/>
      <c r="AG8" s="44"/>
      <c r="AH8" s="44"/>
      <c r="AI8" s="45">
        <f t="shared" si="0"/>
        <v>14</v>
      </c>
      <c r="AJ8" s="26"/>
      <c r="AK8" s="19"/>
    </row>
    <row r="9" spans="1:38" ht="16.5" customHeight="1">
      <c r="A9" s="19"/>
      <c r="B9" s="25"/>
      <c r="C9" s="47"/>
      <c r="D9" s="403" t="s">
        <v>55</v>
      </c>
      <c r="E9" s="40" t="s">
        <v>51</v>
      </c>
      <c r="F9" s="40" t="s">
        <v>9</v>
      </c>
      <c r="G9" s="40" t="s">
        <v>52</v>
      </c>
      <c r="H9" s="42">
        <v>45691</v>
      </c>
      <c r="I9" s="42">
        <v>46096</v>
      </c>
      <c r="J9" s="42"/>
      <c r="K9" s="42"/>
      <c r="L9" s="43">
        <v>1</v>
      </c>
      <c r="M9" s="43">
        <v>1</v>
      </c>
      <c r="N9" s="43">
        <v>1</v>
      </c>
      <c r="O9" s="43">
        <v>1</v>
      </c>
      <c r="P9" s="43">
        <v>1</v>
      </c>
      <c r="Q9" s="43">
        <v>1</v>
      </c>
      <c r="R9" s="43">
        <v>1</v>
      </c>
      <c r="S9" s="43">
        <v>1</v>
      </c>
      <c r="T9" s="43">
        <v>1</v>
      </c>
      <c r="U9" s="43">
        <v>1</v>
      </c>
      <c r="V9" s="43">
        <v>0.5</v>
      </c>
      <c r="W9" s="43"/>
      <c r="X9" s="43"/>
      <c r="Y9" s="43"/>
      <c r="Z9" s="43"/>
      <c r="AA9" s="44"/>
      <c r="AB9" s="44"/>
      <c r="AC9" s="44"/>
      <c r="AD9" s="44"/>
      <c r="AE9" s="44"/>
      <c r="AF9" s="44"/>
      <c r="AG9" s="44"/>
      <c r="AH9" s="44"/>
      <c r="AI9" s="45">
        <f t="shared" si="0"/>
        <v>10.5</v>
      </c>
      <c r="AJ9" s="26"/>
      <c r="AK9" s="19"/>
    </row>
    <row r="10" spans="1:38" ht="16.5" customHeight="1">
      <c r="A10" s="19"/>
      <c r="B10" s="25"/>
      <c r="C10" s="47"/>
      <c r="D10" s="383"/>
      <c r="E10" s="40" t="s">
        <v>51</v>
      </c>
      <c r="F10" s="40" t="s">
        <v>8</v>
      </c>
      <c r="G10" s="102" t="s">
        <v>52</v>
      </c>
      <c r="H10" s="42">
        <v>45691</v>
      </c>
      <c r="I10" s="42">
        <v>45989</v>
      </c>
      <c r="J10" s="42"/>
      <c r="K10" s="42"/>
      <c r="L10" s="43">
        <v>1</v>
      </c>
      <c r="M10" s="43">
        <v>1</v>
      </c>
      <c r="N10" s="43">
        <v>1</v>
      </c>
      <c r="O10" s="43">
        <v>1</v>
      </c>
      <c r="P10" s="43">
        <v>1</v>
      </c>
      <c r="Q10" s="43">
        <v>1</v>
      </c>
      <c r="R10" s="43">
        <v>1</v>
      </c>
      <c r="S10" s="43">
        <v>1</v>
      </c>
      <c r="T10" s="43">
        <v>1</v>
      </c>
      <c r="U10" s="43">
        <v>1</v>
      </c>
      <c r="V10" s="43"/>
      <c r="W10" s="43"/>
      <c r="X10" s="43"/>
      <c r="Y10" s="43"/>
      <c r="Z10" s="43"/>
      <c r="AA10" s="44"/>
      <c r="AB10" s="44"/>
      <c r="AC10" s="44"/>
      <c r="AD10" s="44"/>
      <c r="AE10" s="44"/>
      <c r="AF10" s="44"/>
      <c r="AG10" s="44"/>
      <c r="AH10" s="44"/>
      <c r="AI10" s="45">
        <f t="shared" si="0"/>
        <v>10</v>
      </c>
      <c r="AJ10" s="26"/>
      <c r="AK10" s="19"/>
    </row>
    <row r="11" spans="1:38" ht="16.5" customHeight="1">
      <c r="A11" s="19"/>
      <c r="B11" s="25"/>
      <c r="C11" s="50" t="s">
        <v>49</v>
      </c>
      <c r="D11" s="383"/>
      <c r="E11" s="40" t="s">
        <v>51</v>
      </c>
      <c r="F11" s="122" t="s">
        <v>21</v>
      </c>
      <c r="G11" s="102" t="s">
        <v>51</v>
      </c>
      <c r="H11" s="49">
        <v>45733</v>
      </c>
      <c r="I11" s="49">
        <v>45916</v>
      </c>
      <c r="J11" s="42"/>
      <c r="K11" s="42"/>
      <c r="L11" s="43"/>
      <c r="M11" s="46">
        <v>0.5</v>
      </c>
      <c r="N11" s="43">
        <v>1</v>
      </c>
      <c r="O11" s="43">
        <v>1</v>
      </c>
      <c r="P11" s="43">
        <v>1</v>
      </c>
      <c r="Q11" s="43">
        <v>1</v>
      </c>
      <c r="R11" s="43">
        <v>1</v>
      </c>
      <c r="S11" s="46">
        <v>0.5</v>
      </c>
      <c r="T11" s="43"/>
      <c r="U11" s="43"/>
      <c r="V11" s="43"/>
      <c r="W11" s="43"/>
      <c r="X11" s="46"/>
      <c r="Y11" s="46"/>
      <c r="Z11" s="46"/>
      <c r="AA11" s="44"/>
      <c r="AB11" s="44"/>
      <c r="AC11" s="44"/>
      <c r="AD11" s="44"/>
      <c r="AE11" s="44"/>
      <c r="AF11" s="44"/>
      <c r="AG11" s="44"/>
      <c r="AH11" s="44"/>
      <c r="AI11" s="45">
        <f t="shared" si="0"/>
        <v>6</v>
      </c>
      <c r="AJ11" s="26"/>
      <c r="AK11" s="19"/>
    </row>
    <row r="12" spans="1:38" ht="16.5" customHeight="1">
      <c r="A12" s="19"/>
      <c r="B12" s="25"/>
      <c r="C12" s="50" t="s">
        <v>49</v>
      </c>
      <c r="D12" s="383"/>
      <c r="E12" s="51" t="s">
        <v>57</v>
      </c>
      <c r="F12" s="51" t="s">
        <v>12</v>
      </c>
      <c r="G12" s="51" t="s">
        <v>51</v>
      </c>
      <c r="H12" s="53">
        <v>45691</v>
      </c>
      <c r="I12" s="53">
        <v>45960</v>
      </c>
      <c r="J12" s="53"/>
      <c r="K12" s="53"/>
      <c r="L12" s="55">
        <v>1</v>
      </c>
      <c r="M12" s="55">
        <v>1</v>
      </c>
      <c r="N12" s="55">
        <v>1</v>
      </c>
      <c r="O12" s="55">
        <v>1</v>
      </c>
      <c r="P12" s="55">
        <v>1</v>
      </c>
      <c r="Q12" s="55">
        <v>1</v>
      </c>
      <c r="R12" s="55">
        <v>1</v>
      </c>
      <c r="S12" s="55">
        <v>1</v>
      </c>
      <c r="T12" s="55">
        <v>1</v>
      </c>
      <c r="U12" s="55"/>
      <c r="V12" s="55"/>
      <c r="W12" s="55"/>
      <c r="X12" s="55"/>
      <c r="Y12" s="55"/>
      <c r="Z12" s="55"/>
      <c r="AA12" s="44"/>
      <c r="AB12" s="44"/>
      <c r="AC12" s="44"/>
      <c r="AD12" s="44"/>
      <c r="AE12" s="44"/>
      <c r="AF12" s="44"/>
      <c r="AG12" s="44"/>
      <c r="AH12" s="44"/>
      <c r="AI12" s="45">
        <f t="shared" si="0"/>
        <v>9</v>
      </c>
      <c r="AJ12" s="26"/>
      <c r="AK12" s="19"/>
    </row>
    <row r="13" spans="1:38" ht="16.5" customHeight="1">
      <c r="A13" s="19"/>
      <c r="B13" s="25"/>
      <c r="C13" s="50" t="s">
        <v>49</v>
      </c>
      <c r="D13" s="383"/>
      <c r="E13" s="51" t="s">
        <v>57</v>
      </c>
      <c r="F13" s="51" t="s">
        <v>16</v>
      </c>
      <c r="G13" s="51" t="s">
        <v>51</v>
      </c>
      <c r="H13" s="53">
        <v>45720</v>
      </c>
      <c r="I13" s="53">
        <v>46022</v>
      </c>
      <c r="J13" s="53"/>
      <c r="K13" s="53"/>
      <c r="L13" s="55"/>
      <c r="M13" s="55">
        <v>1</v>
      </c>
      <c r="N13" s="55">
        <v>1</v>
      </c>
      <c r="O13" s="55">
        <v>1</v>
      </c>
      <c r="P13" s="55">
        <v>1</v>
      </c>
      <c r="Q13" s="55">
        <v>1</v>
      </c>
      <c r="R13" s="55">
        <v>1</v>
      </c>
      <c r="S13" s="55">
        <v>1</v>
      </c>
      <c r="T13" s="55">
        <v>1</v>
      </c>
      <c r="U13" s="55">
        <v>1</v>
      </c>
      <c r="V13" s="55">
        <v>1</v>
      </c>
      <c r="W13" s="55"/>
      <c r="X13" s="55"/>
      <c r="Y13" s="55"/>
      <c r="Z13" s="55"/>
      <c r="AA13" s="44"/>
      <c r="AB13" s="44"/>
      <c r="AC13" s="44"/>
      <c r="AD13" s="44"/>
      <c r="AE13" s="44"/>
      <c r="AF13" s="44"/>
      <c r="AG13" s="44"/>
      <c r="AH13" s="44"/>
      <c r="AI13" s="45">
        <f t="shared" si="0"/>
        <v>10</v>
      </c>
      <c r="AJ13" s="26"/>
      <c r="AK13" s="19"/>
    </row>
    <row r="14" spans="1:38" ht="16.5" customHeight="1">
      <c r="A14" s="19"/>
      <c r="B14" s="25"/>
      <c r="C14" s="50" t="s">
        <v>49</v>
      </c>
      <c r="D14" s="383"/>
      <c r="E14" s="51" t="s">
        <v>57</v>
      </c>
      <c r="F14" s="51" t="s">
        <v>20</v>
      </c>
      <c r="G14" s="51" t="s">
        <v>51</v>
      </c>
      <c r="H14" s="53">
        <v>45720</v>
      </c>
      <c r="I14" s="53">
        <v>45900</v>
      </c>
      <c r="J14" s="53"/>
      <c r="K14" s="53"/>
      <c r="L14" s="55"/>
      <c r="M14" s="55">
        <v>1</v>
      </c>
      <c r="N14" s="55">
        <v>1</v>
      </c>
      <c r="O14" s="55">
        <v>1</v>
      </c>
      <c r="P14" s="55">
        <v>1</v>
      </c>
      <c r="Q14" s="55">
        <v>1</v>
      </c>
      <c r="R14" s="55">
        <v>1</v>
      </c>
      <c r="S14" s="55"/>
      <c r="T14" s="55"/>
      <c r="U14" s="55"/>
      <c r="V14" s="55"/>
      <c r="W14" s="55"/>
      <c r="X14" s="55"/>
      <c r="Y14" s="55"/>
      <c r="Z14" s="55"/>
      <c r="AA14" s="44"/>
      <c r="AB14" s="44"/>
      <c r="AC14" s="44"/>
      <c r="AD14" s="44"/>
      <c r="AE14" s="44"/>
      <c r="AF14" s="44"/>
      <c r="AG14" s="44"/>
      <c r="AH14" s="44"/>
      <c r="AI14" s="45">
        <f t="shared" si="0"/>
        <v>6</v>
      </c>
      <c r="AJ14" s="26"/>
      <c r="AK14" s="19"/>
      <c r="AL14" s="19"/>
    </row>
    <row r="15" spans="1:38" ht="16.5" customHeight="1">
      <c r="A15" s="19"/>
      <c r="B15" s="25"/>
      <c r="C15" s="50" t="s">
        <v>49</v>
      </c>
      <c r="D15" s="383"/>
      <c r="E15" s="57" t="s">
        <v>59</v>
      </c>
      <c r="F15" s="57" t="s">
        <v>13</v>
      </c>
      <c r="G15" s="57" t="s">
        <v>59</v>
      </c>
      <c r="H15" s="59">
        <v>45691</v>
      </c>
      <c r="I15" s="59">
        <v>45991</v>
      </c>
      <c r="J15" s="59"/>
      <c r="K15" s="59"/>
      <c r="L15" s="44">
        <v>1</v>
      </c>
      <c r="M15" s="44">
        <v>1</v>
      </c>
      <c r="N15" s="44">
        <v>1</v>
      </c>
      <c r="O15" s="44">
        <v>1</v>
      </c>
      <c r="P15" s="44">
        <v>1</v>
      </c>
      <c r="Q15" s="44">
        <v>1</v>
      </c>
      <c r="R15" s="44">
        <v>1</v>
      </c>
      <c r="S15" s="44">
        <v>1</v>
      </c>
      <c r="T15" s="44">
        <v>1</v>
      </c>
      <c r="U15" s="44">
        <v>1</v>
      </c>
      <c r="V15" s="44"/>
      <c r="W15" s="44"/>
      <c r="X15" s="44"/>
      <c r="Y15" s="44"/>
      <c r="Z15" s="44"/>
      <c r="AA15" s="44"/>
      <c r="AB15" s="44"/>
      <c r="AC15" s="44"/>
      <c r="AD15" s="44"/>
      <c r="AE15" s="44"/>
      <c r="AF15" s="44"/>
      <c r="AG15" s="44"/>
      <c r="AH15" s="44"/>
      <c r="AI15" s="45">
        <f t="shared" si="0"/>
        <v>10</v>
      </c>
      <c r="AJ15" s="26"/>
      <c r="AK15" s="19"/>
      <c r="AL15" s="19"/>
    </row>
    <row r="16" spans="1:38" ht="16.5" customHeight="1">
      <c r="A16" s="19"/>
      <c r="B16" s="25"/>
      <c r="C16" s="50" t="s">
        <v>49</v>
      </c>
      <c r="D16" s="383"/>
      <c r="E16" s="57" t="s">
        <v>59</v>
      </c>
      <c r="F16" s="57" t="s">
        <v>17</v>
      </c>
      <c r="G16" s="103" t="s">
        <v>59</v>
      </c>
      <c r="H16" s="59">
        <v>45691</v>
      </c>
      <c r="I16" s="59">
        <v>45961</v>
      </c>
      <c r="J16" s="59"/>
      <c r="K16" s="59"/>
      <c r="L16" s="44">
        <v>1</v>
      </c>
      <c r="M16" s="44">
        <v>1</v>
      </c>
      <c r="N16" s="44">
        <v>1</v>
      </c>
      <c r="O16" s="44">
        <v>1</v>
      </c>
      <c r="P16" s="44">
        <v>1</v>
      </c>
      <c r="Q16" s="44">
        <v>1</v>
      </c>
      <c r="R16" s="44">
        <v>1</v>
      </c>
      <c r="S16" s="44">
        <v>1</v>
      </c>
      <c r="T16" s="44">
        <v>1</v>
      </c>
      <c r="U16" s="44"/>
      <c r="V16" s="44"/>
      <c r="W16" s="44"/>
      <c r="X16" s="44"/>
      <c r="Y16" s="44"/>
      <c r="Z16" s="44"/>
      <c r="AA16" s="44"/>
      <c r="AB16" s="44"/>
      <c r="AC16" s="44"/>
      <c r="AD16" s="44"/>
      <c r="AE16" s="44"/>
      <c r="AF16" s="44"/>
      <c r="AG16" s="44"/>
      <c r="AH16" s="44"/>
      <c r="AI16" s="45">
        <f t="shared" ref="AI16:AI17" si="1">SUM(L16:Z16)</f>
        <v>9</v>
      </c>
      <c r="AJ16" s="26"/>
      <c r="AK16" s="19"/>
      <c r="AL16" s="19"/>
    </row>
    <row r="17" spans="1:38" ht="16.5" hidden="1" customHeight="1">
      <c r="A17" s="19"/>
      <c r="B17" s="25"/>
      <c r="C17" s="50" t="s">
        <v>49</v>
      </c>
      <c r="D17" s="383"/>
      <c r="E17" s="57"/>
      <c r="F17" s="57"/>
      <c r="G17" s="57"/>
      <c r="H17" s="59"/>
      <c r="I17" s="59"/>
      <c r="J17" s="59"/>
      <c r="K17" s="59"/>
      <c r="L17" s="44"/>
      <c r="M17" s="44"/>
      <c r="N17" s="44"/>
      <c r="O17" s="44"/>
      <c r="P17" s="44"/>
      <c r="Q17" s="44"/>
      <c r="R17" s="44"/>
      <c r="S17" s="44"/>
      <c r="T17" s="44"/>
      <c r="U17" s="44"/>
      <c r="V17" s="44"/>
      <c r="W17" s="44"/>
      <c r="X17" s="44"/>
      <c r="Y17" s="44"/>
      <c r="Z17" s="44"/>
      <c r="AA17" s="44"/>
      <c r="AB17" s="44"/>
      <c r="AC17" s="44"/>
      <c r="AD17" s="44"/>
      <c r="AE17" s="44"/>
      <c r="AF17" s="44"/>
      <c r="AG17" s="44"/>
      <c r="AH17" s="44"/>
      <c r="AI17" s="45">
        <f t="shared" si="1"/>
        <v>0</v>
      </c>
      <c r="AJ17" s="26"/>
      <c r="AK17" s="19"/>
      <c r="AL17" s="19"/>
    </row>
    <row r="18" spans="1:38" ht="16.5" hidden="1" customHeight="1">
      <c r="A18" s="19"/>
      <c r="B18" s="25"/>
      <c r="C18" s="50" t="s">
        <v>49</v>
      </c>
      <c r="D18" s="383"/>
      <c r="E18" s="57"/>
      <c r="F18" s="57"/>
      <c r="G18" s="57"/>
      <c r="H18" s="59"/>
      <c r="I18" s="59"/>
      <c r="J18" s="59"/>
      <c r="K18" s="59"/>
      <c r="L18" s="44"/>
      <c r="M18" s="44"/>
      <c r="N18" s="44"/>
      <c r="O18" s="44"/>
      <c r="P18" s="44"/>
      <c r="Q18" s="44"/>
      <c r="R18" s="44"/>
      <c r="S18" s="44"/>
      <c r="T18" s="44"/>
      <c r="U18" s="44"/>
      <c r="V18" s="44"/>
      <c r="W18" s="44"/>
      <c r="X18" s="44"/>
      <c r="Y18" s="44"/>
      <c r="Z18" s="44"/>
      <c r="AA18" s="44"/>
      <c r="AB18" s="44"/>
      <c r="AC18" s="44"/>
      <c r="AD18" s="44"/>
      <c r="AE18" s="44"/>
      <c r="AF18" s="44"/>
      <c r="AG18" s="44"/>
      <c r="AH18" s="44"/>
      <c r="AI18" s="45">
        <f t="shared" ref="AI18:AI22" si="2">SUM(L18:AH18)</f>
        <v>0</v>
      </c>
      <c r="AJ18" s="26"/>
      <c r="AK18" s="19"/>
      <c r="AL18" s="19"/>
    </row>
    <row r="19" spans="1:38" ht="16.5" hidden="1" customHeight="1">
      <c r="A19" s="19"/>
      <c r="B19" s="25"/>
      <c r="C19" s="50" t="s">
        <v>49</v>
      </c>
      <c r="D19" s="384"/>
      <c r="E19" s="57"/>
      <c r="F19" s="57"/>
      <c r="G19" s="57"/>
      <c r="H19" s="59"/>
      <c r="I19" s="59"/>
      <c r="J19" s="59"/>
      <c r="K19" s="59"/>
      <c r="L19" s="44"/>
      <c r="M19" s="44"/>
      <c r="N19" s="44"/>
      <c r="O19" s="44"/>
      <c r="P19" s="44"/>
      <c r="Q19" s="44"/>
      <c r="R19" s="44"/>
      <c r="S19" s="44"/>
      <c r="T19" s="44"/>
      <c r="U19" s="44"/>
      <c r="V19" s="44"/>
      <c r="W19" s="44"/>
      <c r="X19" s="44"/>
      <c r="Y19" s="44"/>
      <c r="Z19" s="44"/>
      <c r="AA19" s="44"/>
      <c r="AB19" s="44"/>
      <c r="AC19" s="44"/>
      <c r="AD19" s="44"/>
      <c r="AE19" s="44"/>
      <c r="AF19" s="44"/>
      <c r="AG19" s="44"/>
      <c r="AH19" s="44"/>
      <c r="AI19" s="45">
        <f t="shared" si="2"/>
        <v>0</v>
      </c>
      <c r="AJ19" s="26"/>
      <c r="AK19" s="19"/>
      <c r="AL19" s="19"/>
    </row>
    <row r="20" spans="1:38" ht="16.5" hidden="1" customHeight="1">
      <c r="A20" s="19"/>
      <c r="B20" s="25"/>
      <c r="C20" s="50" t="s">
        <v>49</v>
      </c>
      <c r="D20" s="385"/>
      <c r="E20" s="57"/>
      <c r="F20" s="57"/>
      <c r="G20" s="57"/>
      <c r="H20" s="59"/>
      <c r="I20" s="59"/>
      <c r="J20" s="59"/>
      <c r="K20" s="59"/>
      <c r="L20" s="44"/>
      <c r="M20" s="44"/>
      <c r="N20" s="44"/>
      <c r="O20" s="44"/>
      <c r="P20" s="44"/>
      <c r="Q20" s="44"/>
      <c r="R20" s="44"/>
      <c r="S20" s="44"/>
      <c r="T20" s="44"/>
      <c r="U20" s="44"/>
      <c r="V20" s="44"/>
      <c r="W20" s="44"/>
      <c r="X20" s="44"/>
      <c r="Y20" s="44"/>
      <c r="Z20" s="44"/>
      <c r="AA20" s="44"/>
      <c r="AB20" s="44"/>
      <c r="AC20" s="44"/>
      <c r="AD20" s="44"/>
      <c r="AE20" s="44"/>
      <c r="AF20" s="44"/>
      <c r="AG20" s="44"/>
      <c r="AH20" s="44"/>
      <c r="AI20" s="45">
        <f t="shared" si="2"/>
        <v>0</v>
      </c>
      <c r="AJ20" s="26"/>
      <c r="AK20" s="19"/>
    </row>
    <row r="21" spans="1:38" ht="16.5" hidden="1" customHeight="1">
      <c r="A21" s="19"/>
      <c r="B21" s="25"/>
      <c r="C21" s="50" t="s">
        <v>49</v>
      </c>
      <c r="D21" s="383"/>
      <c r="E21" s="57"/>
      <c r="F21" s="57"/>
      <c r="G21" s="57"/>
      <c r="H21" s="59"/>
      <c r="I21" s="59"/>
      <c r="J21" s="59"/>
      <c r="K21" s="59"/>
      <c r="L21" s="44"/>
      <c r="M21" s="44"/>
      <c r="N21" s="44"/>
      <c r="O21" s="44"/>
      <c r="P21" s="44"/>
      <c r="Q21" s="44"/>
      <c r="R21" s="44"/>
      <c r="S21" s="44"/>
      <c r="T21" s="44"/>
      <c r="U21" s="44"/>
      <c r="V21" s="44"/>
      <c r="W21" s="44"/>
      <c r="X21" s="44"/>
      <c r="Y21" s="44"/>
      <c r="Z21" s="44"/>
      <c r="AA21" s="44"/>
      <c r="AB21" s="44"/>
      <c r="AC21" s="44"/>
      <c r="AD21" s="44"/>
      <c r="AE21" s="44"/>
      <c r="AF21" s="44"/>
      <c r="AG21" s="44"/>
      <c r="AH21" s="44"/>
      <c r="AI21" s="45">
        <f t="shared" si="2"/>
        <v>0</v>
      </c>
      <c r="AJ21" s="26"/>
      <c r="AK21" s="19"/>
    </row>
    <row r="22" spans="1:38" ht="16.5" hidden="1" customHeight="1">
      <c r="A22" s="19"/>
      <c r="B22" s="25"/>
      <c r="C22" s="50" t="s">
        <v>49</v>
      </c>
      <c r="D22" s="384"/>
      <c r="E22" s="57"/>
      <c r="F22" s="57"/>
      <c r="G22" s="57"/>
      <c r="H22" s="59"/>
      <c r="I22" s="59"/>
      <c r="J22" s="59"/>
      <c r="K22" s="59"/>
      <c r="L22" s="44"/>
      <c r="M22" s="44"/>
      <c r="N22" s="44"/>
      <c r="O22" s="44"/>
      <c r="P22" s="44"/>
      <c r="Q22" s="44"/>
      <c r="R22" s="44"/>
      <c r="S22" s="44"/>
      <c r="T22" s="44"/>
      <c r="U22" s="44"/>
      <c r="V22" s="44"/>
      <c r="W22" s="44"/>
      <c r="X22" s="44"/>
      <c r="Y22" s="44"/>
      <c r="Z22" s="44"/>
      <c r="AA22" s="44"/>
      <c r="AB22" s="44"/>
      <c r="AC22" s="44"/>
      <c r="AD22" s="44"/>
      <c r="AE22" s="44"/>
      <c r="AF22" s="44"/>
      <c r="AG22" s="44"/>
      <c r="AH22" s="44"/>
      <c r="AI22" s="45">
        <f t="shared" si="2"/>
        <v>0</v>
      </c>
      <c r="AJ22" s="26"/>
      <c r="AK22" s="19"/>
    </row>
    <row r="23" spans="1:38" ht="16.5" customHeight="1">
      <c r="A23" s="19"/>
      <c r="B23" s="25"/>
      <c r="C23" s="61" t="s">
        <v>49</v>
      </c>
      <c r="D23" s="104" t="s">
        <v>60</v>
      </c>
      <c r="E23" s="66"/>
      <c r="F23" s="66"/>
      <c r="G23" s="66"/>
      <c r="H23" s="66"/>
      <c r="I23" s="66" t="s">
        <v>61</v>
      </c>
      <c r="J23" s="67"/>
      <c r="K23" s="67"/>
      <c r="L23" s="68">
        <f t="shared" ref="L23:Z23" si="3">SUM(L7:L22)</f>
        <v>6.5</v>
      </c>
      <c r="M23" s="68">
        <f t="shared" si="3"/>
        <v>9.5</v>
      </c>
      <c r="N23" s="68">
        <f t="shared" si="3"/>
        <v>10</v>
      </c>
      <c r="O23" s="68">
        <f t="shared" si="3"/>
        <v>10</v>
      </c>
      <c r="P23" s="68">
        <f t="shared" si="3"/>
        <v>10</v>
      </c>
      <c r="Q23" s="68">
        <f t="shared" si="3"/>
        <v>10</v>
      </c>
      <c r="R23" s="68">
        <f t="shared" si="3"/>
        <v>10</v>
      </c>
      <c r="S23" s="68">
        <f t="shared" si="3"/>
        <v>8.5</v>
      </c>
      <c r="T23" s="68">
        <f t="shared" si="3"/>
        <v>8</v>
      </c>
      <c r="U23" s="68">
        <f t="shared" si="3"/>
        <v>6</v>
      </c>
      <c r="V23" s="68">
        <f t="shared" si="3"/>
        <v>3.5</v>
      </c>
      <c r="W23" s="68">
        <f t="shared" si="3"/>
        <v>2</v>
      </c>
      <c r="X23" s="68">
        <f t="shared" si="3"/>
        <v>2</v>
      </c>
      <c r="Y23" s="68">
        <f t="shared" si="3"/>
        <v>2</v>
      </c>
      <c r="Z23" s="68">
        <f t="shared" si="3"/>
        <v>1</v>
      </c>
      <c r="AA23" s="68"/>
      <c r="AB23" s="68"/>
      <c r="AC23" s="68"/>
      <c r="AD23" s="68"/>
      <c r="AE23" s="68"/>
      <c r="AF23" s="68"/>
      <c r="AG23" s="68"/>
      <c r="AH23" s="68"/>
      <c r="AI23" s="69">
        <f>SUM(AI7:AI22)</f>
        <v>99</v>
      </c>
      <c r="AJ23" s="26"/>
      <c r="AK23" s="19"/>
    </row>
    <row r="24" spans="1:38" ht="4.5" customHeight="1">
      <c r="A24" s="70"/>
      <c r="B24" s="71"/>
      <c r="C24" s="72"/>
      <c r="D24" s="73"/>
      <c r="E24" s="74"/>
      <c r="F24" s="74"/>
      <c r="G24" s="74"/>
      <c r="H24" s="76"/>
      <c r="I24" s="76"/>
      <c r="J24" s="76"/>
      <c r="K24" s="76"/>
      <c r="L24" s="74"/>
      <c r="M24" s="74"/>
      <c r="N24" s="74"/>
      <c r="O24" s="74"/>
      <c r="P24" s="74"/>
      <c r="Q24" s="74"/>
      <c r="R24" s="74"/>
      <c r="S24" s="74"/>
      <c r="T24" s="74"/>
      <c r="U24" s="74"/>
      <c r="V24" s="74"/>
      <c r="W24" s="74"/>
      <c r="X24" s="74"/>
      <c r="Y24" s="74"/>
      <c r="Z24" s="74"/>
      <c r="AA24" s="74"/>
      <c r="AB24" s="74"/>
      <c r="AC24" s="74"/>
      <c r="AD24" s="74"/>
      <c r="AE24" s="74"/>
      <c r="AF24" s="74"/>
      <c r="AG24" s="74"/>
      <c r="AH24" s="74"/>
      <c r="AI24" s="74"/>
      <c r="AJ24" s="78"/>
      <c r="AK24" s="70"/>
    </row>
    <row r="25" spans="1:38" ht="16.5" customHeight="1">
      <c r="A25" s="19"/>
      <c r="B25" s="25"/>
      <c r="C25" s="38" t="s">
        <v>62</v>
      </c>
      <c r="D25" s="79" t="s">
        <v>54</v>
      </c>
      <c r="E25" s="51" t="s">
        <v>57</v>
      </c>
      <c r="F25" s="51" t="s">
        <v>6</v>
      </c>
      <c r="G25" s="105" t="s">
        <v>56</v>
      </c>
      <c r="H25" s="53">
        <v>45726</v>
      </c>
      <c r="I25" s="53">
        <v>46127</v>
      </c>
      <c r="J25" s="53"/>
      <c r="K25" s="53"/>
      <c r="L25" s="55"/>
      <c r="M25" s="55">
        <v>0.75</v>
      </c>
      <c r="N25" s="55">
        <v>1</v>
      </c>
      <c r="O25" s="55">
        <v>1</v>
      </c>
      <c r="P25" s="55">
        <v>1</v>
      </c>
      <c r="Q25" s="55">
        <v>1</v>
      </c>
      <c r="R25" s="55">
        <v>1</v>
      </c>
      <c r="S25" s="55">
        <v>1</v>
      </c>
      <c r="T25" s="55">
        <v>1</v>
      </c>
      <c r="U25" s="55">
        <v>1</v>
      </c>
      <c r="V25" s="55">
        <v>1</v>
      </c>
      <c r="W25" s="55">
        <v>1</v>
      </c>
      <c r="X25" s="55">
        <v>1</v>
      </c>
      <c r="Y25" s="55">
        <v>1</v>
      </c>
      <c r="Z25" s="55">
        <v>0.5</v>
      </c>
      <c r="AA25" s="44"/>
      <c r="AB25" s="44"/>
      <c r="AC25" s="44"/>
      <c r="AD25" s="44"/>
      <c r="AE25" s="44"/>
      <c r="AF25" s="44"/>
      <c r="AG25" s="44"/>
      <c r="AH25" s="44"/>
      <c r="AI25" s="45">
        <f t="shared" ref="AI25:AI31" si="4">SUM(L25:AH25)</f>
        <v>13.25</v>
      </c>
      <c r="AJ25" s="26"/>
      <c r="AK25" s="19"/>
    </row>
    <row r="26" spans="1:38" ht="16.5" customHeight="1">
      <c r="A26" s="19"/>
      <c r="B26" s="25"/>
      <c r="C26" s="47"/>
      <c r="D26" s="382" t="s">
        <v>63</v>
      </c>
      <c r="E26" s="51" t="s">
        <v>57</v>
      </c>
      <c r="F26" s="51" t="s">
        <v>10</v>
      </c>
      <c r="G26" s="105" t="s">
        <v>56</v>
      </c>
      <c r="H26" s="53">
        <v>45726</v>
      </c>
      <c r="I26" s="53">
        <v>46127</v>
      </c>
      <c r="J26" s="53"/>
      <c r="K26" s="53"/>
      <c r="L26" s="55"/>
      <c r="M26" s="55">
        <v>0.75</v>
      </c>
      <c r="N26" s="55">
        <v>1</v>
      </c>
      <c r="O26" s="55">
        <v>1</v>
      </c>
      <c r="P26" s="55">
        <v>1</v>
      </c>
      <c r="Q26" s="55">
        <v>1</v>
      </c>
      <c r="R26" s="55">
        <v>1</v>
      </c>
      <c r="S26" s="55">
        <v>1</v>
      </c>
      <c r="T26" s="55">
        <v>1</v>
      </c>
      <c r="U26" s="55">
        <v>1</v>
      </c>
      <c r="V26" s="55">
        <v>1</v>
      </c>
      <c r="W26" s="55">
        <v>1</v>
      </c>
      <c r="X26" s="55">
        <v>1</v>
      </c>
      <c r="Y26" s="55">
        <v>1</v>
      </c>
      <c r="Z26" s="55">
        <v>0.5</v>
      </c>
      <c r="AA26" s="44"/>
      <c r="AB26" s="44"/>
      <c r="AC26" s="44"/>
      <c r="AD26" s="44"/>
      <c r="AE26" s="44"/>
      <c r="AF26" s="44"/>
      <c r="AG26" s="44"/>
      <c r="AH26" s="44"/>
      <c r="AI26" s="45">
        <f t="shared" si="4"/>
        <v>13.25</v>
      </c>
      <c r="AJ26" s="26"/>
      <c r="AK26" s="19"/>
    </row>
    <row r="27" spans="1:38" ht="16.5" customHeight="1">
      <c r="A27" s="19"/>
      <c r="B27" s="25"/>
      <c r="C27" s="47"/>
      <c r="D27" s="383"/>
      <c r="E27" s="51" t="s">
        <v>57</v>
      </c>
      <c r="F27" s="51" t="s">
        <v>22</v>
      </c>
      <c r="G27" s="51" t="s">
        <v>51</v>
      </c>
      <c r="H27" s="53">
        <v>45748</v>
      </c>
      <c r="I27" s="53">
        <v>46066</v>
      </c>
      <c r="J27" s="53"/>
      <c r="K27" s="53"/>
      <c r="L27" s="55"/>
      <c r="M27" s="55"/>
      <c r="N27" s="55">
        <v>1</v>
      </c>
      <c r="O27" s="55">
        <v>1</v>
      </c>
      <c r="P27" s="55">
        <v>1</v>
      </c>
      <c r="Q27" s="55">
        <v>1</v>
      </c>
      <c r="R27" s="55">
        <v>1</v>
      </c>
      <c r="S27" s="55">
        <v>1</v>
      </c>
      <c r="T27" s="55">
        <v>1</v>
      </c>
      <c r="U27" s="55">
        <v>1</v>
      </c>
      <c r="V27" s="55">
        <v>1</v>
      </c>
      <c r="W27" s="55">
        <v>1</v>
      </c>
      <c r="X27" s="55">
        <v>0.5</v>
      </c>
      <c r="Y27" s="55"/>
      <c r="Z27" s="55"/>
      <c r="AA27" s="44"/>
      <c r="AB27" s="44"/>
      <c r="AC27" s="44"/>
      <c r="AD27" s="44"/>
      <c r="AE27" s="44"/>
      <c r="AF27" s="44"/>
      <c r="AG27" s="44"/>
      <c r="AH27" s="44"/>
      <c r="AI27" s="45">
        <f t="shared" si="4"/>
        <v>10.5</v>
      </c>
      <c r="AJ27" s="26"/>
      <c r="AK27" s="19"/>
    </row>
    <row r="28" spans="1:38" ht="16.5" customHeight="1">
      <c r="A28" s="19"/>
      <c r="B28" s="25"/>
      <c r="C28" s="50" t="s">
        <v>62</v>
      </c>
      <c r="D28" s="383"/>
      <c r="E28" s="57" t="s">
        <v>59</v>
      </c>
      <c r="F28" s="57" t="s">
        <v>14</v>
      </c>
      <c r="G28" s="103" t="s">
        <v>56</v>
      </c>
      <c r="H28" s="59">
        <v>45726</v>
      </c>
      <c r="I28" s="59">
        <v>46127</v>
      </c>
      <c r="J28" s="59"/>
      <c r="K28" s="59"/>
      <c r="L28" s="44"/>
      <c r="M28" s="44">
        <v>0.75</v>
      </c>
      <c r="N28" s="44">
        <v>1</v>
      </c>
      <c r="O28" s="44">
        <v>1</v>
      </c>
      <c r="P28" s="44">
        <v>1</v>
      </c>
      <c r="Q28" s="44">
        <v>1</v>
      </c>
      <c r="R28" s="44">
        <v>1</v>
      </c>
      <c r="S28" s="44">
        <v>1</v>
      </c>
      <c r="T28" s="44">
        <v>1</v>
      </c>
      <c r="U28" s="44">
        <v>1</v>
      </c>
      <c r="V28" s="44">
        <v>1</v>
      </c>
      <c r="W28" s="44">
        <v>1</v>
      </c>
      <c r="X28" s="44">
        <v>1</v>
      </c>
      <c r="Y28" s="44">
        <v>1</v>
      </c>
      <c r="Z28" s="44">
        <v>0.5</v>
      </c>
      <c r="AA28" s="44"/>
      <c r="AB28" s="44"/>
      <c r="AC28" s="44"/>
      <c r="AD28" s="44"/>
      <c r="AE28" s="44"/>
      <c r="AF28" s="44"/>
      <c r="AG28" s="44"/>
      <c r="AH28" s="44"/>
      <c r="AI28" s="45">
        <f t="shared" si="4"/>
        <v>13.25</v>
      </c>
      <c r="AJ28" s="26"/>
      <c r="AK28" s="19"/>
    </row>
    <row r="29" spans="1:38" ht="16.5" customHeight="1">
      <c r="A29" s="19"/>
      <c r="B29" s="25"/>
      <c r="C29" s="50" t="s">
        <v>62</v>
      </c>
      <c r="D29" s="383"/>
      <c r="E29" s="57" t="s">
        <v>59</v>
      </c>
      <c r="F29" s="57" t="s">
        <v>7</v>
      </c>
      <c r="G29" s="103" t="s">
        <v>56</v>
      </c>
      <c r="H29" s="59">
        <v>45748</v>
      </c>
      <c r="I29" s="59">
        <v>45961</v>
      </c>
      <c r="J29" s="59"/>
      <c r="K29" s="59"/>
      <c r="L29" s="44"/>
      <c r="M29" s="44"/>
      <c r="N29" s="44">
        <v>1</v>
      </c>
      <c r="O29" s="44">
        <v>1</v>
      </c>
      <c r="P29" s="44">
        <v>1</v>
      </c>
      <c r="Q29" s="44">
        <v>1</v>
      </c>
      <c r="R29" s="44">
        <v>1</v>
      </c>
      <c r="S29" s="44">
        <v>1</v>
      </c>
      <c r="T29" s="44">
        <v>1</v>
      </c>
      <c r="U29" s="44"/>
      <c r="V29" s="44"/>
      <c r="W29" s="44"/>
      <c r="X29" s="44"/>
      <c r="Y29" s="44"/>
      <c r="Z29" s="44"/>
      <c r="AA29" s="44"/>
      <c r="AB29" s="44"/>
      <c r="AC29" s="44"/>
      <c r="AD29" s="44"/>
      <c r="AE29" s="44"/>
      <c r="AF29" s="44"/>
      <c r="AG29" s="44"/>
      <c r="AH29" s="44"/>
      <c r="AI29" s="45">
        <f t="shared" si="4"/>
        <v>7</v>
      </c>
      <c r="AJ29" s="26"/>
      <c r="AK29" s="19"/>
    </row>
    <row r="30" spans="1:38" ht="16.5" customHeight="1">
      <c r="A30" s="19"/>
      <c r="B30" s="25"/>
      <c r="C30" s="50" t="s">
        <v>62</v>
      </c>
      <c r="D30" s="383"/>
      <c r="E30" s="57" t="s">
        <v>59</v>
      </c>
      <c r="F30" s="57" t="s">
        <v>18</v>
      </c>
      <c r="G30" s="103" t="s">
        <v>56</v>
      </c>
      <c r="H30" s="59">
        <v>45726</v>
      </c>
      <c r="I30" s="59">
        <v>45989</v>
      </c>
      <c r="J30" s="59"/>
      <c r="K30" s="59"/>
      <c r="L30" s="44"/>
      <c r="M30" s="44">
        <v>0.75</v>
      </c>
      <c r="N30" s="44">
        <v>1</v>
      </c>
      <c r="O30" s="44">
        <v>1</v>
      </c>
      <c r="P30" s="44">
        <v>1</v>
      </c>
      <c r="Q30" s="44">
        <v>1</v>
      </c>
      <c r="R30" s="44">
        <v>1</v>
      </c>
      <c r="S30" s="44">
        <v>1</v>
      </c>
      <c r="T30" s="44">
        <v>1</v>
      </c>
      <c r="U30" s="44">
        <v>1</v>
      </c>
      <c r="V30" s="44"/>
      <c r="W30" s="44"/>
      <c r="X30" s="44"/>
      <c r="Y30" s="44"/>
      <c r="Z30" s="44"/>
      <c r="AA30" s="44"/>
      <c r="AB30" s="44"/>
      <c r="AC30" s="44"/>
      <c r="AD30" s="44"/>
      <c r="AE30" s="44"/>
      <c r="AF30" s="44"/>
      <c r="AG30" s="44"/>
      <c r="AH30" s="44"/>
      <c r="AI30" s="45">
        <f t="shared" si="4"/>
        <v>8.75</v>
      </c>
      <c r="AJ30" s="26"/>
      <c r="AK30" s="19"/>
    </row>
    <row r="31" spans="1:38" ht="16.5" customHeight="1">
      <c r="A31" s="19"/>
      <c r="B31" s="25"/>
      <c r="C31" s="50" t="s">
        <v>62</v>
      </c>
      <c r="D31" s="384"/>
      <c r="E31" s="57" t="s">
        <v>59</v>
      </c>
      <c r="F31" s="57" t="s">
        <v>11</v>
      </c>
      <c r="G31" s="103" t="s">
        <v>56</v>
      </c>
      <c r="H31" s="59">
        <v>45748</v>
      </c>
      <c r="I31" s="59">
        <v>45961</v>
      </c>
      <c r="J31" s="59"/>
      <c r="K31" s="59"/>
      <c r="L31" s="44"/>
      <c r="M31" s="44"/>
      <c r="N31" s="44">
        <v>1</v>
      </c>
      <c r="O31" s="44">
        <v>1</v>
      </c>
      <c r="P31" s="44">
        <v>1</v>
      </c>
      <c r="Q31" s="44">
        <v>1</v>
      </c>
      <c r="R31" s="44">
        <v>1</v>
      </c>
      <c r="S31" s="44">
        <v>1</v>
      </c>
      <c r="T31" s="44">
        <v>1</v>
      </c>
      <c r="U31" s="81"/>
      <c r="V31" s="44"/>
      <c r="W31" s="44"/>
      <c r="X31" s="44"/>
      <c r="Y31" s="44"/>
      <c r="Z31" s="44"/>
      <c r="AA31" s="44"/>
      <c r="AB31" s="44"/>
      <c r="AC31" s="44"/>
      <c r="AD31" s="44"/>
      <c r="AE31" s="44"/>
      <c r="AF31" s="44"/>
      <c r="AG31" s="44"/>
      <c r="AH31" s="44"/>
      <c r="AI31" s="45">
        <f t="shared" si="4"/>
        <v>7</v>
      </c>
      <c r="AJ31" s="26"/>
      <c r="AK31" s="19"/>
    </row>
    <row r="32" spans="1:38" ht="16.5" hidden="1" customHeight="1">
      <c r="A32" s="19"/>
      <c r="B32" s="25"/>
      <c r="C32" s="50" t="s">
        <v>62</v>
      </c>
      <c r="D32" s="385"/>
      <c r="E32" s="57" t="s">
        <v>51</v>
      </c>
      <c r="F32" s="57"/>
      <c r="G32" s="60"/>
      <c r="H32" s="59"/>
      <c r="I32" s="59"/>
      <c r="J32" s="59"/>
      <c r="K32" s="59"/>
      <c r="L32" s="44"/>
      <c r="M32" s="44"/>
      <c r="N32" s="44"/>
      <c r="O32" s="44"/>
      <c r="P32" s="44"/>
      <c r="Q32" s="44"/>
      <c r="R32" s="44"/>
      <c r="S32" s="44"/>
      <c r="T32" s="44"/>
      <c r="U32" s="44"/>
      <c r="V32" s="44"/>
      <c r="W32" s="44"/>
      <c r="X32" s="44"/>
      <c r="Y32" s="44"/>
      <c r="Z32" s="44"/>
      <c r="AA32" s="44"/>
      <c r="AB32" s="44"/>
      <c r="AC32" s="44"/>
      <c r="AD32" s="44"/>
      <c r="AE32" s="44"/>
      <c r="AF32" s="44"/>
      <c r="AG32" s="44"/>
      <c r="AH32" s="44"/>
      <c r="AI32" s="45">
        <v>0</v>
      </c>
      <c r="AJ32" s="26"/>
      <c r="AK32" s="19"/>
    </row>
    <row r="33" spans="1:37" ht="16.5" hidden="1" customHeight="1">
      <c r="A33" s="19"/>
      <c r="B33" s="25"/>
      <c r="C33" s="50" t="s">
        <v>62</v>
      </c>
      <c r="D33" s="383"/>
      <c r="E33" s="57" t="s">
        <v>57</v>
      </c>
      <c r="F33" s="57"/>
      <c r="G33" s="60"/>
      <c r="H33" s="59"/>
      <c r="I33" s="59"/>
      <c r="J33" s="59"/>
      <c r="K33" s="59"/>
      <c r="L33" s="44"/>
      <c r="M33" s="44"/>
      <c r="N33" s="44"/>
      <c r="O33" s="44"/>
      <c r="P33" s="44"/>
      <c r="Q33" s="44"/>
      <c r="R33" s="44"/>
      <c r="S33" s="44"/>
      <c r="T33" s="44"/>
      <c r="U33" s="44"/>
      <c r="V33" s="44"/>
      <c r="W33" s="44"/>
      <c r="X33" s="44"/>
      <c r="Y33" s="44"/>
      <c r="Z33" s="44"/>
      <c r="AA33" s="44"/>
      <c r="AB33" s="44"/>
      <c r="AC33" s="44"/>
      <c r="AD33" s="44"/>
      <c r="AE33" s="44"/>
      <c r="AF33" s="44"/>
      <c r="AG33" s="44"/>
      <c r="AH33" s="44"/>
      <c r="AI33" s="45">
        <v>0</v>
      </c>
      <c r="AJ33" s="26"/>
      <c r="AK33" s="19"/>
    </row>
    <row r="34" spans="1:37" ht="16.5" hidden="1" customHeight="1">
      <c r="A34" s="19"/>
      <c r="B34" s="25"/>
      <c r="C34" s="50" t="s">
        <v>62</v>
      </c>
      <c r="D34" s="384"/>
      <c r="E34" s="57" t="s">
        <v>59</v>
      </c>
      <c r="F34" s="57"/>
      <c r="G34" s="60"/>
      <c r="H34" s="59"/>
      <c r="I34" s="59"/>
      <c r="J34" s="59"/>
      <c r="K34" s="59"/>
      <c r="L34" s="44"/>
      <c r="M34" s="44"/>
      <c r="N34" s="44"/>
      <c r="O34" s="44"/>
      <c r="P34" s="44"/>
      <c r="Q34" s="44"/>
      <c r="R34" s="44"/>
      <c r="S34" s="44"/>
      <c r="T34" s="44"/>
      <c r="U34" s="44"/>
      <c r="V34" s="44"/>
      <c r="W34" s="44"/>
      <c r="X34" s="44"/>
      <c r="Y34" s="44"/>
      <c r="Z34" s="44"/>
      <c r="AA34" s="44"/>
      <c r="AB34" s="44"/>
      <c r="AC34" s="44"/>
      <c r="AD34" s="44"/>
      <c r="AE34" s="44"/>
      <c r="AF34" s="44"/>
      <c r="AG34" s="44"/>
      <c r="AH34" s="44"/>
      <c r="AI34" s="45">
        <v>0</v>
      </c>
      <c r="AJ34" s="26"/>
      <c r="AK34" s="19"/>
    </row>
    <row r="35" spans="1:37" ht="16.5" hidden="1" customHeight="1">
      <c r="A35" s="19"/>
      <c r="B35" s="25"/>
      <c r="C35" s="50" t="s">
        <v>62</v>
      </c>
      <c r="D35" s="385"/>
      <c r="E35" s="57" t="s">
        <v>51</v>
      </c>
      <c r="F35" s="57"/>
      <c r="G35" s="60"/>
      <c r="H35" s="59"/>
      <c r="I35" s="59"/>
      <c r="J35" s="59"/>
      <c r="K35" s="59"/>
      <c r="L35" s="44"/>
      <c r="M35" s="44"/>
      <c r="N35" s="44"/>
      <c r="O35" s="44"/>
      <c r="P35" s="44"/>
      <c r="Q35" s="44"/>
      <c r="R35" s="44"/>
      <c r="S35" s="44"/>
      <c r="T35" s="44"/>
      <c r="U35" s="44"/>
      <c r="V35" s="44"/>
      <c r="W35" s="44"/>
      <c r="X35" s="44"/>
      <c r="Y35" s="44"/>
      <c r="Z35" s="44"/>
      <c r="AA35" s="44"/>
      <c r="AB35" s="44"/>
      <c r="AC35" s="44"/>
      <c r="AD35" s="44"/>
      <c r="AE35" s="44"/>
      <c r="AF35" s="44"/>
      <c r="AG35" s="44"/>
      <c r="AH35" s="44"/>
      <c r="AI35" s="45">
        <v>0</v>
      </c>
      <c r="AJ35" s="26"/>
      <c r="AK35" s="19"/>
    </row>
    <row r="36" spans="1:37" ht="16.5" hidden="1" customHeight="1">
      <c r="A36" s="19"/>
      <c r="B36" s="25"/>
      <c r="C36" s="50" t="s">
        <v>62</v>
      </c>
      <c r="D36" s="383"/>
      <c r="E36" s="57" t="s">
        <v>57</v>
      </c>
      <c r="F36" s="57"/>
      <c r="G36" s="60"/>
      <c r="H36" s="59"/>
      <c r="I36" s="59"/>
      <c r="J36" s="59"/>
      <c r="K36" s="59"/>
      <c r="L36" s="44"/>
      <c r="M36" s="44"/>
      <c r="N36" s="44"/>
      <c r="O36" s="44"/>
      <c r="P36" s="44"/>
      <c r="Q36" s="44"/>
      <c r="R36" s="44"/>
      <c r="S36" s="44"/>
      <c r="T36" s="44"/>
      <c r="U36" s="44"/>
      <c r="V36" s="44"/>
      <c r="W36" s="44"/>
      <c r="X36" s="44"/>
      <c r="Y36" s="44"/>
      <c r="Z36" s="44"/>
      <c r="AA36" s="44"/>
      <c r="AB36" s="44"/>
      <c r="AC36" s="44"/>
      <c r="AD36" s="44"/>
      <c r="AE36" s="44"/>
      <c r="AF36" s="44"/>
      <c r="AG36" s="44"/>
      <c r="AH36" s="44"/>
      <c r="AI36" s="45">
        <v>0</v>
      </c>
      <c r="AJ36" s="26"/>
      <c r="AK36" s="19"/>
    </row>
    <row r="37" spans="1:37" ht="16.5" hidden="1" customHeight="1">
      <c r="A37" s="19"/>
      <c r="B37" s="25"/>
      <c r="C37" s="50" t="s">
        <v>62</v>
      </c>
      <c r="D37" s="384"/>
      <c r="E37" s="57" t="s">
        <v>59</v>
      </c>
      <c r="F37" s="57"/>
      <c r="G37" s="60"/>
      <c r="H37" s="59"/>
      <c r="I37" s="59"/>
      <c r="J37" s="59"/>
      <c r="K37" s="59"/>
      <c r="L37" s="44"/>
      <c r="M37" s="44"/>
      <c r="N37" s="44"/>
      <c r="O37" s="44"/>
      <c r="P37" s="44"/>
      <c r="Q37" s="44"/>
      <c r="R37" s="44"/>
      <c r="S37" s="44"/>
      <c r="T37" s="44"/>
      <c r="U37" s="44"/>
      <c r="V37" s="44"/>
      <c r="W37" s="44"/>
      <c r="X37" s="44"/>
      <c r="Y37" s="44"/>
      <c r="Z37" s="44"/>
      <c r="AA37" s="44"/>
      <c r="AB37" s="44"/>
      <c r="AC37" s="44"/>
      <c r="AD37" s="44"/>
      <c r="AE37" s="44"/>
      <c r="AF37" s="44"/>
      <c r="AG37" s="44"/>
      <c r="AH37" s="44"/>
      <c r="AI37" s="45">
        <v>0</v>
      </c>
      <c r="AJ37" s="26"/>
      <c r="AK37" s="19"/>
    </row>
    <row r="38" spans="1:37" ht="16.5" hidden="1" customHeight="1">
      <c r="A38" s="19"/>
      <c r="B38" s="25"/>
      <c r="C38" s="50" t="s">
        <v>62</v>
      </c>
      <c r="D38" s="386" t="s">
        <v>64</v>
      </c>
      <c r="E38" s="57" t="s">
        <v>51</v>
      </c>
      <c r="F38" s="57"/>
      <c r="G38" s="60"/>
      <c r="H38" s="59"/>
      <c r="I38" s="59"/>
      <c r="J38" s="59"/>
      <c r="K38" s="59"/>
      <c r="L38" s="44"/>
      <c r="M38" s="44"/>
      <c r="N38" s="44"/>
      <c r="O38" s="44"/>
      <c r="P38" s="44"/>
      <c r="Q38" s="44"/>
      <c r="R38" s="44"/>
      <c r="S38" s="44"/>
      <c r="T38" s="44"/>
      <c r="U38" s="44"/>
      <c r="V38" s="44"/>
      <c r="W38" s="44"/>
      <c r="X38" s="44"/>
      <c r="Y38" s="44"/>
      <c r="Z38" s="44"/>
      <c r="AA38" s="44"/>
      <c r="AB38" s="44"/>
      <c r="AC38" s="44"/>
      <c r="AD38" s="44"/>
      <c r="AE38" s="44"/>
      <c r="AF38" s="44"/>
      <c r="AG38" s="44"/>
      <c r="AH38" s="44"/>
      <c r="AI38" s="45">
        <v>0</v>
      </c>
      <c r="AJ38" s="26"/>
      <c r="AK38" s="19"/>
    </row>
    <row r="39" spans="1:37" ht="16.5" hidden="1" customHeight="1">
      <c r="A39" s="19"/>
      <c r="B39" s="25"/>
      <c r="C39" s="50" t="s">
        <v>62</v>
      </c>
      <c r="D39" s="383"/>
      <c r="E39" s="57" t="s">
        <v>57</v>
      </c>
      <c r="F39" s="57"/>
      <c r="G39" s="60"/>
      <c r="H39" s="59"/>
      <c r="I39" s="59"/>
      <c r="J39" s="59"/>
      <c r="K39" s="59"/>
      <c r="L39" s="44"/>
      <c r="M39" s="44"/>
      <c r="N39" s="44"/>
      <c r="O39" s="44"/>
      <c r="P39" s="44"/>
      <c r="Q39" s="44"/>
      <c r="R39" s="44"/>
      <c r="S39" s="44"/>
      <c r="T39" s="44"/>
      <c r="U39" s="44"/>
      <c r="V39" s="44"/>
      <c r="W39" s="44"/>
      <c r="X39" s="44"/>
      <c r="Y39" s="44"/>
      <c r="Z39" s="44"/>
      <c r="AA39" s="44"/>
      <c r="AB39" s="44"/>
      <c r="AC39" s="44"/>
      <c r="AD39" s="44"/>
      <c r="AE39" s="44"/>
      <c r="AF39" s="44"/>
      <c r="AG39" s="44"/>
      <c r="AH39" s="44"/>
      <c r="AI39" s="45">
        <v>0</v>
      </c>
      <c r="AJ39" s="26"/>
      <c r="AK39" s="19"/>
    </row>
    <row r="40" spans="1:37" ht="16.5" hidden="1" customHeight="1">
      <c r="A40" s="19"/>
      <c r="B40" s="25"/>
      <c r="C40" s="50" t="s">
        <v>62</v>
      </c>
      <c r="D40" s="384"/>
      <c r="E40" s="57" t="s">
        <v>59</v>
      </c>
      <c r="F40" s="57"/>
      <c r="G40" s="60"/>
      <c r="H40" s="59"/>
      <c r="I40" s="59"/>
      <c r="J40" s="59"/>
      <c r="K40" s="59"/>
      <c r="L40" s="44"/>
      <c r="M40" s="44"/>
      <c r="N40" s="44"/>
      <c r="O40" s="44"/>
      <c r="P40" s="44"/>
      <c r="Q40" s="44"/>
      <c r="R40" s="44"/>
      <c r="S40" s="44"/>
      <c r="T40" s="44"/>
      <c r="U40" s="44"/>
      <c r="V40" s="44"/>
      <c r="W40" s="44"/>
      <c r="X40" s="44"/>
      <c r="Y40" s="44"/>
      <c r="Z40" s="44"/>
      <c r="AA40" s="44"/>
      <c r="AB40" s="44"/>
      <c r="AC40" s="44"/>
      <c r="AD40" s="44"/>
      <c r="AE40" s="44"/>
      <c r="AF40" s="44"/>
      <c r="AG40" s="44"/>
      <c r="AH40" s="44"/>
      <c r="AI40" s="45">
        <v>0</v>
      </c>
      <c r="AJ40" s="26"/>
      <c r="AK40" s="19"/>
    </row>
    <row r="41" spans="1:37" ht="16.5" customHeight="1">
      <c r="A41" s="19"/>
      <c r="B41" s="25"/>
      <c r="C41" s="61" t="s">
        <v>62</v>
      </c>
      <c r="D41" s="104" t="s">
        <v>60</v>
      </c>
      <c r="E41" s="66"/>
      <c r="F41" s="66"/>
      <c r="G41" s="66" t="s">
        <v>77</v>
      </c>
      <c r="H41" s="66"/>
      <c r="I41" s="66" t="s">
        <v>61</v>
      </c>
      <c r="J41" s="67"/>
      <c r="K41" s="67"/>
      <c r="L41" s="68">
        <f t="shared" ref="L41:Z41" si="5">SUM(L25:L40)</f>
        <v>0</v>
      </c>
      <c r="M41" s="68">
        <f t="shared" si="5"/>
        <v>3</v>
      </c>
      <c r="N41" s="68">
        <f t="shared" si="5"/>
        <v>7</v>
      </c>
      <c r="O41" s="68">
        <f t="shared" si="5"/>
        <v>7</v>
      </c>
      <c r="P41" s="68">
        <f t="shared" si="5"/>
        <v>7</v>
      </c>
      <c r="Q41" s="68">
        <f t="shared" si="5"/>
        <v>7</v>
      </c>
      <c r="R41" s="68">
        <f t="shared" si="5"/>
        <v>7</v>
      </c>
      <c r="S41" s="68">
        <f t="shared" si="5"/>
        <v>7</v>
      </c>
      <c r="T41" s="68">
        <f t="shared" si="5"/>
        <v>7</v>
      </c>
      <c r="U41" s="68">
        <f t="shared" si="5"/>
        <v>5</v>
      </c>
      <c r="V41" s="68">
        <f t="shared" si="5"/>
        <v>4</v>
      </c>
      <c r="W41" s="68">
        <f t="shared" si="5"/>
        <v>4</v>
      </c>
      <c r="X41" s="68">
        <f t="shared" si="5"/>
        <v>3.5</v>
      </c>
      <c r="Y41" s="68">
        <f t="shared" si="5"/>
        <v>3</v>
      </c>
      <c r="Z41" s="68">
        <f t="shared" si="5"/>
        <v>1.5</v>
      </c>
      <c r="AA41" s="68"/>
      <c r="AB41" s="68"/>
      <c r="AC41" s="68"/>
      <c r="AD41" s="68"/>
      <c r="AE41" s="68"/>
      <c r="AF41" s="68"/>
      <c r="AG41" s="68"/>
      <c r="AH41" s="68"/>
      <c r="AI41" s="69">
        <f>SUM(AI25:AI40)</f>
        <v>73</v>
      </c>
      <c r="AJ41" s="26"/>
      <c r="AK41" s="19"/>
    </row>
    <row r="42" spans="1:37" ht="4.5" customHeight="1">
      <c r="A42" s="70"/>
      <c r="B42" s="71"/>
      <c r="C42" s="72"/>
      <c r="D42" s="73"/>
      <c r="E42" s="74"/>
      <c r="F42" s="74"/>
      <c r="G42" s="74"/>
      <c r="H42" s="74"/>
      <c r="I42" s="74"/>
      <c r="J42" s="74"/>
      <c r="K42" s="74"/>
      <c r="L42" s="74"/>
      <c r="M42" s="74"/>
      <c r="N42" s="74"/>
      <c r="O42" s="74"/>
      <c r="P42" s="74"/>
      <c r="Q42" s="74"/>
      <c r="R42" s="74"/>
      <c r="S42" s="74"/>
      <c r="T42" s="74"/>
      <c r="U42" s="74"/>
      <c r="V42" s="74"/>
      <c r="W42" s="74"/>
      <c r="X42" s="74"/>
      <c r="Y42" s="74"/>
      <c r="Z42" s="74"/>
      <c r="AA42" s="74"/>
      <c r="AB42" s="74"/>
      <c r="AC42" s="74"/>
      <c r="AD42" s="74"/>
      <c r="AE42" s="74"/>
      <c r="AF42" s="74"/>
      <c r="AG42" s="74"/>
      <c r="AH42" s="74"/>
      <c r="AI42" s="74"/>
      <c r="AJ42" s="78"/>
      <c r="AK42" s="70"/>
    </row>
    <row r="43" spans="1:37" ht="16.5" customHeight="1">
      <c r="A43" s="19"/>
      <c r="B43" s="25"/>
      <c r="C43" s="387" t="s">
        <v>60</v>
      </c>
      <c r="D43" s="388"/>
      <c r="E43" s="389"/>
      <c r="F43" s="84"/>
      <c r="G43" s="85"/>
      <c r="H43" s="85"/>
      <c r="I43" s="85" t="s">
        <v>65</v>
      </c>
      <c r="J43" s="86"/>
      <c r="K43" s="86"/>
      <c r="L43" s="68">
        <f t="shared" ref="L43:Z43" si="6">L23+L41</f>
        <v>6.5</v>
      </c>
      <c r="M43" s="68">
        <f t="shared" si="6"/>
        <v>12.5</v>
      </c>
      <c r="N43" s="68">
        <f t="shared" si="6"/>
        <v>17</v>
      </c>
      <c r="O43" s="68">
        <f t="shared" si="6"/>
        <v>17</v>
      </c>
      <c r="P43" s="68">
        <f t="shared" si="6"/>
        <v>17</v>
      </c>
      <c r="Q43" s="68">
        <f t="shared" si="6"/>
        <v>17</v>
      </c>
      <c r="R43" s="68">
        <f t="shared" si="6"/>
        <v>17</v>
      </c>
      <c r="S43" s="68">
        <f t="shared" si="6"/>
        <v>15.5</v>
      </c>
      <c r="T43" s="68">
        <f t="shared" si="6"/>
        <v>15</v>
      </c>
      <c r="U43" s="68">
        <f t="shared" si="6"/>
        <v>11</v>
      </c>
      <c r="V43" s="68">
        <f t="shared" si="6"/>
        <v>7.5</v>
      </c>
      <c r="W43" s="68">
        <f t="shared" si="6"/>
        <v>6</v>
      </c>
      <c r="X43" s="68">
        <f t="shared" si="6"/>
        <v>5.5</v>
      </c>
      <c r="Y43" s="68">
        <f t="shared" si="6"/>
        <v>5</v>
      </c>
      <c r="Z43" s="68">
        <f t="shared" si="6"/>
        <v>2.5</v>
      </c>
      <c r="AA43" s="68"/>
      <c r="AB43" s="68"/>
      <c r="AC43" s="68"/>
      <c r="AD43" s="68"/>
      <c r="AE43" s="68"/>
      <c r="AF43" s="68"/>
      <c r="AG43" s="68"/>
      <c r="AH43" s="68"/>
      <c r="AI43" s="69">
        <f>AI23+AI41</f>
        <v>172</v>
      </c>
      <c r="AJ43" s="26"/>
      <c r="AK43" s="19"/>
    </row>
    <row r="44" spans="1:37" ht="16.5" customHeight="1">
      <c r="A44" s="19"/>
      <c r="B44" s="87"/>
      <c r="C44" s="88"/>
      <c r="D44" s="88"/>
      <c r="E44" s="89"/>
      <c r="F44" s="89"/>
      <c r="G44" s="89"/>
      <c r="H44" s="89"/>
      <c r="I44" s="88"/>
      <c r="J44" s="88"/>
      <c r="K44" s="90"/>
      <c r="L44" s="89"/>
      <c r="M44" s="89"/>
      <c r="N44" s="89"/>
      <c r="O44" s="89"/>
      <c r="P44" s="89"/>
      <c r="Q44" s="89"/>
      <c r="R44" s="89"/>
      <c r="S44" s="89"/>
      <c r="T44" s="89"/>
      <c r="U44" s="89"/>
      <c r="V44" s="89"/>
      <c r="W44" s="89"/>
      <c r="X44" s="89"/>
      <c r="Y44" s="89"/>
      <c r="Z44" s="89"/>
      <c r="AA44" s="89"/>
      <c r="AB44" s="89"/>
      <c r="AC44" s="89"/>
      <c r="AD44" s="89"/>
      <c r="AE44" s="89"/>
      <c r="AF44" s="89"/>
      <c r="AG44" s="89"/>
      <c r="AH44" s="89"/>
      <c r="AI44" s="89"/>
      <c r="AJ44" s="91"/>
      <c r="AK44" s="19"/>
    </row>
    <row r="45" spans="1:37" ht="16.5" customHeight="1">
      <c r="C45" s="106" t="s">
        <v>78</v>
      </c>
    </row>
    <row r="46" spans="1:37" ht="16.5" customHeight="1">
      <c r="C46" s="106" t="s">
        <v>79</v>
      </c>
    </row>
    <row r="47" spans="1:37" ht="27.75" customHeight="1">
      <c r="A47" s="19"/>
      <c r="B47" s="19"/>
      <c r="C47" s="19"/>
      <c r="D47" s="19"/>
      <c r="E47" s="20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20"/>
      <c r="R47" s="20"/>
      <c r="S47" s="92" t="s">
        <v>66</v>
      </c>
      <c r="X47" s="92" t="s">
        <v>67</v>
      </c>
      <c r="AJ47" s="19"/>
      <c r="AK47" s="19"/>
    </row>
    <row r="48" spans="1:37" ht="16.5" customHeight="1">
      <c r="A48" s="19"/>
      <c r="B48" s="19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20"/>
      <c r="R48" s="20"/>
      <c r="S48" s="93" t="s">
        <v>68</v>
      </c>
      <c r="T48" s="94" t="s">
        <v>69</v>
      </c>
      <c r="U48" s="93" t="s">
        <v>70</v>
      </c>
      <c r="V48" s="93" t="s">
        <v>60</v>
      </c>
      <c r="W48" s="107" t="s">
        <v>80</v>
      </c>
      <c r="X48" s="400" t="s">
        <v>71</v>
      </c>
      <c r="Y48" s="381"/>
      <c r="Z48" s="95">
        <v>172</v>
      </c>
      <c r="AA48" s="108"/>
      <c r="AB48" s="108"/>
      <c r="AC48" s="108"/>
      <c r="AD48" s="108"/>
      <c r="AE48" s="108"/>
      <c r="AF48" s="108"/>
      <c r="AG48" s="108"/>
      <c r="AH48" s="108"/>
      <c r="AJ48" s="19"/>
      <c r="AK48" s="19"/>
    </row>
    <row r="49" spans="6:34" ht="16.5" customHeight="1"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S49" s="375" t="s">
        <v>53</v>
      </c>
      <c r="T49" s="96" t="s">
        <v>51</v>
      </c>
      <c r="U49" s="95">
        <f>SUMIF($E$7:$E$19,"고급",$AI$7:$AI$19)</f>
        <v>55</v>
      </c>
      <c r="V49" s="378">
        <f>SUM(U49:U51)</f>
        <v>99</v>
      </c>
      <c r="W49" s="107">
        <f>'250117 (제출본-최초)'!$U$46-U49</f>
        <v>0</v>
      </c>
      <c r="X49" s="399" t="s">
        <v>81</v>
      </c>
      <c r="Y49" s="381"/>
      <c r="Z49" s="95">
        <f>204.5-Z48</f>
        <v>32.5</v>
      </c>
      <c r="AA49" s="109"/>
      <c r="AB49" s="109"/>
      <c r="AC49" s="109"/>
      <c r="AD49" s="109"/>
      <c r="AE49" s="109"/>
      <c r="AF49" s="109"/>
      <c r="AG49" s="109"/>
      <c r="AH49" s="109"/>
    </row>
    <row r="50" spans="6:34" ht="16.5" customHeight="1"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S50" s="376"/>
      <c r="T50" s="96" t="s">
        <v>57</v>
      </c>
      <c r="U50" s="95">
        <f>SUMIF($E$7:$E$19,"중급",$AI$7:$AI$19)</f>
        <v>25</v>
      </c>
      <c r="V50" s="376"/>
      <c r="W50" s="107">
        <f>'250117 (제출본-최초)'!$U$47-U50</f>
        <v>0</v>
      </c>
      <c r="X50" s="399" t="s">
        <v>73</v>
      </c>
      <c r="Y50" s="381"/>
      <c r="Z50" s="95">
        <v>204.5</v>
      </c>
      <c r="AA50" s="109"/>
      <c r="AB50" s="109"/>
      <c r="AC50" s="109"/>
      <c r="AD50" s="109"/>
      <c r="AE50" s="109"/>
      <c r="AF50" s="109"/>
      <c r="AG50" s="109"/>
      <c r="AH50" s="109"/>
    </row>
    <row r="51" spans="6:34" ht="16.5" customHeight="1"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S51" s="377"/>
      <c r="T51" s="96" t="s">
        <v>59</v>
      </c>
      <c r="U51" s="95">
        <f>SUMIF($E$7:$E$19,"초급",$AI$7:$AI$19)</f>
        <v>19</v>
      </c>
      <c r="V51" s="377"/>
      <c r="W51" s="107">
        <f>'250117 (제출본-최초)'!$U$48-U51</f>
        <v>0</v>
      </c>
      <c r="AA51" s="109"/>
      <c r="AB51" s="109"/>
      <c r="AC51" s="109"/>
      <c r="AD51" s="109"/>
      <c r="AE51" s="109"/>
      <c r="AF51" s="109"/>
      <c r="AG51" s="109"/>
      <c r="AH51" s="109"/>
    </row>
    <row r="52" spans="6:34" ht="16.5" customHeight="1"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S52" s="375" t="s">
        <v>62</v>
      </c>
      <c r="T52" s="96" t="s">
        <v>51</v>
      </c>
      <c r="U52" s="95">
        <f>SUMIF($E$23:$E$31,"고급",$AI$23:$AI$31)</f>
        <v>0</v>
      </c>
      <c r="V52" s="378">
        <f>SUM(U52:U54)</f>
        <v>73</v>
      </c>
      <c r="W52" s="107">
        <f>'250117 (제출본-최초)'!$U$49-U52</f>
        <v>0</v>
      </c>
    </row>
    <row r="53" spans="6:34" ht="16.5" customHeight="1"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S53" s="376"/>
      <c r="T53" s="96" t="s">
        <v>57</v>
      </c>
      <c r="U53" s="95">
        <f>SUMIF($E$23:$E$31,"중급",$AI$23:$AI$31)</f>
        <v>37</v>
      </c>
      <c r="V53" s="376"/>
      <c r="W53" s="107">
        <f>'250117 (제출본-최초)'!$U$50-U53</f>
        <v>0</v>
      </c>
    </row>
    <row r="54" spans="6:34" ht="16.5" customHeight="1"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S54" s="377"/>
      <c r="T54" s="96" t="s">
        <v>59</v>
      </c>
      <c r="U54" s="95">
        <f>SUMIF($E$23:$E$31,"초급",$AI$23:$AI$31)</f>
        <v>36</v>
      </c>
      <c r="V54" s="377"/>
      <c r="W54" s="107">
        <f>'250117 (제출본-최초)'!$U$51-U54</f>
        <v>0</v>
      </c>
    </row>
    <row r="55" spans="6:34" ht="16.5" customHeight="1"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S55" s="379" t="s">
        <v>74</v>
      </c>
      <c r="T55" s="380"/>
      <c r="U55" s="381"/>
      <c r="V55" s="97">
        <f t="shared" ref="V55:W55" si="7">SUM(V49:V54)</f>
        <v>172</v>
      </c>
      <c r="W55" s="107">
        <f t="shared" si="7"/>
        <v>0</v>
      </c>
    </row>
    <row r="56" spans="6:34" ht="16.5" customHeight="1"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</row>
    <row r="57" spans="6:34" ht="16.5" customHeight="1"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</row>
    <row r="58" spans="6:34" ht="16.5" customHeight="1"/>
    <row r="59" spans="6:34" ht="16.5" customHeight="1"/>
    <row r="60" spans="6:34" ht="16.5" customHeight="1"/>
    <row r="61" spans="6:34" ht="16.5" customHeight="1"/>
    <row r="62" spans="6:34" ht="16.5" customHeight="1"/>
    <row r="63" spans="6:34" ht="16.5" customHeight="1"/>
    <row r="64" spans="6:34" ht="16.5" customHeight="1"/>
    <row r="65" ht="16.5" customHeight="1"/>
    <row r="66" ht="16.5" customHeight="1"/>
    <row r="67" ht="16.5" customHeight="1"/>
    <row r="68" ht="16.5" customHeight="1"/>
    <row r="69" ht="16.5" customHeight="1"/>
    <row r="70" ht="16.5" customHeight="1"/>
    <row r="71" ht="16.5" customHeight="1"/>
    <row r="72" ht="16.5" customHeight="1"/>
    <row r="73" ht="16.5" customHeight="1"/>
    <row r="74" ht="16.5" customHeight="1"/>
    <row r="75" ht="16.5" customHeight="1"/>
    <row r="76" ht="16.5" customHeight="1"/>
    <row r="77" ht="16.5" customHeight="1"/>
    <row r="78" ht="16.5" customHeight="1"/>
    <row r="79" ht="16.5" customHeight="1"/>
    <row r="80" ht="16.5" customHeight="1"/>
    <row r="81" ht="16.5" customHeight="1"/>
    <row r="82" ht="16.5" customHeight="1"/>
    <row r="83" ht="16.5" customHeight="1"/>
    <row r="84" ht="16.5" customHeight="1"/>
    <row r="85" ht="16.5" customHeight="1"/>
    <row r="86" ht="16.5" customHeight="1"/>
    <row r="87" ht="16.5" customHeight="1"/>
    <row r="88" ht="16.5" customHeight="1"/>
    <row r="89" ht="16.5" customHeight="1"/>
    <row r="90" ht="16.5" customHeight="1"/>
    <row r="91" ht="16.5" customHeight="1"/>
    <row r="92" ht="16.5" customHeight="1"/>
    <row r="93" ht="16.5" customHeight="1"/>
    <row r="94" ht="16.5" customHeight="1"/>
    <row r="95" ht="16.5" customHeight="1"/>
    <row r="96" ht="16.5" customHeight="1"/>
    <row r="97" ht="16.5" customHeight="1"/>
    <row r="98" ht="16.5" customHeight="1"/>
    <row r="99" ht="16.5" customHeight="1"/>
    <row r="100" ht="16.5" customHeight="1"/>
    <row r="101" ht="16.5" customHeight="1"/>
    <row r="102" ht="16.5" customHeight="1"/>
    <row r="103" ht="16.5" customHeight="1"/>
    <row r="104" ht="16.5" customHeight="1"/>
    <row r="105" ht="16.5" customHeight="1"/>
    <row r="106" ht="16.5" customHeight="1"/>
    <row r="107" ht="16.5" customHeight="1"/>
    <row r="108" ht="16.5" customHeight="1"/>
    <row r="109" ht="16.5" customHeight="1"/>
    <row r="110" ht="16.5" customHeight="1"/>
    <row r="111" ht="16.5" customHeight="1"/>
    <row r="112" ht="16.5" customHeight="1"/>
    <row r="113" ht="16.5" customHeight="1"/>
    <row r="114" ht="16.5" customHeight="1"/>
    <row r="115" ht="16.5" customHeight="1"/>
    <row r="116" ht="16.5" customHeight="1"/>
    <row r="117" ht="16.5" customHeight="1"/>
    <row r="118" ht="16.5" customHeight="1"/>
    <row r="119" ht="16.5" customHeight="1"/>
    <row r="120" ht="16.5" customHeight="1"/>
    <row r="121" ht="16.5" customHeight="1"/>
    <row r="122" ht="16.5" customHeight="1"/>
    <row r="123" ht="16.5" customHeight="1"/>
    <row r="124" ht="16.5" customHeight="1"/>
    <row r="125" ht="16.5" customHeight="1"/>
    <row r="126" ht="16.5" customHeight="1"/>
    <row r="127" ht="16.5" customHeight="1"/>
    <row r="128" ht="16.5" customHeight="1"/>
    <row r="129" ht="16.5" customHeight="1"/>
    <row r="130" ht="16.5" customHeight="1"/>
    <row r="131" ht="16.5" customHeight="1"/>
    <row r="132" ht="16.5" customHeight="1"/>
    <row r="133" ht="16.5" customHeight="1"/>
    <row r="134" ht="16.5" customHeight="1"/>
    <row r="135" ht="16.5" customHeight="1"/>
    <row r="136" ht="16.5" customHeight="1"/>
    <row r="137" ht="16.5" customHeight="1"/>
    <row r="138" ht="16.5" customHeight="1"/>
    <row r="139" ht="16.5" customHeight="1"/>
    <row r="140" ht="16.5" customHeight="1"/>
    <row r="141" ht="16.5" customHeight="1"/>
    <row r="142" ht="16.5" customHeight="1"/>
    <row r="143" ht="16.5" customHeight="1"/>
    <row r="144" ht="16.5" customHeight="1"/>
    <row r="145" ht="16.5" customHeight="1"/>
    <row r="146" ht="16.5" customHeight="1"/>
    <row r="147" ht="16.5" customHeight="1"/>
    <row r="148" ht="16.5" customHeight="1"/>
    <row r="149" ht="16.5" customHeight="1"/>
    <row r="150" ht="16.5" customHeight="1"/>
    <row r="151" ht="16.5" customHeight="1"/>
    <row r="152" ht="16.5" customHeight="1"/>
    <row r="153" ht="16.5" customHeight="1"/>
    <row r="154" ht="16.5" customHeight="1"/>
    <row r="155" ht="16.5" customHeight="1"/>
    <row r="156" ht="16.5" customHeight="1"/>
    <row r="157" ht="16.5" customHeight="1"/>
    <row r="158" ht="16.5" customHeight="1"/>
    <row r="159" ht="16.5" customHeight="1"/>
    <row r="160" ht="16.5" customHeight="1"/>
    <row r="161" ht="16.5" customHeight="1"/>
    <row r="162" ht="16.5" customHeight="1"/>
    <row r="163" ht="16.5" customHeight="1"/>
    <row r="164" ht="16.5" customHeight="1"/>
    <row r="165" ht="16.5" customHeight="1"/>
    <row r="166" ht="16.5" customHeight="1"/>
    <row r="167" ht="16.5" customHeight="1"/>
    <row r="168" ht="16.5" customHeight="1"/>
    <row r="169" ht="16.5" customHeight="1"/>
    <row r="170" ht="16.5" customHeight="1"/>
    <row r="171" ht="16.5" customHeight="1"/>
    <row r="172" ht="16.5" customHeight="1"/>
    <row r="173" ht="16.5" customHeight="1"/>
    <row r="174" ht="16.5" customHeight="1"/>
    <row r="175" ht="16.5" customHeight="1"/>
    <row r="176" ht="16.5" customHeight="1"/>
    <row r="177" ht="16.5" customHeight="1"/>
    <row r="178" ht="16.5" customHeight="1"/>
    <row r="179" ht="16.5" customHeight="1"/>
    <row r="180" ht="16.5" customHeight="1"/>
    <row r="181" ht="16.5" customHeight="1"/>
    <row r="182" ht="16.5" customHeight="1"/>
    <row r="183" ht="16.5" customHeight="1"/>
    <row r="184" ht="16.5" customHeight="1"/>
    <row r="185" ht="16.5" customHeight="1"/>
    <row r="186" ht="16.5" customHeight="1"/>
    <row r="187" ht="16.5" customHeight="1"/>
    <row r="188" ht="16.5" customHeight="1"/>
    <row r="189" ht="16.5" customHeight="1"/>
    <row r="190" ht="16.5" customHeight="1"/>
    <row r="191" ht="16.5" customHeight="1"/>
    <row r="192" ht="16.5" customHeight="1"/>
    <row r="193" ht="16.5" customHeight="1"/>
    <row r="194" ht="16.5" customHeight="1"/>
    <row r="195" ht="16.5" customHeight="1"/>
    <row r="196" ht="16.5" customHeight="1"/>
    <row r="197" ht="16.5" customHeight="1"/>
    <row r="198" ht="16.5" customHeight="1"/>
    <row r="199" ht="16.5" customHeight="1"/>
    <row r="200" ht="16.5" customHeight="1"/>
    <row r="201" ht="16.5" customHeight="1"/>
    <row r="202" ht="16.5" customHeight="1"/>
    <row r="203" ht="16.5" customHeight="1"/>
    <row r="204" ht="16.5" customHeight="1"/>
    <row r="205" ht="16.5" customHeight="1"/>
    <row r="206" ht="16.5" customHeight="1"/>
    <row r="207" ht="16.5" customHeight="1"/>
    <row r="208" ht="16.5" customHeight="1"/>
    <row r="209" ht="16.5" customHeight="1"/>
    <row r="210" ht="16.5" customHeight="1"/>
    <row r="211" ht="16.5" customHeight="1"/>
    <row r="212" ht="16.5" customHeight="1"/>
    <row r="213" ht="16.5" customHeight="1"/>
    <row r="214" ht="16.5" customHeight="1"/>
    <row r="215" ht="16.5" customHeight="1"/>
    <row r="216" ht="16.5" customHeight="1"/>
    <row r="217" ht="16.5" customHeight="1"/>
    <row r="218" ht="16.5" customHeight="1"/>
    <row r="219" ht="16.5" customHeight="1"/>
    <row r="220" ht="16.5" customHeight="1"/>
    <row r="221" ht="16.5" customHeight="1"/>
    <row r="222" ht="16.5" customHeight="1"/>
    <row r="223" ht="16.5" customHeight="1"/>
    <row r="224" ht="16.5" customHeight="1"/>
    <row r="225" ht="16.5" customHeight="1"/>
    <row r="226" ht="16.5" customHeight="1"/>
    <row r="227" ht="16.5" customHeight="1"/>
    <row r="228" ht="16.5" customHeight="1"/>
    <row r="229" ht="16.5" customHeight="1"/>
    <row r="230" ht="16.5" customHeight="1"/>
    <row r="231" ht="16.5" customHeight="1"/>
    <row r="232" ht="16.5" customHeight="1"/>
    <row r="233" ht="16.5" customHeight="1"/>
    <row r="234" ht="16.5" customHeight="1"/>
    <row r="235" ht="16.5" customHeight="1"/>
    <row r="236" ht="16.5" customHeight="1"/>
    <row r="237" ht="16.5" customHeight="1"/>
    <row r="238" ht="16.5" customHeight="1"/>
    <row r="239" ht="16.5" customHeight="1"/>
    <row r="240" ht="16.5" customHeight="1"/>
    <row r="241" ht="16.5" customHeight="1"/>
    <row r="242" ht="16.5" customHeight="1"/>
    <row r="243" ht="16.5" customHeight="1"/>
    <row r="244" ht="16.5" customHeight="1"/>
    <row r="245" ht="16.5" customHeight="1"/>
    <row r="246" ht="16.5" customHeight="1"/>
    <row r="247" ht="16.5" customHeight="1"/>
    <row r="248" ht="16.5" customHeight="1"/>
    <row r="249" ht="16.5" customHeight="1"/>
    <row r="250" ht="16.5" customHeight="1"/>
    <row r="251" ht="16.5" customHeight="1"/>
    <row r="252" ht="16.5" customHeight="1"/>
    <row r="253" ht="16.5" customHeight="1"/>
    <row r="254" ht="16.5" customHeight="1"/>
    <row r="255" ht="16.5" customHeight="1"/>
    <row r="256" ht="16.5" customHeight="1"/>
    <row r="257" ht="16.5" customHeight="1"/>
    <row r="258" ht="16.5" customHeight="1"/>
    <row r="259" ht="16.5" customHeight="1"/>
    <row r="260" ht="16.5" customHeight="1"/>
    <row r="261" ht="16.5" customHeight="1"/>
    <row r="262" ht="16.5" customHeight="1"/>
    <row r="263" ht="16.5" customHeight="1"/>
    <row r="264" ht="16.5" customHeight="1"/>
    <row r="265" ht="16.5" customHeight="1"/>
    <row r="266" ht="16.5" customHeight="1"/>
    <row r="267" ht="16.5" customHeight="1"/>
    <row r="268" ht="16.5" customHeight="1"/>
    <row r="269" ht="16.5" customHeight="1"/>
    <row r="270" ht="16.5" customHeight="1"/>
    <row r="271" ht="16.5" customHeight="1"/>
    <row r="272" ht="16.5" customHeight="1"/>
    <row r="273" ht="16.5" customHeight="1"/>
    <row r="274" ht="16.5" customHeight="1"/>
    <row r="275" ht="16.5" customHeight="1"/>
    <row r="276" ht="16.5" customHeight="1"/>
    <row r="277" ht="16.5" customHeight="1"/>
    <row r="278" ht="16.5" customHeight="1"/>
    <row r="279" ht="16.5" customHeight="1"/>
    <row r="280" ht="16.5" customHeight="1"/>
    <row r="281" ht="16.5" customHeight="1"/>
    <row r="282" ht="16.5" customHeight="1"/>
    <row r="283" ht="16.5" customHeight="1"/>
    <row r="284" ht="16.5" customHeight="1"/>
    <row r="285" ht="16.5" customHeight="1"/>
    <row r="286" ht="16.5" customHeight="1"/>
    <row r="287" ht="16.5" customHeight="1"/>
    <row r="288" ht="16.5" customHeight="1"/>
    <row r="289" ht="16.5" customHeight="1"/>
    <row r="290" ht="16.5" customHeight="1"/>
    <row r="291" ht="16.5" customHeight="1"/>
    <row r="292" ht="16.5" customHeight="1"/>
    <row r="293" ht="16.5" customHeight="1"/>
    <row r="294" ht="16.5" customHeight="1"/>
    <row r="295" ht="16.5" customHeight="1"/>
    <row r="296" ht="16.5" customHeight="1"/>
    <row r="297" ht="16.5" customHeight="1"/>
    <row r="298" ht="16.5" customHeight="1"/>
    <row r="299" ht="16.5" customHeight="1"/>
    <row r="300" ht="16.5" customHeight="1"/>
    <row r="301" ht="16.5" customHeight="1"/>
    <row r="302" ht="16.5" customHeight="1"/>
    <row r="303" ht="16.5" customHeight="1"/>
    <row r="304" ht="16.5" customHeight="1"/>
    <row r="305" ht="16.5" customHeight="1"/>
    <row r="306" ht="16.5" customHeight="1"/>
    <row r="307" ht="16.5" customHeight="1"/>
    <row r="308" ht="16.5" customHeight="1"/>
    <row r="309" ht="16.5" customHeight="1"/>
    <row r="310" ht="16.5" customHeight="1"/>
    <row r="311" ht="16.5" customHeight="1"/>
    <row r="312" ht="16.5" customHeight="1"/>
    <row r="313" ht="16.5" customHeight="1"/>
    <row r="314" ht="16.5" customHeight="1"/>
    <row r="315" ht="16.5" customHeight="1"/>
    <row r="316" ht="16.5" customHeight="1"/>
    <row r="317" ht="16.5" customHeight="1"/>
    <row r="318" ht="16.5" customHeight="1"/>
    <row r="319" ht="16.5" customHeight="1"/>
    <row r="320" ht="16.5" customHeight="1"/>
    <row r="321" ht="16.5" customHeight="1"/>
    <row r="322" ht="16.5" customHeight="1"/>
    <row r="323" ht="16.5" customHeight="1"/>
    <row r="324" ht="16.5" customHeight="1"/>
    <row r="325" ht="16.5" customHeight="1"/>
    <row r="326" ht="16.5" customHeight="1"/>
    <row r="327" ht="16.5" customHeight="1"/>
    <row r="328" ht="16.5" customHeight="1"/>
    <row r="329" ht="16.5" customHeight="1"/>
    <row r="330" ht="16.5" customHeight="1"/>
    <row r="331" ht="16.5" customHeight="1"/>
    <row r="332" ht="16.5" customHeight="1"/>
    <row r="333" ht="16.5" customHeight="1"/>
    <row r="334" ht="16.5" customHeight="1"/>
    <row r="335" ht="16.5" customHeight="1"/>
    <row r="336" ht="16.5" customHeight="1"/>
    <row r="337" ht="16.5" customHeight="1"/>
    <row r="338" ht="16.5" customHeight="1"/>
    <row r="339" ht="16.5" customHeight="1"/>
    <row r="340" ht="16.5" customHeight="1"/>
    <row r="341" ht="16.5" customHeight="1"/>
    <row r="342" ht="16.5" customHeight="1"/>
    <row r="343" ht="16.5" customHeight="1"/>
    <row r="344" ht="16.5" customHeight="1"/>
    <row r="345" ht="16.5" customHeight="1"/>
    <row r="346" ht="16.5" customHeight="1"/>
    <row r="347" ht="16.5" customHeight="1"/>
    <row r="348" ht="16.5" customHeight="1"/>
    <row r="349" ht="16.5" customHeight="1"/>
    <row r="350" ht="16.5" customHeight="1"/>
    <row r="351" ht="16.5" customHeight="1"/>
    <row r="352" ht="16.5" customHeight="1"/>
    <row r="353" ht="16.5" customHeight="1"/>
    <row r="354" ht="16.5" customHeight="1"/>
    <row r="355" ht="16.5" customHeight="1"/>
    <row r="356" ht="16.5" customHeight="1"/>
    <row r="357" ht="16.5" customHeight="1"/>
    <row r="358" ht="16.5" customHeight="1"/>
    <row r="359" ht="16.5" customHeight="1"/>
    <row r="360" ht="16.5" customHeight="1"/>
    <row r="361" ht="16.5" customHeight="1"/>
    <row r="362" ht="16.5" customHeight="1"/>
    <row r="363" ht="16.5" customHeight="1"/>
    <row r="364" ht="16.5" customHeight="1"/>
    <row r="365" ht="16.5" customHeight="1"/>
    <row r="366" ht="16.5" customHeight="1"/>
    <row r="367" ht="16.5" customHeight="1"/>
    <row r="368" ht="16.5" customHeight="1"/>
    <row r="369" ht="16.5" customHeight="1"/>
    <row r="370" ht="16.5" customHeight="1"/>
    <row r="371" ht="16.5" customHeight="1"/>
    <row r="372" ht="16.5" customHeight="1"/>
    <row r="373" ht="16.5" customHeight="1"/>
    <row r="374" ht="16.5" customHeight="1"/>
    <row r="375" ht="16.5" customHeight="1"/>
    <row r="376" ht="16.5" customHeight="1"/>
    <row r="377" ht="16.5" customHeight="1"/>
    <row r="378" ht="16.5" customHeight="1"/>
    <row r="379" ht="16.5" customHeight="1"/>
    <row r="380" ht="16.5" customHeight="1"/>
    <row r="381" ht="16.5" customHeight="1"/>
    <row r="382" ht="16.5" customHeight="1"/>
    <row r="383" ht="16.5" customHeight="1"/>
    <row r="384" ht="16.5" customHeight="1"/>
    <row r="385" ht="16.5" customHeight="1"/>
    <row r="386" ht="16.5" customHeight="1"/>
    <row r="387" ht="16.5" customHeight="1"/>
    <row r="388" ht="16.5" customHeight="1"/>
    <row r="389" ht="16.5" customHeight="1"/>
    <row r="390" ht="16.5" customHeight="1"/>
    <row r="391" ht="16.5" customHeight="1"/>
    <row r="392" ht="16.5" customHeight="1"/>
    <row r="393" ht="16.5" customHeight="1"/>
    <row r="394" ht="16.5" customHeight="1"/>
    <row r="395" ht="16.5" customHeight="1"/>
    <row r="396" ht="16.5" customHeight="1"/>
    <row r="397" ht="16.5" customHeight="1"/>
    <row r="398" ht="16.5" customHeight="1"/>
    <row r="399" ht="16.5" customHeight="1"/>
    <row r="400" ht="16.5" customHeight="1"/>
    <row r="401" ht="16.5" customHeight="1"/>
    <row r="402" ht="16.5" customHeight="1"/>
    <row r="403" ht="16.5" customHeight="1"/>
    <row r="404" ht="16.5" customHeight="1"/>
    <row r="405" ht="16.5" customHeight="1"/>
    <row r="406" ht="16.5" customHeight="1"/>
    <row r="407" ht="16.5" customHeight="1"/>
    <row r="408" ht="16.5" customHeight="1"/>
    <row r="409" ht="16.5" customHeight="1"/>
    <row r="410" ht="16.5" customHeight="1"/>
    <row r="411" ht="16.5" customHeight="1"/>
    <row r="412" ht="16.5" customHeight="1"/>
    <row r="413" ht="16.5" customHeight="1"/>
    <row r="414" ht="16.5" customHeight="1"/>
    <row r="415" ht="16.5" customHeight="1"/>
    <row r="416" ht="16.5" customHeight="1"/>
    <row r="417" ht="16.5" customHeight="1"/>
    <row r="418" ht="16.5" customHeight="1"/>
    <row r="419" ht="16.5" customHeight="1"/>
    <row r="420" ht="16.5" customHeight="1"/>
    <row r="421" ht="16.5" customHeight="1"/>
    <row r="422" ht="16.5" customHeight="1"/>
    <row r="423" ht="16.5" customHeight="1"/>
    <row r="424" ht="16.5" customHeight="1"/>
    <row r="425" ht="16.5" customHeight="1"/>
    <row r="426" ht="16.5" customHeight="1"/>
    <row r="427" ht="16.5" customHeight="1"/>
    <row r="428" ht="16.5" customHeight="1"/>
    <row r="429" ht="16.5" customHeight="1"/>
    <row r="430" ht="16.5" customHeight="1"/>
    <row r="431" ht="16.5" customHeight="1"/>
    <row r="432" ht="16.5" customHeight="1"/>
    <row r="433" ht="16.5" customHeight="1"/>
    <row r="434" ht="16.5" customHeight="1"/>
    <row r="435" ht="16.5" customHeight="1"/>
    <row r="436" ht="16.5" customHeight="1"/>
    <row r="437" ht="16.5" customHeight="1"/>
    <row r="438" ht="16.5" customHeight="1"/>
    <row r="439" ht="16.5" customHeight="1"/>
    <row r="440" ht="16.5" customHeight="1"/>
    <row r="441" ht="16.5" customHeight="1"/>
    <row r="442" ht="16.5" customHeight="1"/>
    <row r="443" ht="16.5" customHeight="1"/>
    <row r="444" ht="16.5" customHeight="1"/>
    <row r="445" ht="16.5" customHeight="1"/>
    <row r="446" ht="16.5" customHeight="1"/>
    <row r="447" ht="16.5" customHeight="1"/>
    <row r="448" ht="16.5" customHeight="1"/>
    <row r="449" ht="16.5" customHeight="1"/>
    <row r="450" ht="16.5" customHeight="1"/>
    <row r="451" ht="16.5" customHeight="1"/>
    <row r="452" ht="16.5" customHeight="1"/>
    <row r="453" ht="16.5" customHeight="1"/>
    <row r="454" ht="16.5" customHeight="1"/>
    <row r="455" ht="16.5" customHeight="1"/>
    <row r="456" ht="16.5" customHeight="1"/>
    <row r="457" ht="16.5" customHeight="1"/>
    <row r="458" ht="16.5" customHeight="1"/>
    <row r="459" ht="16.5" customHeight="1"/>
    <row r="460" ht="16.5" customHeight="1"/>
    <row r="461" ht="16.5" customHeight="1"/>
    <row r="462" ht="16.5" customHeight="1"/>
    <row r="463" ht="16.5" customHeight="1"/>
    <row r="464" ht="16.5" customHeight="1"/>
    <row r="465" ht="16.5" customHeight="1"/>
    <row r="466" ht="16.5" customHeight="1"/>
    <row r="467" ht="16.5" customHeight="1"/>
    <row r="468" ht="16.5" customHeight="1"/>
    <row r="469" ht="16.5" customHeight="1"/>
    <row r="470" ht="16.5" customHeight="1"/>
    <row r="471" ht="16.5" customHeight="1"/>
    <row r="472" ht="16.5" customHeight="1"/>
    <row r="473" ht="16.5" customHeight="1"/>
    <row r="474" ht="16.5" customHeight="1"/>
    <row r="475" ht="16.5" customHeight="1"/>
    <row r="476" ht="16.5" customHeight="1"/>
    <row r="477" ht="16.5" customHeight="1"/>
    <row r="478" ht="16.5" customHeight="1"/>
    <row r="479" ht="16.5" customHeight="1"/>
    <row r="480" ht="16.5" customHeight="1"/>
    <row r="481" ht="16.5" customHeight="1"/>
    <row r="482" ht="16.5" customHeight="1"/>
    <row r="483" ht="16.5" customHeight="1"/>
    <row r="484" ht="16.5" customHeight="1"/>
    <row r="485" ht="16.5" customHeight="1"/>
    <row r="486" ht="16.5" customHeight="1"/>
    <row r="487" ht="16.5" customHeight="1"/>
    <row r="488" ht="16.5" customHeight="1"/>
    <row r="489" ht="16.5" customHeight="1"/>
    <row r="490" ht="16.5" customHeight="1"/>
    <row r="491" ht="16.5" customHeight="1"/>
    <row r="492" ht="16.5" customHeight="1"/>
    <row r="493" ht="16.5" customHeight="1"/>
    <row r="494" ht="16.5" customHeight="1"/>
    <row r="495" ht="16.5" customHeight="1"/>
    <row r="496" ht="16.5" customHeight="1"/>
    <row r="497" ht="16.5" customHeight="1"/>
    <row r="498" ht="16.5" customHeight="1"/>
    <row r="499" ht="16.5" customHeight="1"/>
    <row r="500" ht="16.5" customHeight="1"/>
    <row r="501" ht="16.5" customHeight="1"/>
    <row r="502" ht="16.5" customHeight="1"/>
    <row r="503" ht="16.5" customHeight="1"/>
    <row r="504" ht="16.5" customHeight="1"/>
    <row r="505" ht="16.5" customHeight="1"/>
    <row r="506" ht="16.5" customHeight="1"/>
    <row r="507" ht="16.5" customHeight="1"/>
    <row r="508" ht="16.5" customHeight="1"/>
    <row r="509" ht="16.5" customHeight="1"/>
    <row r="510" ht="16.5" customHeight="1"/>
    <row r="511" ht="16.5" customHeight="1"/>
    <row r="512" ht="16.5" customHeight="1"/>
    <row r="513" ht="16.5" customHeight="1"/>
    <row r="514" ht="16.5" customHeight="1"/>
    <row r="515" ht="16.5" customHeight="1"/>
    <row r="516" ht="16.5" customHeight="1"/>
    <row r="517" ht="16.5" customHeight="1"/>
    <row r="518" ht="16.5" customHeight="1"/>
    <row r="519" ht="16.5" customHeight="1"/>
    <row r="520" ht="16.5" customHeight="1"/>
    <row r="521" ht="16.5" customHeight="1"/>
    <row r="522" ht="16.5" customHeight="1"/>
    <row r="523" ht="16.5" customHeight="1"/>
    <row r="524" ht="16.5" customHeight="1"/>
    <row r="525" ht="16.5" customHeight="1"/>
    <row r="526" ht="16.5" customHeight="1"/>
    <row r="527" ht="16.5" customHeight="1"/>
    <row r="528" ht="16.5" customHeight="1"/>
    <row r="529" ht="16.5" customHeight="1"/>
    <row r="530" ht="16.5" customHeight="1"/>
    <row r="531" ht="16.5" customHeight="1"/>
    <row r="532" ht="16.5" customHeight="1"/>
    <row r="533" ht="16.5" customHeight="1"/>
    <row r="534" ht="16.5" customHeight="1"/>
    <row r="535" ht="16.5" customHeight="1"/>
    <row r="536" ht="16.5" customHeight="1"/>
    <row r="537" ht="16.5" customHeight="1"/>
    <row r="538" ht="16.5" customHeight="1"/>
    <row r="539" ht="16.5" customHeight="1"/>
    <row r="540" ht="16.5" customHeight="1"/>
    <row r="541" ht="16.5" customHeight="1"/>
    <row r="542" ht="16.5" customHeight="1"/>
    <row r="543" ht="16.5" customHeight="1"/>
    <row r="544" ht="16.5" customHeight="1"/>
    <row r="545" ht="16.5" customHeight="1"/>
    <row r="546" ht="16.5" customHeight="1"/>
    <row r="547" ht="16.5" customHeight="1"/>
    <row r="548" ht="16.5" customHeight="1"/>
    <row r="549" ht="16.5" customHeight="1"/>
    <row r="550" ht="16.5" customHeight="1"/>
    <row r="551" ht="16.5" customHeight="1"/>
    <row r="552" ht="16.5" customHeight="1"/>
    <row r="553" ht="16.5" customHeight="1"/>
    <row r="554" ht="16.5" customHeight="1"/>
    <row r="555" ht="16.5" customHeight="1"/>
    <row r="556" ht="16.5" customHeight="1"/>
    <row r="557" ht="16.5" customHeight="1"/>
    <row r="558" ht="16.5" customHeight="1"/>
    <row r="559" ht="16.5" customHeight="1"/>
    <row r="560" ht="16.5" customHeight="1"/>
    <row r="561" ht="16.5" customHeight="1"/>
    <row r="562" ht="16.5" customHeight="1"/>
    <row r="563" ht="16.5" customHeight="1"/>
    <row r="564" ht="16.5" customHeight="1"/>
    <row r="565" ht="16.5" customHeight="1"/>
    <row r="566" ht="16.5" customHeight="1"/>
    <row r="567" ht="16.5" customHeight="1"/>
    <row r="568" ht="16.5" customHeight="1"/>
    <row r="569" ht="16.5" customHeight="1"/>
    <row r="570" ht="16.5" customHeight="1"/>
    <row r="571" ht="16.5" customHeight="1"/>
    <row r="572" ht="16.5" customHeight="1"/>
    <row r="573" ht="16.5" customHeight="1"/>
    <row r="574" ht="16.5" customHeight="1"/>
    <row r="575" ht="16.5" customHeight="1"/>
    <row r="576" ht="16.5" customHeight="1"/>
    <row r="577" ht="16.5" customHeight="1"/>
    <row r="578" ht="16.5" customHeight="1"/>
    <row r="579" ht="16.5" customHeight="1"/>
    <row r="580" ht="16.5" customHeight="1"/>
    <row r="581" ht="16.5" customHeight="1"/>
    <row r="582" ht="16.5" customHeight="1"/>
    <row r="583" ht="16.5" customHeight="1"/>
    <row r="584" ht="16.5" customHeight="1"/>
    <row r="585" ht="16.5" customHeight="1"/>
    <row r="586" ht="16.5" customHeight="1"/>
    <row r="587" ht="16.5" customHeight="1"/>
    <row r="588" ht="16.5" customHeight="1"/>
    <row r="589" ht="16.5" customHeight="1"/>
    <row r="590" ht="16.5" customHeight="1"/>
    <row r="591" ht="16.5" customHeight="1"/>
    <row r="592" ht="16.5" customHeight="1"/>
    <row r="593" ht="16.5" customHeight="1"/>
    <row r="594" ht="16.5" customHeight="1"/>
    <row r="595" ht="16.5" customHeight="1"/>
    <row r="596" ht="16.5" customHeight="1"/>
    <row r="597" ht="16.5" customHeight="1"/>
    <row r="598" ht="16.5" customHeight="1"/>
    <row r="599" ht="16.5" customHeight="1"/>
    <row r="600" ht="16.5" customHeight="1"/>
    <row r="601" ht="16.5" customHeight="1"/>
    <row r="602" ht="16.5" customHeight="1"/>
    <row r="603" ht="16.5" customHeight="1"/>
    <row r="604" ht="16.5" customHeight="1"/>
    <row r="605" ht="16.5" customHeight="1"/>
    <row r="606" ht="16.5" customHeight="1"/>
    <row r="607" ht="16.5" customHeight="1"/>
    <row r="608" ht="16.5" customHeight="1"/>
    <row r="609" ht="16.5" customHeight="1"/>
    <row r="610" ht="16.5" customHeight="1"/>
    <row r="611" ht="16.5" customHeight="1"/>
    <row r="612" ht="16.5" customHeight="1"/>
    <row r="613" ht="16.5" customHeight="1"/>
    <row r="614" ht="16.5" customHeight="1"/>
    <row r="615" ht="16.5" customHeight="1"/>
    <row r="616" ht="16.5" customHeight="1"/>
    <row r="617" ht="16.5" customHeight="1"/>
    <row r="618" ht="16.5" customHeight="1"/>
    <row r="619" ht="16.5" customHeight="1"/>
    <row r="620" ht="16.5" customHeight="1"/>
    <row r="621" ht="16.5" customHeight="1"/>
    <row r="622" ht="16.5" customHeight="1"/>
    <row r="623" ht="16.5" customHeight="1"/>
    <row r="624" ht="16.5" customHeight="1"/>
    <row r="625" ht="16.5" customHeight="1"/>
    <row r="626" ht="16.5" customHeight="1"/>
    <row r="627" ht="16.5" customHeight="1"/>
    <row r="628" ht="16.5" customHeight="1"/>
    <row r="629" ht="16.5" customHeight="1"/>
    <row r="630" ht="16.5" customHeight="1"/>
    <row r="631" ht="16.5" customHeight="1"/>
    <row r="632" ht="16.5" customHeight="1"/>
    <row r="633" ht="16.5" customHeight="1"/>
    <row r="634" ht="16.5" customHeight="1"/>
    <row r="635" ht="16.5" customHeight="1"/>
    <row r="636" ht="16.5" customHeight="1"/>
    <row r="637" ht="16.5" customHeight="1"/>
    <row r="638" ht="16.5" customHeight="1"/>
    <row r="639" ht="16.5" customHeight="1"/>
    <row r="640" ht="16.5" customHeight="1"/>
    <row r="641" ht="16.5" customHeight="1"/>
    <row r="642" ht="16.5" customHeight="1"/>
    <row r="643" ht="16.5" customHeight="1"/>
    <row r="644" ht="16.5" customHeight="1"/>
    <row r="645" ht="16.5" customHeight="1"/>
    <row r="646" ht="16.5" customHeight="1"/>
    <row r="647" ht="16.5" customHeight="1"/>
    <row r="648" ht="16.5" customHeight="1"/>
    <row r="649" ht="16.5" customHeight="1"/>
    <row r="650" ht="16.5" customHeight="1"/>
    <row r="651" ht="16.5" customHeight="1"/>
    <row r="652" ht="16.5" customHeight="1"/>
    <row r="653" ht="16.5" customHeight="1"/>
    <row r="654" ht="16.5" customHeight="1"/>
    <row r="655" ht="16.5" customHeight="1"/>
    <row r="656" ht="16.5" customHeight="1"/>
    <row r="657" ht="16.5" customHeight="1"/>
    <row r="658" ht="16.5" customHeight="1"/>
    <row r="659" ht="16.5" customHeight="1"/>
    <row r="660" ht="16.5" customHeight="1"/>
    <row r="661" ht="16.5" customHeight="1"/>
    <row r="662" ht="16.5" customHeight="1"/>
    <row r="663" ht="16.5" customHeight="1"/>
    <row r="664" ht="16.5" customHeight="1"/>
    <row r="665" ht="16.5" customHeight="1"/>
    <row r="666" ht="16.5" customHeight="1"/>
    <row r="667" ht="16.5" customHeight="1"/>
    <row r="668" ht="16.5" customHeight="1"/>
    <row r="669" ht="16.5" customHeight="1"/>
    <row r="670" ht="16.5" customHeight="1"/>
    <row r="671" ht="16.5" customHeight="1"/>
    <row r="672" ht="16.5" customHeight="1"/>
    <row r="673" ht="16.5" customHeight="1"/>
    <row r="674" ht="16.5" customHeight="1"/>
    <row r="675" ht="16.5" customHeight="1"/>
    <row r="676" ht="16.5" customHeight="1"/>
    <row r="677" ht="16.5" customHeight="1"/>
    <row r="678" ht="16.5" customHeight="1"/>
    <row r="679" ht="16.5" customHeight="1"/>
    <row r="680" ht="16.5" customHeight="1"/>
    <row r="681" ht="16.5" customHeight="1"/>
    <row r="682" ht="16.5" customHeight="1"/>
    <row r="683" ht="16.5" customHeight="1"/>
    <row r="684" ht="16.5" customHeight="1"/>
    <row r="685" ht="16.5" customHeight="1"/>
    <row r="686" ht="16.5" customHeight="1"/>
    <row r="687" ht="16.5" customHeight="1"/>
    <row r="688" ht="16.5" customHeight="1"/>
    <row r="689" ht="16.5" customHeight="1"/>
    <row r="690" ht="16.5" customHeight="1"/>
    <row r="691" ht="16.5" customHeight="1"/>
    <row r="692" ht="16.5" customHeight="1"/>
    <row r="693" ht="16.5" customHeight="1"/>
    <row r="694" ht="16.5" customHeight="1"/>
    <row r="695" ht="16.5" customHeight="1"/>
    <row r="696" ht="16.5" customHeight="1"/>
    <row r="697" ht="16.5" customHeight="1"/>
    <row r="698" ht="16.5" customHeight="1"/>
    <row r="699" ht="16.5" customHeight="1"/>
    <row r="700" ht="16.5" customHeight="1"/>
    <row r="701" ht="16.5" customHeight="1"/>
    <row r="702" ht="16.5" customHeight="1"/>
    <row r="703" ht="16.5" customHeight="1"/>
    <row r="704" ht="16.5" customHeight="1"/>
    <row r="705" ht="16.5" customHeight="1"/>
    <row r="706" ht="16.5" customHeight="1"/>
    <row r="707" ht="16.5" customHeight="1"/>
    <row r="708" ht="16.5" customHeight="1"/>
    <row r="709" ht="16.5" customHeight="1"/>
    <row r="710" ht="16.5" customHeight="1"/>
    <row r="711" ht="16.5" customHeight="1"/>
    <row r="712" ht="16.5" customHeight="1"/>
    <row r="713" ht="16.5" customHeight="1"/>
    <row r="714" ht="16.5" customHeight="1"/>
    <row r="715" ht="16.5" customHeight="1"/>
    <row r="716" ht="16.5" customHeight="1"/>
    <row r="717" ht="16.5" customHeight="1"/>
    <row r="718" ht="16.5" customHeight="1"/>
    <row r="719" ht="16.5" customHeight="1"/>
    <row r="720" ht="16.5" customHeight="1"/>
    <row r="721" ht="16.5" customHeight="1"/>
    <row r="722" ht="16.5" customHeight="1"/>
    <row r="723" ht="16.5" customHeight="1"/>
    <row r="724" ht="16.5" customHeight="1"/>
    <row r="725" ht="16.5" customHeight="1"/>
    <row r="726" ht="16.5" customHeight="1"/>
    <row r="727" ht="16.5" customHeight="1"/>
    <row r="728" ht="16.5" customHeight="1"/>
    <row r="729" ht="16.5" customHeight="1"/>
    <row r="730" ht="16.5" customHeight="1"/>
    <row r="731" ht="16.5" customHeight="1"/>
    <row r="732" ht="16.5" customHeight="1"/>
    <row r="733" ht="16.5" customHeight="1"/>
    <row r="734" ht="16.5" customHeight="1"/>
    <row r="735" ht="16.5" customHeight="1"/>
    <row r="736" ht="16.5" customHeight="1"/>
    <row r="737" ht="16.5" customHeight="1"/>
    <row r="738" ht="16.5" customHeight="1"/>
    <row r="739" ht="16.5" customHeight="1"/>
    <row r="740" ht="16.5" customHeight="1"/>
    <row r="741" ht="16.5" customHeight="1"/>
    <row r="742" ht="16.5" customHeight="1"/>
    <row r="743" ht="16.5" customHeight="1"/>
    <row r="744" ht="16.5" customHeight="1"/>
    <row r="745" ht="16.5" customHeight="1"/>
    <row r="746" ht="16.5" customHeight="1"/>
    <row r="747" ht="16.5" customHeight="1"/>
    <row r="748" ht="16.5" customHeight="1"/>
    <row r="749" ht="16.5" customHeight="1"/>
    <row r="750" ht="16.5" customHeight="1"/>
    <row r="751" ht="16.5" customHeight="1"/>
    <row r="752" ht="16.5" customHeight="1"/>
    <row r="753" ht="16.5" customHeight="1"/>
    <row r="754" ht="16.5" customHeight="1"/>
    <row r="755" ht="16.5" customHeight="1"/>
    <row r="756" ht="16.5" customHeight="1"/>
    <row r="757" ht="16.5" customHeight="1"/>
    <row r="758" ht="16.5" customHeight="1"/>
    <row r="759" ht="16.5" customHeight="1"/>
    <row r="760" ht="16.5" customHeight="1"/>
    <row r="761" ht="16.5" customHeight="1"/>
    <row r="762" ht="16.5" customHeight="1"/>
    <row r="763" ht="16.5" customHeight="1"/>
    <row r="764" ht="16.5" customHeight="1"/>
    <row r="765" ht="16.5" customHeight="1"/>
    <row r="766" ht="16.5" customHeight="1"/>
    <row r="767" ht="16.5" customHeight="1"/>
    <row r="768" ht="16.5" customHeight="1"/>
    <row r="769" ht="16.5" customHeight="1"/>
    <row r="770" ht="16.5" customHeight="1"/>
    <row r="771" ht="16.5" customHeight="1"/>
    <row r="772" ht="16.5" customHeight="1"/>
    <row r="773" ht="16.5" customHeight="1"/>
    <row r="774" ht="16.5" customHeight="1"/>
    <row r="775" ht="16.5" customHeight="1"/>
    <row r="776" ht="16.5" customHeight="1"/>
    <row r="777" ht="16.5" customHeight="1"/>
    <row r="778" ht="16.5" customHeight="1"/>
    <row r="779" ht="16.5" customHeight="1"/>
    <row r="780" ht="16.5" customHeight="1"/>
    <row r="781" ht="16.5" customHeight="1"/>
    <row r="782" ht="16.5" customHeight="1"/>
    <row r="783" ht="16.5" customHeight="1"/>
    <row r="784" ht="16.5" customHeight="1"/>
    <row r="785" ht="16.5" customHeight="1"/>
    <row r="786" ht="16.5" customHeight="1"/>
    <row r="787" ht="16.5" customHeight="1"/>
    <row r="788" ht="16.5" customHeight="1"/>
    <row r="789" ht="16.5" customHeight="1"/>
    <row r="790" ht="16.5" customHeight="1"/>
    <row r="791" ht="16.5" customHeight="1"/>
    <row r="792" ht="16.5" customHeight="1"/>
    <row r="793" ht="16.5" customHeight="1"/>
    <row r="794" ht="16.5" customHeight="1"/>
    <row r="795" ht="16.5" customHeight="1"/>
    <row r="796" ht="16.5" customHeight="1"/>
    <row r="797" ht="16.5" customHeight="1"/>
    <row r="798" ht="16.5" customHeight="1"/>
    <row r="799" ht="16.5" customHeight="1"/>
    <row r="800" ht="16.5" customHeight="1"/>
    <row r="801" ht="16.5" customHeight="1"/>
    <row r="802" ht="16.5" customHeight="1"/>
    <row r="803" ht="16.5" customHeight="1"/>
    <row r="804" ht="16.5" customHeight="1"/>
    <row r="805" ht="16.5" customHeight="1"/>
    <row r="806" ht="16.5" customHeight="1"/>
    <row r="807" ht="16.5" customHeight="1"/>
    <row r="808" ht="16.5" customHeight="1"/>
    <row r="809" ht="16.5" customHeight="1"/>
    <row r="810" ht="16.5" customHeight="1"/>
    <row r="811" ht="16.5" customHeight="1"/>
    <row r="812" ht="16.5" customHeight="1"/>
    <row r="813" ht="16.5" customHeight="1"/>
    <row r="814" ht="16.5" customHeight="1"/>
    <row r="815" ht="16.5" customHeight="1"/>
    <row r="816" ht="16.5" customHeight="1"/>
    <row r="817" ht="16.5" customHeight="1"/>
    <row r="818" ht="16.5" customHeight="1"/>
    <row r="819" ht="16.5" customHeight="1"/>
    <row r="820" ht="16.5" customHeight="1"/>
    <row r="821" ht="16.5" customHeight="1"/>
    <row r="822" ht="16.5" customHeight="1"/>
    <row r="823" ht="16.5" customHeight="1"/>
    <row r="824" ht="16.5" customHeight="1"/>
    <row r="825" ht="16.5" customHeight="1"/>
    <row r="826" ht="16.5" customHeight="1"/>
    <row r="827" ht="16.5" customHeight="1"/>
    <row r="828" ht="16.5" customHeight="1"/>
    <row r="829" ht="16.5" customHeight="1"/>
    <row r="830" ht="16.5" customHeight="1"/>
    <row r="831" ht="16.5" customHeight="1"/>
    <row r="832" ht="16.5" customHeight="1"/>
    <row r="833" ht="16.5" customHeight="1"/>
    <row r="834" ht="16.5" customHeight="1"/>
    <row r="835" ht="16.5" customHeight="1"/>
    <row r="836" ht="16.5" customHeight="1"/>
    <row r="837" ht="16.5" customHeight="1"/>
    <row r="838" ht="16.5" customHeight="1"/>
    <row r="839" ht="16.5" customHeight="1"/>
    <row r="840" ht="16.5" customHeight="1"/>
    <row r="841" ht="16.5" customHeight="1"/>
    <row r="842" ht="16.5" customHeight="1"/>
    <row r="843" ht="16.5" customHeight="1"/>
    <row r="844" ht="16.5" customHeight="1"/>
    <row r="845" ht="16.5" customHeight="1"/>
    <row r="846" ht="16.5" customHeight="1"/>
    <row r="847" ht="16.5" customHeight="1"/>
    <row r="848" ht="16.5" customHeight="1"/>
    <row r="849" ht="16.5" customHeight="1"/>
    <row r="850" ht="16.5" customHeight="1"/>
    <row r="851" ht="16.5" customHeight="1"/>
    <row r="852" ht="16.5" customHeight="1"/>
    <row r="853" ht="16.5" customHeight="1"/>
    <row r="854" ht="16.5" customHeight="1"/>
    <row r="855" ht="16.5" customHeight="1"/>
    <row r="856" ht="16.5" customHeight="1"/>
    <row r="857" ht="16.5" customHeight="1"/>
    <row r="858" ht="16.5" customHeight="1"/>
    <row r="859" ht="16.5" customHeight="1"/>
    <row r="860" ht="16.5" customHeight="1"/>
    <row r="861" ht="16.5" customHeight="1"/>
    <row r="862" ht="16.5" customHeight="1"/>
    <row r="863" ht="16.5" customHeight="1"/>
    <row r="864" ht="16.5" customHeight="1"/>
    <row r="865" ht="16.5" customHeight="1"/>
    <row r="866" ht="16.5" customHeight="1"/>
    <row r="867" ht="16.5" customHeight="1"/>
    <row r="868" ht="16.5" customHeight="1"/>
    <row r="869" ht="16.5" customHeight="1"/>
    <row r="870" ht="16.5" customHeight="1"/>
    <row r="871" ht="16.5" customHeight="1"/>
    <row r="872" ht="16.5" customHeight="1"/>
    <row r="873" ht="16.5" customHeight="1"/>
    <row r="874" ht="16.5" customHeight="1"/>
    <row r="875" ht="16.5" customHeight="1"/>
    <row r="876" ht="16.5" customHeight="1"/>
    <row r="877" ht="16.5" customHeight="1"/>
    <row r="878" ht="16.5" customHeight="1"/>
    <row r="879" ht="16.5" customHeight="1"/>
    <row r="880" ht="16.5" customHeight="1"/>
    <row r="881" ht="16.5" customHeight="1"/>
    <row r="882" ht="16.5" customHeight="1"/>
    <row r="883" ht="16.5" customHeight="1"/>
    <row r="884" ht="16.5" customHeight="1"/>
    <row r="885" ht="16.5" customHeight="1"/>
    <row r="886" ht="16.5" customHeight="1"/>
    <row r="887" ht="16.5" customHeight="1"/>
    <row r="888" ht="16.5" customHeight="1"/>
    <row r="889" ht="16.5" customHeight="1"/>
    <row r="890" ht="16.5" customHeight="1"/>
    <row r="891" ht="16.5" customHeight="1"/>
    <row r="892" ht="16.5" customHeight="1"/>
    <row r="893" ht="16.5" customHeight="1"/>
    <row r="894" ht="16.5" customHeight="1"/>
    <row r="895" ht="16.5" customHeight="1"/>
    <row r="896" ht="16.5" customHeight="1"/>
    <row r="897" ht="16.5" customHeight="1"/>
    <row r="898" ht="16.5" customHeight="1"/>
    <row r="899" ht="16.5" customHeight="1"/>
    <row r="900" ht="16.5" customHeight="1"/>
    <row r="901" ht="16.5" customHeight="1"/>
    <row r="902" ht="16.5" customHeight="1"/>
    <row r="903" ht="16.5" customHeight="1"/>
    <row r="904" ht="16.5" customHeight="1"/>
    <row r="905" ht="16.5" customHeight="1"/>
    <row r="906" ht="16.5" customHeight="1"/>
    <row r="907" ht="16.5" customHeight="1"/>
    <row r="908" ht="16.5" customHeight="1"/>
    <row r="909" ht="16.5" customHeight="1"/>
    <row r="910" ht="16.5" customHeight="1"/>
    <row r="911" ht="16.5" customHeight="1"/>
    <row r="912" ht="16.5" customHeight="1"/>
    <row r="913" ht="16.5" customHeight="1"/>
    <row r="914" ht="16.5" customHeight="1"/>
    <row r="915" ht="16.5" customHeight="1"/>
    <row r="916" ht="16.5" customHeight="1"/>
    <row r="917" ht="16.5" customHeight="1"/>
    <row r="918" ht="16.5" customHeight="1"/>
    <row r="919" ht="16.5" customHeight="1"/>
    <row r="920" ht="16.5" customHeight="1"/>
    <row r="921" ht="16.5" customHeight="1"/>
    <row r="922" ht="16.5" customHeight="1"/>
    <row r="923" ht="16.5" customHeight="1"/>
    <row r="924" ht="16.5" customHeight="1"/>
    <row r="925" ht="16.5" customHeight="1"/>
    <row r="926" ht="16.5" customHeight="1"/>
    <row r="927" ht="16.5" customHeight="1"/>
    <row r="928" ht="16.5" customHeight="1"/>
    <row r="929" ht="16.5" customHeight="1"/>
    <row r="930" ht="16.5" customHeight="1"/>
    <row r="931" ht="16.5" customHeight="1"/>
    <row r="932" ht="16.5" customHeight="1"/>
    <row r="933" ht="16.5" customHeight="1"/>
    <row r="934" ht="16.5" customHeight="1"/>
    <row r="935" ht="16.5" customHeight="1"/>
    <row r="936" ht="16.5" customHeight="1"/>
    <row r="937" ht="16.5" customHeight="1"/>
    <row r="938" ht="16.5" customHeight="1"/>
    <row r="939" ht="16.5" customHeight="1"/>
    <row r="940" ht="16.5" customHeight="1"/>
    <row r="941" ht="16.5" customHeight="1"/>
    <row r="942" ht="16.5" customHeight="1"/>
    <row r="943" ht="16.5" customHeight="1"/>
    <row r="944" ht="16.5" customHeight="1"/>
    <row r="945" ht="16.5" customHeight="1"/>
    <row r="946" ht="16.5" customHeight="1"/>
    <row r="947" ht="16.5" customHeight="1"/>
    <row r="948" ht="16.5" customHeight="1"/>
    <row r="949" ht="16.5" customHeight="1"/>
    <row r="950" ht="16.5" customHeight="1"/>
    <row r="951" ht="16.5" customHeight="1"/>
    <row r="952" ht="16.5" customHeight="1"/>
    <row r="953" ht="16.5" customHeight="1"/>
    <row r="954" ht="16.5" customHeight="1"/>
    <row r="955" ht="16.5" customHeight="1"/>
    <row r="956" ht="16.5" customHeight="1"/>
    <row r="957" ht="16.5" customHeight="1"/>
    <row r="958" ht="16.5" customHeight="1"/>
    <row r="959" ht="16.5" customHeight="1"/>
    <row r="960" ht="16.5" customHeight="1"/>
    <row r="961" ht="16.5" customHeight="1"/>
    <row r="962" ht="16.5" customHeight="1"/>
    <row r="963" ht="16.5" customHeight="1"/>
    <row r="964" ht="16.5" customHeight="1"/>
    <row r="965" ht="16.5" customHeight="1"/>
    <row r="966" ht="16.5" customHeight="1"/>
    <row r="967" ht="16.5" customHeight="1"/>
    <row r="968" ht="16.5" customHeight="1"/>
    <row r="969" ht="16.5" customHeight="1"/>
    <row r="970" ht="16.5" customHeight="1"/>
    <row r="971" ht="16.5" customHeight="1"/>
    <row r="972" ht="16.5" customHeight="1"/>
    <row r="973" ht="16.5" customHeight="1"/>
    <row r="974" ht="16.5" customHeight="1"/>
    <row r="975" ht="16.5" customHeight="1"/>
    <row r="976" ht="16.5" customHeight="1"/>
    <row r="977" ht="16.5" customHeight="1"/>
    <row r="978" ht="16.5" customHeight="1"/>
    <row r="979" ht="16.5" customHeight="1"/>
    <row r="980" ht="16.5" customHeight="1"/>
    <row r="981" ht="16.5" customHeight="1"/>
    <row r="982" ht="16.5" customHeight="1"/>
    <row r="983" ht="16.5" customHeight="1"/>
    <row r="984" ht="16.5" customHeight="1"/>
    <row r="985" ht="16.5" customHeight="1"/>
    <row r="986" ht="16.5" customHeight="1"/>
    <row r="987" ht="16.5" customHeight="1"/>
    <row r="988" ht="16.5" customHeight="1"/>
    <row r="989" ht="16.5" customHeight="1"/>
    <row r="990" ht="16.5" customHeight="1"/>
    <row r="991" ht="16.5" customHeight="1"/>
    <row r="992" ht="16.5" customHeight="1"/>
    <row r="993" ht="16.5" customHeight="1"/>
    <row r="994" ht="16.5" customHeight="1"/>
    <row r="995" ht="16.5" customHeight="1"/>
    <row r="996" ht="16.5" customHeight="1"/>
    <row r="997" ht="16.5" customHeight="1"/>
    <row r="998" ht="16.5" customHeight="1"/>
    <row r="999" ht="16.5" customHeight="1"/>
    <row r="1000" ht="16.5" customHeight="1"/>
  </sheetData>
  <mergeCells count="19">
    <mergeCell ref="C3:AI3"/>
    <mergeCell ref="C4:D4"/>
    <mergeCell ref="L5:M5"/>
    <mergeCell ref="N5:W5"/>
    <mergeCell ref="D9:D19"/>
    <mergeCell ref="D20:D22"/>
    <mergeCell ref="D26:D31"/>
    <mergeCell ref="X49:Y49"/>
    <mergeCell ref="X50:Y50"/>
    <mergeCell ref="S52:S54"/>
    <mergeCell ref="V52:V54"/>
    <mergeCell ref="X48:Y48"/>
    <mergeCell ref="V49:V51"/>
    <mergeCell ref="S55:U55"/>
    <mergeCell ref="D32:D34"/>
    <mergeCell ref="D35:D37"/>
    <mergeCell ref="D38:D40"/>
    <mergeCell ref="C43:E43"/>
    <mergeCell ref="S49:S51"/>
  </mergeCells>
  <phoneticPr fontId="22" type="noConversion"/>
  <pageMargins left="0.7" right="0.7" top="0.75" bottom="0.75" header="0" footer="0"/>
  <pageSetup paperSize="9"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0C88CD-1061-064C-AFFE-F6A3E1CE7F92}">
  <sheetPr>
    <tabColor theme="7" tint="0.39997558519241921"/>
    <pageSetUpPr fitToPage="1"/>
  </sheetPr>
  <dimension ref="A1:AJ965"/>
  <sheetViews>
    <sheetView showGridLines="0" tabSelected="1" zoomScaleNormal="100" workbookViewId="0">
      <pane xSplit="11" ySplit="6" topLeftCell="L7" activePane="bottomRight" state="frozen"/>
      <selection pane="topRight" activeCell="L1" sqref="L1"/>
      <selection pane="bottomLeft" activeCell="A7" sqref="A7"/>
      <selection pane="bottomRight" activeCell="O15" sqref="O15"/>
    </sheetView>
  </sheetViews>
  <sheetFormatPr baseColWidth="10" defaultColWidth="14.5" defaultRowHeight="15" customHeight="1"/>
  <cols>
    <col min="1" max="1" width="3.1640625" style="152" customWidth="1"/>
    <col min="2" max="2" width="2.1640625" style="152" customWidth="1"/>
    <col min="3" max="3" width="8.83203125" style="152" customWidth="1"/>
    <col min="4" max="4" width="30.5" style="152" customWidth="1"/>
    <col min="5" max="5" width="7.6640625" style="152" customWidth="1"/>
    <col min="6" max="6" width="15" style="152" customWidth="1"/>
    <col min="7" max="7" width="8.1640625" style="152" customWidth="1"/>
    <col min="8" max="9" width="8.83203125" style="152" customWidth="1"/>
    <col min="10" max="11" width="8.83203125" style="152" hidden="1" customWidth="1"/>
    <col min="12" max="26" width="9.83203125" style="152" customWidth="1"/>
    <col min="27" max="27" width="8.83203125" style="152" customWidth="1"/>
    <col min="28" max="28" width="3.1640625" style="152" customWidth="1"/>
    <col min="29" max="29" width="0.5" style="152" customWidth="1"/>
    <col min="30" max="31" width="11.1640625" style="152" customWidth="1"/>
    <col min="32" max="32" width="34.83203125" style="152" bestFit="1" customWidth="1"/>
    <col min="33" max="33" width="3.33203125" style="152" customWidth="1"/>
    <col min="34" max="34" width="24.83203125" style="152" bestFit="1" customWidth="1"/>
    <col min="35" max="35" width="48" style="152" customWidth="1"/>
    <col min="36" max="36" width="24.1640625" style="152" bestFit="1" customWidth="1"/>
    <col min="37" max="37" width="8.5" style="152" bestFit="1" customWidth="1"/>
    <col min="38" max="38" width="14.5" style="152"/>
    <col min="39" max="39" width="6.83203125" style="152" customWidth="1"/>
    <col min="40" max="40" width="6.5" style="152" bestFit="1" customWidth="1"/>
    <col min="41" max="41" width="7.5" style="152" bestFit="1" customWidth="1"/>
    <col min="42" max="42" width="8.5" style="152" bestFit="1" customWidth="1"/>
    <col min="43" max="16384" width="14.5" style="152"/>
  </cols>
  <sheetData>
    <row r="1" spans="1:36" ht="16.5" customHeight="1" thickBot="1">
      <c r="A1" s="150"/>
      <c r="B1" s="150"/>
      <c r="C1" s="150"/>
      <c r="D1" s="150"/>
      <c r="E1" s="151"/>
      <c r="F1" s="151"/>
      <c r="G1" s="151"/>
      <c r="H1" s="151"/>
      <c r="I1" s="150"/>
      <c r="J1" s="150"/>
      <c r="K1" s="150"/>
      <c r="L1" s="151"/>
      <c r="M1" s="151"/>
      <c r="N1" s="151"/>
      <c r="O1" s="151"/>
      <c r="P1" s="151"/>
      <c r="Q1" s="151"/>
      <c r="R1" s="151"/>
      <c r="S1" s="151"/>
      <c r="T1" s="151"/>
      <c r="U1" s="151"/>
      <c r="V1" s="151"/>
      <c r="W1" s="151"/>
      <c r="X1" s="151"/>
      <c r="Y1" s="151"/>
      <c r="Z1" s="151"/>
      <c r="AA1" s="151"/>
      <c r="AB1" s="150"/>
      <c r="AC1" s="150"/>
    </row>
    <row r="2" spans="1:36" ht="16.5" customHeight="1">
      <c r="A2" s="150"/>
      <c r="B2" s="153"/>
      <c r="C2" s="154"/>
      <c r="D2" s="154"/>
      <c r="E2" s="155"/>
      <c r="F2" s="155"/>
      <c r="G2" s="155"/>
      <c r="H2" s="155"/>
      <c r="I2" s="154"/>
      <c r="J2" s="154"/>
      <c r="K2" s="154"/>
      <c r="L2" s="155"/>
      <c r="M2" s="155"/>
      <c r="N2" s="155"/>
      <c r="O2" s="155"/>
      <c r="P2" s="155"/>
      <c r="Q2" s="155"/>
      <c r="R2" s="155"/>
      <c r="S2" s="155"/>
      <c r="T2" s="155"/>
      <c r="U2" s="155"/>
      <c r="V2" s="155"/>
      <c r="W2" s="155"/>
      <c r="X2" s="155"/>
      <c r="Y2" s="155"/>
      <c r="Z2" s="155"/>
      <c r="AA2" s="155"/>
      <c r="AB2" s="156"/>
      <c r="AC2" s="150"/>
    </row>
    <row r="3" spans="1:36" ht="33" thickBot="1">
      <c r="A3" s="150"/>
      <c r="B3" s="157"/>
      <c r="C3" s="411" t="s">
        <v>151</v>
      </c>
      <c r="D3" s="412"/>
      <c r="E3" s="412"/>
      <c r="F3" s="412"/>
      <c r="G3" s="412"/>
      <c r="H3" s="412"/>
      <c r="I3" s="412"/>
      <c r="J3" s="412"/>
      <c r="K3" s="412"/>
      <c r="L3" s="412"/>
      <c r="M3" s="412"/>
      <c r="N3" s="412"/>
      <c r="O3" s="412"/>
      <c r="P3" s="412"/>
      <c r="Q3" s="412"/>
      <c r="R3" s="412"/>
      <c r="S3" s="412"/>
      <c r="T3" s="412"/>
      <c r="U3" s="412"/>
      <c r="V3" s="412"/>
      <c r="W3" s="412"/>
      <c r="X3" s="412"/>
      <c r="Y3" s="412"/>
      <c r="Z3" s="412"/>
      <c r="AA3" s="413"/>
      <c r="AB3" s="158"/>
      <c r="AC3" s="150"/>
    </row>
    <row r="4" spans="1:36" ht="48" customHeight="1" thickBot="1">
      <c r="A4" s="150"/>
      <c r="B4" s="157"/>
      <c r="C4" s="414">
        <v>45861</v>
      </c>
      <c r="D4" s="415"/>
      <c r="E4" s="159"/>
      <c r="F4" s="159"/>
      <c r="G4" s="159"/>
      <c r="H4" s="159"/>
      <c r="I4" s="159"/>
      <c r="J4" s="159"/>
      <c r="K4" s="159"/>
      <c r="L4" s="160"/>
      <c r="M4" s="160"/>
      <c r="N4" s="160"/>
      <c r="O4" s="160"/>
      <c r="P4" s="160"/>
      <c r="Q4" s="160"/>
      <c r="R4" s="160"/>
      <c r="S4" s="160"/>
      <c r="T4" s="160"/>
      <c r="U4" s="160"/>
      <c r="V4" s="160"/>
      <c r="W4" s="160"/>
      <c r="X4" s="160"/>
      <c r="Y4" s="160"/>
      <c r="Z4" s="160"/>
      <c r="AA4" s="160"/>
      <c r="AB4" s="158"/>
      <c r="AC4" s="150"/>
      <c r="AD4" s="347" t="s">
        <v>178</v>
      </c>
      <c r="AE4" s="348"/>
      <c r="AF4" s="349"/>
    </row>
    <row r="5" spans="1:36" ht="14.25" customHeight="1">
      <c r="A5" s="150"/>
      <c r="B5" s="157"/>
      <c r="C5" s="161" t="s">
        <v>75</v>
      </c>
      <c r="D5" s="161"/>
      <c r="K5" s="162"/>
      <c r="L5" s="416"/>
      <c r="M5" s="417"/>
      <c r="N5" s="416"/>
      <c r="O5" s="417"/>
      <c r="P5" s="417"/>
      <c r="Q5" s="417"/>
      <c r="R5" s="417"/>
      <c r="S5" s="417"/>
      <c r="T5" s="417"/>
      <c r="U5" s="417"/>
      <c r="V5" s="417"/>
      <c r="W5" s="417"/>
      <c r="X5" s="163"/>
      <c r="Y5" s="163"/>
      <c r="Z5" s="163"/>
      <c r="AA5" s="345" t="s">
        <v>177</v>
      </c>
      <c r="AB5" s="158"/>
      <c r="AC5" s="150"/>
      <c r="AD5" s="164" t="s">
        <v>155</v>
      </c>
      <c r="AE5" s="165">
        <f ca="1">TODAY()</f>
        <v>45867</v>
      </c>
      <c r="AF5" s="350" t="s">
        <v>179</v>
      </c>
    </row>
    <row r="6" spans="1:36" ht="30">
      <c r="A6" s="150"/>
      <c r="B6" s="157"/>
      <c r="C6" s="167" t="s">
        <v>24</v>
      </c>
      <c r="D6" s="167" t="s">
        <v>25</v>
      </c>
      <c r="E6" s="168" t="s">
        <v>26</v>
      </c>
      <c r="F6" s="168" t="s">
        <v>27</v>
      </c>
      <c r="G6" s="168" t="s">
        <v>28</v>
      </c>
      <c r="H6" s="168" t="s">
        <v>29</v>
      </c>
      <c r="I6" s="168" t="s">
        <v>30</v>
      </c>
      <c r="J6" s="168" t="s">
        <v>31</v>
      </c>
      <c r="K6" s="168" t="s">
        <v>32</v>
      </c>
      <c r="L6" s="169" t="s">
        <v>33</v>
      </c>
      <c r="M6" s="169" t="s">
        <v>34</v>
      </c>
      <c r="N6" s="169" t="s">
        <v>35</v>
      </c>
      <c r="O6" s="169" t="s">
        <v>36</v>
      </c>
      <c r="P6" s="169" t="s">
        <v>37</v>
      </c>
      <c r="Q6" s="169" t="s">
        <v>38</v>
      </c>
      <c r="R6" s="169" t="s">
        <v>39</v>
      </c>
      <c r="S6" s="169" t="s">
        <v>40</v>
      </c>
      <c r="T6" s="169" t="s">
        <v>41</v>
      </c>
      <c r="U6" s="169" t="s">
        <v>42</v>
      </c>
      <c r="V6" s="169" t="s">
        <v>43</v>
      </c>
      <c r="W6" s="169" t="s">
        <v>44</v>
      </c>
      <c r="X6" s="169" t="s">
        <v>45</v>
      </c>
      <c r="Y6" s="169" t="s">
        <v>46</v>
      </c>
      <c r="Z6" s="169" t="s">
        <v>47</v>
      </c>
      <c r="AA6" s="346" t="s">
        <v>48</v>
      </c>
      <c r="AB6" s="158"/>
      <c r="AC6" s="150"/>
      <c r="AD6" s="343" t="s">
        <v>143</v>
      </c>
      <c r="AE6" s="344" t="s">
        <v>137</v>
      </c>
      <c r="AF6" s="341" t="s">
        <v>152</v>
      </c>
      <c r="AG6" s="170"/>
      <c r="AH6" s="171" t="s">
        <v>156</v>
      </c>
      <c r="AI6" s="172"/>
      <c r="AJ6" s="172"/>
    </row>
    <row r="7" spans="1:36" ht="16.5" customHeight="1">
      <c r="A7" s="150"/>
      <c r="B7" s="157"/>
      <c r="C7" s="418" t="s">
        <v>49</v>
      </c>
      <c r="D7" s="174" t="s">
        <v>50</v>
      </c>
      <c r="E7" s="175" t="s">
        <v>51</v>
      </c>
      <c r="F7" s="176" t="s">
        <v>5</v>
      </c>
      <c r="G7" s="177" t="s">
        <v>52</v>
      </c>
      <c r="H7" s="178">
        <v>45691</v>
      </c>
      <c r="I7" s="179">
        <v>45831</v>
      </c>
      <c r="J7" s="178"/>
      <c r="K7" s="178"/>
      <c r="L7" s="180">
        <v>1</v>
      </c>
      <c r="M7" s="180">
        <v>1</v>
      </c>
      <c r="N7" s="180">
        <v>1</v>
      </c>
      <c r="O7" s="180">
        <v>1</v>
      </c>
      <c r="P7" s="193">
        <v>0.75</v>
      </c>
      <c r="Q7" s="182"/>
      <c r="R7" s="182"/>
      <c r="S7" s="182"/>
      <c r="T7" s="182"/>
      <c r="U7" s="182"/>
      <c r="V7" s="182"/>
      <c r="W7" s="182"/>
      <c r="X7" s="182"/>
      <c r="Y7" s="182"/>
      <c r="Z7" s="181"/>
      <c r="AA7" s="183">
        <f t="shared" ref="AA7:AA21" si="0">SUM(L7:Z7)</f>
        <v>4.75</v>
      </c>
      <c r="AB7" s="158"/>
      <c r="AC7" s="150"/>
      <c r="AD7" s="184">
        <v>14.5</v>
      </c>
      <c r="AE7" s="185">
        <f>AA7-AD7</f>
        <v>-9.75</v>
      </c>
      <c r="AF7" s="186" t="s">
        <v>157</v>
      </c>
      <c r="AG7" s="170"/>
      <c r="AH7" s="405" t="s">
        <v>104</v>
      </c>
      <c r="AI7" s="187" t="s">
        <v>105</v>
      </c>
      <c r="AJ7" s="187" t="s">
        <v>106</v>
      </c>
    </row>
    <row r="8" spans="1:36" ht="16.5" customHeight="1">
      <c r="A8" s="150"/>
      <c r="B8" s="157"/>
      <c r="C8" s="419"/>
      <c r="D8" s="188"/>
      <c r="E8" s="176" t="s">
        <v>51</v>
      </c>
      <c r="F8" s="176" t="s">
        <v>4</v>
      </c>
      <c r="G8" s="177" t="s">
        <v>52</v>
      </c>
      <c r="H8" s="178">
        <v>45705</v>
      </c>
      <c r="I8" s="178">
        <v>46127</v>
      </c>
      <c r="J8" s="178"/>
      <c r="K8" s="178"/>
      <c r="L8" s="180">
        <v>0.5</v>
      </c>
      <c r="M8" s="180">
        <v>1</v>
      </c>
      <c r="N8" s="180">
        <v>1</v>
      </c>
      <c r="O8" s="180">
        <v>1</v>
      </c>
      <c r="P8" s="180">
        <v>1</v>
      </c>
      <c r="Q8" s="180">
        <v>1</v>
      </c>
      <c r="R8" s="180">
        <v>1</v>
      </c>
      <c r="S8" s="180">
        <v>1</v>
      </c>
      <c r="T8" s="180">
        <v>1</v>
      </c>
      <c r="U8" s="180">
        <v>1</v>
      </c>
      <c r="V8" s="180">
        <v>1</v>
      </c>
      <c r="W8" s="180">
        <v>1</v>
      </c>
      <c r="X8" s="180">
        <v>1</v>
      </c>
      <c r="Y8" s="180">
        <v>1</v>
      </c>
      <c r="Z8" s="180">
        <v>0.5</v>
      </c>
      <c r="AA8" s="189">
        <f t="shared" si="0"/>
        <v>14</v>
      </c>
      <c r="AB8" s="158"/>
      <c r="AC8" s="150"/>
      <c r="AD8" s="190">
        <v>14</v>
      </c>
      <c r="AE8" s="191">
        <f t="shared" ref="AE8:AE21" si="1">AA8-AD8</f>
        <v>0</v>
      </c>
      <c r="AF8" s="186" t="s">
        <v>158</v>
      </c>
      <c r="AG8" s="170"/>
      <c r="AH8" s="406"/>
      <c r="AI8" s="187" t="s">
        <v>107</v>
      </c>
      <c r="AJ8" s="187"/>
    </row>
    <row r="9" spans="1:36" ht="16.5" customHeight="1">
      <c r="A9" s="150"/>
      <c r="B9" s="157"/>
      <c r="C9" s="173" t="s">
        <v>53</v>
      </c>
      <c r="D9" s="174" t="s">
        <v>54</v>
      </c>
      <c r="E9" s="176" t="s">
        <v>51</v>
      </c>
      <c r="F9" s="176" t="s">
        <v>21</v>
      </c>
      <c r="G9" s="192" t="s">
        <v>51</v>
      </c>
      <c r="H9" s="178">
        <v>45733</v>
      </c>
      <c r="I9" s="179">
        <v>46112</v>
      </c>
      <c r="J9" s="178"/>
      <c r="K9" s="178"/>
      <c r="L9" s="180"/>
      <c r="M9" s="180">
        <v>0.5</v>
      </c>
      <c r="N9" s="180">
        <v>1</v>
      </c>
      <c r="O9" s="180">
        <v>1</v>
      </c>
      <c r="P9" s="180">
        <v>1</v>
      </c>
      <c r="Q9" s="180">
        <v>1</v>
      </c>
      <c r="R9" s="180">
        <v>1</v>
      </c>
      <c r="S9" s="193">
        <v>1</v>
      </c>
      <c r="T9" s="194">
        <v>1</v>
      </c>
      <c r="U9" s="194">
        <v>1</v>
      </c>
      <c r="V9" s="194">
        <v>1</v>
      </c>
      <c r="W9" s="194">
        <v>1</v>
      </c>
      <c r="X9" s="194">
        <v>1</v>
      </c>
      <c r="Y9" s="194">
        <v>1</v>
      </c>
      <c r="Z9" s="195"/>
      <c r="AA9" s="183">
        <f t="shared" si="0"/>
        <v>12.5</v>
      </c>
      <c r="AB9" s="158"/>
      <c r="AC9" s="150"/>
      <c r="AD9" s="190">
        <v>6</v>
      </c>
      <c r="AE9" s="196">
        <f t="shared" si="1"/>
        <v>6.5</v>
      </c>
      <c r="AF9" s="197" t="s">
        <v>153</v>
      </c>
      <c r="AG9" s="170"/>
      <c r="AH9" s="406"/>
      <c r="AI9" s="187" t="s">
        <v>108</v>
      </c>
      <c r="AJ9" s="187"/>
    </row>
    <row r="10" spans="1:36" ht="16.5" customHeight="1">
      <c r="A10" s="150"/>
      <c r="B10" s="157"/>
      <c r="C10" s="198"/>
      <c r="D10" s="199" t="s">
        <v>54</v>
      </c>
      <c r="E10" s="176" t="s">
        <v>51</v>
      </c>
      <c r="F10" s="176" t="s">
        <v>15</v>
      </c>
      <c r="G10" s="192" t="s">
        <v>52</v>
      </c>
      <c r="H10" s="178">
        <v>45748</v>
      </c>
      <c r="I10" s="179">
        <v>46112</v>
      </c>
      <c r="J10" s="178"/>
      <c r="K10" s="178"/>
      <c r="L10" s="180"/>
      <c r="M10" s="180"/>
      <c r="N10" s="180">
        <v>1</v>
      </c>
      <c r="O10" s="180">
        <v>1</v>
      </c>
      <c r="P10" s="180">
        <v>1</v>
      </c>
      <c r="Q10" s="180">
        <v>1</v>
      </c>
      <c r="R10" s="180">
        <v>1</v>
      </c>
      <c r="S10" s="180">
        <v>1</v>
      </c>
      <c r="T10" s="180">
        <v>1</v>
      </c>
      <c r="U10" s="194">
        <v>1</v>
      </c>
      <c r="V10" s="194">
        <v>1</v>
      </c>
      <c r="W10" s="194">
        <v>1</v>
      </c>
      <c r="X10" s="200">
        <v>1</v>
      </c>
      <c r="Y10" s="200">
        <v>1</v>
      </c>
      <c r="Z10" s="195"/>
      <c r="AA10" s="183">
        <f t="shared" si="0"/>
        <v>12</v>
      </c>
      <c r="AB10" s="158"/>
      <c r="AC10" s="150"/>
      <c r="AD10" s="201">
        <v>0</v>
      </c>
      <c r="AE10" s="196">
        <f t="shared" si="1"/>
        <v>12</v>
      </c>
      <c r="AF10" s="197" t="s">
        <v>153</v>
      </c>
      <c r="AG10" s="170"/>
      <c r="AH10" s="407"/>
      <c r="AI10" s="187" t="s">
        <v>109</v>
      </c>
      <c r="AJ10" s="187"/>
    </row>
    <row r="11" spans="1:36" ht="16.5" customHeight="1">
      <c r="A11" s="150"/>
      <c r="B11" s="157"/>
      <c r="C11" s="198"/>
      <c r="D11" s="202" t="s">
        <v>141</v>
      </c>
      <c r="E11" s="176" t="s">
        <v>51</v>
      </c>
      <c r="F11" s="176" t="s">
        <v>8</v>
      </c>
      <c r="G11" s="192" t="s">
        <v>52</v>
      </c>
      <c r="H11" s="178">
        <v>45691</v>
      </c>
      <c r="I11" s="178">
        <v>45989</v>
      </c>
      <c r="J11" s="178"/>
      <c r="K11" s="178"/>
      <c r="L11" s="180">
        <v>1</v>
      </c>
      <c r="M11" s="180">
        <v>1</v>
      </c>
      <c r="N11" s="180">
        <v>1</v>
      </c>
      <c r="O11" s="180">
        <v>1</v>
      </c>
      <c r="P11" s="180">
        <v>1</v>
      </c>
      <c r="Q11" s="180">
        <v>1</v>
      </c>
      <c r="R11" s="180">
        <v>1</v>
      </c>
      <c r="S11" s="180">
        <v>1</v>
      </c>
      <c r="T11" s="180">
        <v>1</v>
      </c>
      <c r="U11" s="180">
        <v>1</v>
      </c>
      <c r="V11" s="180"/>
      <c r="W11" s="180"/>
      <c r="X11" s="180"/>
      <c r="Y11" s="180"/>
      <c r="Z11" s="180"/>
      <c r="AA11" s="189">
        <f t="shared" si="0"/>
        <v>10</v>
      </c>
      <c r="AB11" s="158"/>
      <c r="AC11" s="150"/>
      <c r="AD11" s="190">
        <v>10</v>
      </c>
      <c r="AE11" s="191">
        <f t="shared" si="1"/>
        <v>0</v>
      </c>
      <c r="AF11" s="186"/>
      <c r="AG11" s="170"/>
      <c r="AH11" s="405" t="s">
        <v>110</v>
      </c>
      <c r="AI11" s="187" t="s">
        <v>107</v>
      </c>
      <c r="AJ11" s="187"/>
    </row>
    <row r="12" spans="1:36" ht="16.5" customHeight="1">
      <c r="A12" s="150"/>
      <c r="B12" s="157"/>
      <c r="C12" s="198"/>
      <c r="D12" s="203" t="s">
        <v>140</v>
      </c>
      <c r="E12" s="176" t="s">
        <v>51</v>
      </c>
      <c r="F12" s="176" t="s">
        <v>9</v>
      </c>
      <c r="G12" s="177" t="s">
        <v>52</v>
      </c>
      <c r="H12" s="178">
        <v>45691</v>
      </c>
      <c r="I12" s="179">
        <v>45900</v>
      </c>
      <c r="J12" s="178"/>
      <c r="K12" s="178"/>
      <c r="L12" s="180">
        <v>1</v>
      </c>
      <c r="M12" s="180">
        <v>1</v>
      </c>
      <c r="N12" s="180">
        <v>1</v>
      </c>
      <c r="O12" s="180">
        <v>1</v>
      </c>
      <c r="P12" s="180">
        <v>1</v>
      </c>
      <c r="Q12" s="180">
        <v>1</v>
      </c>
      <c r="R12" s="194">
        <v>0.75</v>
      </c>
      <c r="S12" s="182"/>
      <c r="T12" s="182"/>
      <c r="U12" s="182"/>
      <c r="V12" s="181"/>
      <c r="W12" s="180"/>
      <c r="X12" s="180"/>
      <c r="Y12" s="180"/>
      <c r="Z12" s="180"/>
      <c r="AA12" s="183">
        <f t="shared" si="0"/>
        <v>6.75</v>
      </c>
      <c r="AB12" s="158"/>
      <c r="AC12" s="150"/>
      <c r="AD12" s="190">
        <v>10.5</v>
      </c>
      <c r="AE12" s="204">
        <f t="shared" si="1"/>
        <v>-3.75</v>
      </c>
      <c r="AF12" s="205" t="s">
        <v>159</v>
      </c>
      <c r="AG12" s="170"/>
      <c r="AH12" s="407"/>
      <c r="AI12" s="187" t="s">
        <v>108</v>
      </c>
      <c r="AJ12" s="187"/>
    </row>
    <row r="13" spans="1:36" ht="16.5" customHeight="1">
      <c r="A13" s="150" t="s">
        <v>86</v>
      </c>
      <c r="B13" s="157"/>
      <c r="C13" s="206" t="s">
        <v>49</v>
      </c>
      <c r="D13" s="203" t="s">
        <v>140</v>
      </c>
      <c r="E13" s="176" t="s">
        <v>51</v>
      </c>
      <c r="F13" s="176" t="s">
        <v>83</v>
      </c>
      <c r="G13" s="192"/>
      <c r="H13" s="207">
        <v>45810</v>
      </c>
      <c r="I13" s="179">
        <v>45817</v>
      </c>
      <c r="J13" s="178"/>
      <c r="K13" s="178"/>
      <c r="L13" s="180"/>
      <c r="M13" s="180"/>
      <c r="N13" s="180"/>
      <c r="O13" s="180"/>
      <c r="P13" s="195">
        <v>0.25</v>
      </c>
      <c r="Q13" s="180"/>
      <c r="R13" s="180"/>
      <c r="S13" s="180"/>
      <c r="T13" s="180"/>
      <c r="U13" s="180"/>
      <c r="V13" s="180"/>
      <c r="W13" s="180"/>
      <c r="X13" s="195"/>
      <c r="Y13" s="195"/>
      <c r="Z13" s="195"/>
      <c r="AA13" s="183">
        <f t="shared" si="0"/>
        <v>0.25</v>
      </c>
      <c r="AB13" s="158"/>
      <c r="AC13" s="150"/>
      <c r="AD13" s="201">
        <v>0</v>
      </c>
      <c r="AE13" s="204">
        <f t="shared" si="1"/>
        <v>0.25</v>
      </c>
      <c r="AF13" s="208" t="s">
        <v>160</v>
      </c>
      <c r="AG13" s="170"/>
      <c r="AH13" s="405" t="s">
        <v>112</v>
      </c>
      <c r="AI13" s="187" t="s">
        <v>113</v>
      </c>
      <c r="AJ13" s="187"/>
    </row>
    <row r="14" spans="1:36" ht="16.5" customHeight="1">
      <c r="A14" s="150"/>
      <c r="B14" s="157"/>
      <c r="C14" s="206" t="s">
        <v>142</v>
      </c>
      <c r="D14" s="203" t="s">
        <v>140</v>
      </c>
      <c r="E14" s="176" t="s">
        <v>51</v>
      </c>
      <c r="F14" s="176" t="s">
        <v>95</v>
      </c>
      <c r="G14" s="192" t="s">
        <v>52</v>
      </c>
      <c r="H14" s="178">
        <v>45824</v>
      </c>
      <c r="I14" s="179">
        <v>45900</v>
      </c>
      <c r="J14" s="178"/>
      <c r="K14" s="178"/>
      <c r="L14" s="180"/>
      <c r="M14" s="180"/>
      <c r="N14" s="180"/>
      <c r="O14" s="180"/>
      <c r="P14" s="195">
        <v>0.5</v>
      </c>
      <c r="Q14" s="195">
        <v>1</v>
      </c>
      <c r="R14" s="194">
        <v>0.75</v>
      </c>
      <c r="S14" s="180"/>
      <c r="T14" s="180"/>
      <c r="U14" s="180"/>
      <c r="V14" s="180"/>
      <c r="W14" s="180"/>
      <c r="X14" s="195"/>
      <c r="Y14" s="195"/>
      <c r="Z14" s="195"/>
      <c r="AA14" s="183">
        <f t="shared" si="0"/>
        <v>2.25</v>
      </c>
      <c r="AB14" s="158"/>
      <c r="AC14" s="150"/>
      <c r="AD14" s="201">
        <v>0</v>
      </c>
      <c r="AE14" s="204">
        <f t="shared" si="1"/>
        <v>2.25</v>
      </c>
      <c r="AF14" s="186" t="s">
        <v>136</v>
      </c>
      <c r="AG14" s="170"/>
      <c r="AH14" s="407"/>
      <c r="AI14" s="187" t="s">
        <v>107</v>
      </c>
      <c r="AJ14" s="187"/>
    </row>
    <row r="15" spans="1:36" ht="16.5" customHeight="1">
      <c r="A15" s="150" t="s">
        <v>86</v>
      </c>
      <c r="B15" s="157"/>
      <c r="C15" s="206" t="s">
        <v>49</v>
      </c>
      <c r="D15" s="203" t="s">
        <v>140</v>
      </c>
      <c r="E15" s="176" t="s">
        <v>51</v>
      </c>
      <c r="F15" s="176" t="s">
        <v>96</v>
      </c>
      <c r="G15" s="192"/>
      <c r="H15" s="178">
        <v>45824</v>
      </c>
      <c r="I15" s="179">
        <v>46022</v>
      </c>
      <c r="J15" s="178"/>
      <c r="K15" s="178"/>
      <c r="L15" s="180"/>
      <c r="M15" s="180"/>
      <c r="N15" s="180"/>
      <c r="O15" s="180"/>
      <c r="P15" s="195">
        <v>0.5</v>
      </c>
      <c r="Q15" s="195">
        <v>1</v>
      </c>
      <c r="R15" s="195">
        <v>1</v>
      </c>
      <c r="S15" s="195">
        <v>1</v>
      </c>
      <c r="T15" s="195">
        <v>1</v>
      </c>
      <c r="U15" s="195">
        <v>1</v>
      </c>
      <c r="V15" s="195">
        <v>1</v>
      </c>
      <c r="W15" s="180"/>
      <c r="X15" s="195"/>
      <c r="Y15" s="195"/>
      <c r="Z15" s="195"/>
      <c r="AA15" s="183">
        <f t="shared" si="0"/>
        <v>6.5</v>
      </c>
      <c r="AB15" s="158"/>
      <c r="AC15" s="150"/>
      <c r="AD15" s="201">
        <v>0</v>
      </c>
      <c r="AE15" s="196">
        <f t="shared" si="1"/>
        <v>6.5</v>
      </c>
      <c r="AF15" s="197" t="s">
        <v>162</v>
      </c>
      <c r="AG15" s="170"/>
      <c r="AH15" s="172"/>
      <c r="AI15" s="172"/>
      <c r="AJ15" s="172"/>
    </row>
    <row r="16" spans="1:36" ht="16.5" customHeight="1">
      <c r="A16" s="150"/>
      <c r="B16" s="157"/>
      <c r="C16" s="206" t="s">
        <v>49</v>
      </c>
      <c r="D16" s="203" t="s">
        <v>140</v>
      </c>
      <c r="E16" s="176" t="s">
        <v>51</v>
      </c>
      <c r="F16" s="176" t="s">
        <v>19</v>
      </c>
      <c r="G16" s="192" t="s">
        <v>52</v>
      </c>
      <c r="H16" s="178">
        <v>45748</v>
      </c>
      <c r="I16" s="179">
        <v>45961</v>
      </c>
      <c r="J16" s="178"/>
      <c r="K16" s="178"/>
      <c r="L16" s="180"/>
      <c r="M16" s="180"/>
      <c r="N16" s="180">
        <v>1</v>
      </c>
      <c r="O16" s="180">
        <v>1</v>
      </c>
      <c r="P16" s="180">
        <v>1</v>
      </c>
      <c r="Q16" s="180">
        <v>1</v>
      </c>
      <c r="R16" s="180">
        <v>1</v>
      </c>
      <c r="S16" s="180">
        <v>1</v>
      </c>
      <c r="T16" s="180">
        <v>1</v>
      </c>
      <c r="U16" s="180"/>
      <c r="V16" s="180"/>
      <c r="W16" s="180"/>
      <c r="X16" s="195"/>
      <c r="Y16" s="195"/>
      <c r="Z16" s="195"/>
      <c r="AA16" s="209">
        <f t="shared" si="0"/>
        <v>7</v>
      </c>
      <c r="AB16" s="158"/>
      <c r="AC16" s="150"/>
      <c r="AD16" s="201">
        <v>0</v>
      </c>
      <c r="AE16" s="196">
        <f t="shared" si="1"/>
        <v>7</v>
      </c>
      <c r="AF16" s="186" t="s">
        <v>136</v>
      </c>
      <c r="AG16" s="170"/>
      <c r="AH16" s="210"/>
      <c r="AI16" s="210"/>
      <c r="AJ16" s="172"/>
    </row>
    <row r="17" spans="1:36" ht="16.5" customHeight="1">
      <c r="A17" s="150"/>
      <c r="B17" s="157"/>
      <c r="C17" s="206" t="s">
        <v>49</v>
      </c>
      <c r="D17" s="203" t="s">
        <v>140</v>
      </c>
      <c r="E17" s="211" t="s">
        <v>57</v>
      </c>
      <c r="F17" s="211" t="s">
        <v>12</v>
      </c>
      <c r="G17" s="212" t="s">
        <v>51</v>
      </c>
      <c r="H17" s="213">
        <v>45691</v>
      </c>
      <c r="I17" s="214">
        <v>45930</v>
      </c>
      <c r="J17" s="215"/>
      <c r="K17" s="215"/>
      <c r="L17" s="216">
        <v>1</v>
      </c>
      <c r="M17" s="216">
        <v>1</v>
      </c>
      <c r="N17" s="216">
        <v>1</v>
      </c>
      <c r="O17" s="216">
        <v>1</v>
      </c>
      <c r="P17" s="216">
        <v>1</v>
      </c>
      <c r="Q17" s="216">
        <v>1</v>
      </c>
      <c r="R17" s="216">
        <v>1</v>
      </c>
      <c r="S17" s="216">
        <v>1</v>
      </c>
      <c r="T17" s="371">
        <v>1</v>
      </c>
      <c r="U17" s="216"/>
      <c r="V17" s="216"/>
      <c r="W17" s="216"/>
      <c r="X17" s="216"/>
      <c r="Y17" s="216"/>
      <c r="Z17" s="216"/>
      <c r="AA17" s="183">
        <f t="shared" si="0"/>
        <v>9</v>
      </c>
      <c r="AB17" s="158"/>
      <c r="AC17" s="150"/>
      <c r="AD17" s="190">
        <v>9</v>
      </c>
      <c r="AE17" s="204">
        <f t="shared" si="1"/>
        <v>0</v>
      </c>
      <c r="AF17" s="373" t="s">
        <v>163</v>
      </c>
      <c r="AG17" s="170"/>
      <c r="AH17" s="171" t="s">
        <v>164</v>
      </c>
      <c r="AI17" s="172"/>
      <c r="AJ17" s="172"/>
    </row>
    <row r="18" spans="1:36" ht="16.5" customHeight="1">
      <c r="A18" s="150"/>
      <c r="B18" s="157"/>
      <c r="C18" s="206" t="s">
        <v>49</v>
      </c>
      <c r="D18" s="203" t="s">
        <v>140</v>
      </c>
      <c r="E18" s="211" t="s">
        <v>57</v>
      </c>
      <c r="F18" s="211" t="s">
        <v>16</v>
      </c>
      <c r="G18" s="212" t="s">
        <v>51</v>
      </c>
      <c r="H18" s="213">
        <v>45720</v>
      </c>
      <c r="I18" s="214">
        <v>45900</v>
      </c>
      <c r="J18" s="215"/>
      <c r="K18" s="215"/>
      <c r="L18" s="216"/>
      <c r="M18" s="216">
        <v>1</v>
      </c>
      <c r="N18" s="216">
        <v>1</v>
      </c>
      <c r="O18" s="216">
        <v>1</v>
      </c>
      <c r="P18" s="216">
        <v>1</v>
      </c>
      <c r="Q18" s="216">
        <v>1</v>
      </c>
      <c r="R18" s="216">
        <v>1</v>
      </c>
      <c r="S18" s="217"/>
      <c r="T18" s="217"/>
      <c r="U18" s="217"/>
      <c r="V18" s="217"/>
      <c r="W18" s="216"/>
      <c r="X18" s="216"/>
      <c r="Y18" s="216"/>
      <c r="Z18" s="216"/>
      <c r="AA18" s="183">
        <f t="shared" si="0"/>
        <v>6</v>
      </c>
      <c r="AB18" s="158"/>
      <c r="AC18" s="150"/>
      <c r="AD18" s="190">
        <v>10</v>
      </c>
      <c r="AE18" s="204">
        <f t="shared" si="1"/>
        <v>-4</v>
      </c>
      <c r="AF18" s="205" t="s">
        <v>163</v>
      </c>
      <c r="AG18" s="170"/>
      <c r="AH18" s="218" t="s">
        <v>15</v>
      </c>
      <c r="AI18" s="187" t="s">
        <v>114</v>
      </c>
      <c r="AJ18" s="172"/>
    </row>
    <row r="19" spans="1:36" ht="16.5" customHeight="1">
      <c r="A19" s="150"/>
      <c r="B19" s="157"/>
      <c r="C19" s="206" t="s">
        <v>49</v>
      </c>
      <c r="D19" s="203" t="s">
        <v>140</v>
      </c>
      <c r="E19" s="211" t="s">
        <v>57</v>
      </c>
      <c r="F19" s="211" t="s">
        <v>20</v>
      </c>
      <c r="G19" s="212" t="s">
        <v>51</v>
      </c>
      <c r="H19" s="213">
        <v>45720</v>
      </c>
      <c r="I19" s="214">
        <v>46022</v>
      </c>
      <c r="J19" s="215"/>
      <c r="K19" s="215"/>
      <c r="L19" s="216"/>
      <c r="M19" s="216">
        <v>1</v>
      </c>
      <c r="N19" s="216">
        <v>1</v>
      </c>
      <c r="O19" s="216">
        <v>1</v>
      </c>
      <c r="P19" s="216">
        <v>1</v>
      </c>
      <c r="Q19" s="216">
        <v>1</v>
      </c>
      <c r="R19" s="216">
        <v>1</v>
      </c>
      <c r="S19" s="219">
        <v>1</v>
      </c>
      <c r="T19" s="219">
        <v>1</v>
      </c>
      <c r="U19" s="219">
        <v>1</v>
      </c>
      <c r="V19" s="219">
        <v>1</v>
      </c>
      <c r="W19" s="216"/>
      <c r="X19" s="216"/>
      <c r="Y19" s="216"/>
      <c r="Z19" s="216"/>
      <c r="AA19" s="183">
        <f t="shared" si="0"/>
        <v>10</v>
      </c>
      <c r="AB19" s="158"/>
      <c r="AC19" s="150"/>
      <c r="AD19" s="190">
        <v>6</v>
      </c>
      <c r="AE19" s="204">
        <f t="shared" si="1"/>
        <v>4</v>
      </c>
      <c r="AF19" s="197" t="s">
        <v>165</v>
      </c>
      <c r="AG19" s="170"/>
      <c r="AH19" s="210" t="s">
        <v>8</v>
      </c>
      <c r="AI19" s="220" t="s">
        <v>115</v>
      </c>
      <c r="AJ19" s="172"/>
    </row>
    <row r="20" spans="1:36" ht="16.5" customHeight="1">
      <c r="A20" s="150"/>
      <c r="B20" s="157"/>
      <c r="C20" s="206" t="s">
        <v>49</v>
      </c>
      <c r="D20" s="203" t="s">
        <v>140</v>
      </c>
      <c r="E20" s="221" t="s">
        <v>59</v>
      </c>
      <c r="F20" s="221" t="s">
        <v>13</v>
      </c>
      <c r="G20" s="222"/>
      <c r="H20" s="223">
        <v>45691</v>
      </c>
      <c r="I20" s="224">
        <v>45930</v>
      </c>
      <c r="J20" s="225"/>
      <c r="K20" s="225"/>
      <c r="L20" s="226">
        <v>1</v>
      </c>
      <c r="M20" s="226">
        <v>1</v>
      </c>
      <c r="N20" s="226">
        <v>1</v>
      </c>
      <c r="O20" s="226">
        <v>1</v>
      </c>
      <c r="P20" s="226">
        <v>1</v>
      </c>
      <c r="Q20" s="226">
        <v>1</v>
      </c>
      <c r="R20" s="194">
        <v>0.75</v>
      </c>
      <c r="S20" s="227"/>
      <c r="T20" s="227"/>
      <c r="U20" s="227"/>
      <c r="V20" s="226"/>
      <c r="W20" s="226"/>
      <c r="X20" s="226"/>
      <c r="Y20" s="226"/>
      <c r="Z20" s="226"/>
      <c r="AA20" s="183">
        <f t="shared" si="0"/>
        <v>6.75</v>
      </c>
      <c r="AB20" s="158"/>
      <c r="AC20" s="150"/>
      <c r="AD20" s="190">
        <v>10</v>
      </c>
      <c r="AE20" s="204">
        <f t="shared" si="1"/>
        <v>-3.25</v>
      </c>
      <c r="AF20" s="205" t="s">
        <v>166</v>
      </c>
      <c r="AG20" s="170"/>
      <c r="AH20" s="210" t="s">
        <v>20</v>
      </c>
      <c r="AI20" s="220" t="s">
        <v>116</v>
      </c>
      <c r="AJ20" s="172"/>
    </row>
    <row r="21" spans="1:36" ht="16.5" customHeight="1">
      <c r="A21" s="150"/>
      <c r="B21" s="157"/>
      <c r="C21" s="206" t="s">
        <v>49</v>
      </c>
      <c r="D21" s="203" t="s">
        <v>140</v>
      </c>
      <c r="E21" s="221" t="s">
        <v>59</v>
      </c>
      <c r="F21" s="221" t="s">
        <v>17</v>
      </c>
      <c r="G21" s="228"/>
      <c r="H21" s="223">
        <v>45691</v>
      </c>
      <c r="I21" s="224">
        <v>46022</v>
      </c>
      <c r="J21" s="225"/>
      <c r="K21" s="225"/>
      <c r="L21" s="226">
        <v>1</v>
      </c>
      <c r="M21" s="226">
        <v>1</v>
      </c>
      <c r="N21" s="226">
        <v>1</v>
      </c>
      <c r="O21" s="226">
        <v>1</v>
      </c>
      <c r="P21" s="226">
        <v>1</v>
      </c>
      <c r="Q21" s="226">
        <v>1</v>
      </c>
      <c r="R21" s="226">
        <v>1</v>
      </c>
      <c r="S21" s="226">
        <v>1</v>
      </c>
      <c r="T21" s="226">
        <v>1</v>
      </c>
      <c r="U21" s="229">
        <v>1</v>
      </c>
      <c r="V21" s="229">
        <v>1</v>
      </c>
      <c r="W21" s="440">
        <v>0.75</v>
      </c>
      <c r="X21" s="226"/>
      <c r="Y21" s="226"/>
      <c r="Z21" s="226"/>
      <c r="AA21" s="183">
        <f t="shared" si="0"/>
        <v>11.75</v>
      </c>
      <c r="AB21" s="158"/>
      <c r="AC21" s="150"/>
      <c r="AD21" s="230">
        <v>9</v>
      </c>
      <c r="AE21" s="231">
        <f t="shared" si="1"/>
        <v>2.75</v>
      </c>
      <c r="AF21" s="232" t="s">
        <v>167</v>
      </c>
      <c r="AG21" s="170"/>
      <c r="AH21" s="210" t="s">
        <v>19</v>
      </c>
      <c r="AI21" s="220" t="s">
        <v>117</v>
      </c>
      <c r="AJ21" s="172"/>
    </row>
    <row r="22" spans="1:36" ht="16.5" customHeight="1">
      <c r="A22" s="150"/>
      <c r="B22" s="157"/>
      <c r="C22" s="233" t="s">
        <v>49</v>
      </c>
      <c r="D22" s="234" t="s">
        <v>60</v>
      </c>
      <c r="E22" s="235"/>
      <c r="F22" s="235"/>
      <c r="G22" s="235"/>
      <c r="H22" s="235"/>
      <c r="I22" s="235" t="s">
        <v>61</v>
      </c>
      <c r="J22" s="236"/>
      <c r="K22" s="236"/>
      <c r="L22" s="237">
        <f t="shared" ref="L22:AA22" si="2">SUM(L7:L21)</f>
        <v>6.5</v>
      </c>
      <c r="M22" s="237">
        <f t="shared" si="2"/>
        <v>9.5</v>
      </c>
      <c r="N22" s="237">
        <f t="shared" si="2"/>
        <v>12</v>
      </c>
      <c r="O22" s="237">
        <f t="shared" si="2"/>
        <v>12</v>
      </c>
      <c r="P22" s="237">
        <f t="shared" si="2"/>
        <v>13</v>
      </c>
      <c r="Q22" s="237">
        <f t="shared" si="2"/>
        <v>13</v>
      </c>
      <c r="R22" s="237">
        <f t="shared" si="2"/>
        <v>12.25</v>
      </c>
      <c r="S22" s="237">
        <f t="shared" si="2"/>
        <v>9</v>
      </c>
      <c r="T22" s="237">
        <f t="shared" si="2"/>
        <v>9</v>
      </c>
      <c r="U22" s="237">
        <f t="shared" si="2"/>
        <v>7</v>
      </c>
      <c r="V22" s="237">
        <f t="shared" si="2"/>
        <v>6</v>
      </c>
      <c r="W22" s="237">
        <f t="shared" si="2"/>
        <v>3.75</v>
      </c>
      <c r="X22" s="237">
        <f t="shared" si="2"/>
        <v>3</v>
      </c>
      <c r="Y22" s="237">
        <f t="shared" si="2"/>
        <v>3</v>
      </c>
      <c r="Z22" s="237">
        <f t="shared" si="2"/>
        <v>0.5</v>
      </c>
      <c r="AA22" s="238">
        <f t="shared" si="2"/>
        <v>119.5</v>
      </c>
      <c r="AB22" s="158"/>
      <c r="AC22" s="150"/>
      <c r="AD22" s="239">
        <f>SUM(AD7:AD21)</f>
        <v>99</v>
      </c>
      <c r="AE22" s="240">
        <f>SUM(AE7:AE21)</f>
        <v>20.5</v>
      </c>
      <c r="AF22" s="166"/>
      <c r="AH22" s="210" t="s">
        <v>118</v>
      </c>
      <c r="AI22" s="220" t="s">
        <v>119</v>
      </c>
      <c r="AJ22" s="172"/>
    </row>
    <row r="23" spans="1:36" ht="17">
      <c r="A23" s="241"/>
      <c r="B23" s="242"/>
      <c r="C23" s="243"/>
      <c r="D23" s="244"/>
      <c r="E23" s="245"/>
      <c r="F23" s="245"/>
      <c r="G23" s="245"/>
      <c r="H23" s="246"/>
      <c r="I23" s="246"/>
      <c r="J23" s="246"/>
      <c r="K23" s="246"/>
      <c r="L23" s="245"/>
      <c r="M23" s="245"/>
      <c r="N23" s="245"/>
      <c r="O23" s="245"/>
      <c r="P23" s="245"/>
      <c r="Q23" s="245"/>
      <c r="R23" s="245"/>
      <c r="S23" s="245"/>
      <c r="T23" s="245"/>
      <c r="U23" s="245"/>
      <c r="V23" s="245"/>
      <c r="W23" s="245"/>
      <c r="X23" s="245"/>
      <c r="Y23" s="245"/>
      <c r="Z23" s="245"/>
      <c r="AA23" s="245"/>
      <c r="AB23" s="247"/>
      <c r="AC23" s="241"/>
      <c r="AD23" s="248"/>
      <c r="AE23" s="249"/>
      <c r="AF23" s="166"/>
      <c r="AH23" s="210" t="s">
        <v>120</v>
      </c>
      <c r="AI23" s="220" t="s">
        <v>121</v>
      </c>
      <c r="AJ23" s="172"/>
    </row>
    <row r="24" spans="1:36" ht="16.5" customHeight="1">
      <c r="A24" s="150"/>
      <c r="B24" s="157"/>
      <c r="C24" s="250" t="s">
        <v>62</v>
      </c>
      <c r="D24" s="251" t="s">
        <v>54</v>
      </c>
      <c r="E24" s="252" t="s">
        <v>57</v>
      </c>
      <c r="F24" s="252" t="s">
        <v>6</v>
      </c>
      <c r="G24" s="253"/>
      <c r="H24" s="215">
        <v>45726</v>
      </c>
      <c r="I24" s="215">
        <v>46127</v>
      </c>
      <c r="J24" s="215"/>
      <c r="K24" s="215"/>
      <c r="L24" s="216"/>
      <c r="M24" s="216">
        <v>0.75</v>
      </c>
      <c r="N24" s="216">
        <v>1</v>
      </c>
      <c r="O24" s="216">
        <v>1</v>
      </c>
      <c r="P24" s="216">
        <v>1</v>
      </c>
      <c r="Q24" s="216">
        <v>1</v>
      </c>
      <c r="R24" s="216">
        <v>1</v>
      </c>
      <c r="S24" s="216">
        <v>1</v>
      </c>
      <c r="T24" s="216">
        <v>1</v>
      </c>
      <c r="U24" s="216">
        <v>1</v>
      </c>
      <c r="V24" s="216">
        <v>1</v>
      </c>
      <c r="W24" s="216">
        <v>1</v>
      </c>
      <c r="X24" s="216">
        <v>1</v>
      </c>
      <c r="Y24" s="216">
        <v>1</v>
      </c>
      <c r="Z24" s="216">
        <v>0.5</v>
      </c>
      <c r="AA24" s="189">
        <f t="shared" ref="AA24:AA34" si="3">SUM(L24:Z24)</f>
        <v>13.25</v>
      </c>
      <c r="AB24" s="158"/>
      <c r="AC24" s="150"/>
      <c r="AD24" s="254">
        <v>13.25</v>
      </c>
      <c r="AE24" s="255">
        <f t="shared" ref="AE24:AE34" si="4">AA24-AD24</f>
        <v>0</v>
      </c>
      <c r="AF24" s="166"/>
      <c r="AG24" s="170"/>
      <c r="AH24" s="218" t="s">
        <v>21</v>
      </c>
      <c r="AI24" s="187" t="s">
        <v>122</v>
      </c>
      <c r="AJ24" s="172"/>
    </row>
    <row r="25" spans="1:36" ht="16.5" customHeight="1">
      <c r="A25" s="150"/>
      <c r="B25" s="157"/>
      <c r="C25" s="256"/>
      <c r="D25" s="202" t="s">
        <v>63</v>
      </c>
      <c r="E25" s="252" t="s">
        <v>57</v>
      </c>
      <c r="F25" s="252" t="s">
        <v>10</v>
      </c>
      <c r="G25" s="253"/>
      <c r="H25" s="215">
        <v>45726</v>
      </c>
      <c r="I25" s="215">
        <v>46127</v>
      </c>
      <c r="J25" s="215"/>
      <c r="K25" s="215"/>
      <c r="L25" s="216"/>
      <c r="M25" s="216">
        <v>0.75</v>
      </c>
      <c r="N25" s="216">
        <v>1</v>
      </c>
      <c r="O25" s="216">
        <v>1</v>
      </c>
      <c r="P25" s="216">
        <v>1</v>
      </c>
      <c r="Q25" s="216">
        <v>1</v>
      </c>
      <c r="R25" s="216">
        <v>1</v>
      </c>
      <c r="S25" s="216">
        <v>1</v>
      </c>
      <c r="T25" s="216">
        <v>1</v>
      </c>
      <c r="U25" s="216">
        <v>1</v>
      </c>
      <c r="V25" s="216">
        <v>1</v>
      </c>
      <c r="W25" s="216">
        <v>1</v>
      </c>
      <c r="X25" s="216">
        <v>1</v>
      </c>
      <c r="Y25" s="216">
        <v>1</v>
      </c>
      <c r="Z25" s="216">
        <v>0.5</v>
      </c>
      <c r="AA25" s="189">
        <f t="shared" si="3"/>
        <v>13.25</v>
      </c>
      <c r="AB25" s="158"/>
      <c r="AC25" s="150"/>
      <c r="AD25" s="257">
        <v>13.25</v>
      </c>
      <c r="AE25" s="191">
        <f t="shared" si="4"/>
        <v>0</v>
      </c>
      <c r="AF25" s="166"/>
      <c r="AG25" s="170"/>
      <c r="AH25" s="210" t="s">
        <v>13</v>
      </c>
      <c r="AI25" s="220" t="s">
        <v>123</v>
      </c>
      <c r="AJ25" s="172"/>
    </row>
    <row r="26" spans="1:36" ht="16.5" customHeight="1">
      <c r="A26" s="150"/>
      <c r="B26" s="157"/>
      <c r="C26" s="256"/>
      <c r="D26" s="203" t="s">
        <v>63</v>
      </c>
      <c r="E26" s="252" t="s">
        <v>57</v>
      </c>
      <c r="F26" s="252" t="s">
        <v>22</v>
      </c>
      <c r="G26" s="253"/>
      <c r="H26" s="215">
        <v>45748</v>
      </c>
      <c r="I26" s="214">
        <v>45877</v>
      </c>
      <c r="J26" s="215"/>
      <c r="K26" s="215"/>
      <c r="L26" s="216"/>
      <c r="M26" s="216"/>
      <c r="N26" s="216">
        <v>1</v>
      </c>
      <c r="O26" s="216">
        <v>1</v>
      </c>
      <c r="P26" s="216">
        <v>1</v>
      </c>
      <c r="Q26" s="216">
        <v>1</v>
      </c>
      <c r="R26" s="258">
        <v>0.25</v>
      </c>
      <c r="S26" s="259"/>
      <c r="T26" s="259"/>
      <c r="U26" s="259"/>
      <c r="V26" s="260"/>
      <c r="W26" s="260"/>
      <c r="X26" s="261"/>
      <c r="Y26" s="216"/>
      <c r="Z26" s="216"/>
      <c r="AA26" s="183">
        <f t="shared" si="3"/>
        <v>4.25</v>
      </c>
      <c r="AB26" s="158"/>
      <c r="AC26" s="150"/>
      <c r="AD26" s="257">
        <v>10.5</v>
      </c>
      <c r="AE26" s="196">
        <f t="shared" si="4"/>
        <v>-6.25</v>
      </c>
      <c r="AF26" s="205" t="s">
        <v>127</v>
      </c>
      <c r="AG26" s="170"/>
      <c r="AH26" s="210" t="s">
        <v>17</v>
      </c>
      <c r="AI26" s="220" t="s">
        <v>124</v>
      </c>
      <c r="AJ26" s="172"/>
    </row>
    <row r="27" spans="1:36" ht="16.5" customHeight="1">
      <c r="A27" s="150"/>
      <c r="B27" s="157"/>
      <c r="C27" s="206" t="s">
        <v>62</v>
      </c>
      <c r="D27" s="203" t="s">
        <v>63</v>
      </c>
      <c r="E27" s="262" t="s">
        <v>59</v>
      </c>
      <c r="F27" s="262" t="s">
        <v>14</v>
      </c>
      <c r="G27" s="263"/>
      <c r="H27" s="225">
        <v>45726</v>
      </c>
      <c r="I27" s="224">
        <v>45877</v>
      </c>
      <c r="J27" s="225"/>
      <c r="K27" s="225"/>
      <c r="L27" s="226"/>
      <c r="M27" s="226">
        <v>0.75</v>
      </c>
      <c r="N27" s="226">
        <v>1</v>
      </c>
      <c r="O27" s="226">
        <v>1</v>
      </c>
      <c r="P27" s="226">
        <v>1</v>
      </c>
      <c r="Q27" s="226">
        <v>1</v>
      </c>
      <c r="R27" s="264">
        <v>0.25</v>
      </c>
      <c r="S27" s="265"/>
      <c r="T27" s="265"/>
      <c r="U27" s="265"/>
      <c r="V27" s="265"/>
      <c r="W27" s="265"/>
      <c r="X27" s="265"/>
      <c r="Y27" s="265"/>
      <c r="Z27" s="266"/>
      <c r="AA27" s="183">
        <f t="shared" si="3"/>
        <v>5</v>
      </c>
      <c r="AB27" s="158"/>
      <c r="AC27" s="150"/>
      <c r="AD27" s="257">
        <v>13.25</v>
      </c>
      <c r="AE27" s="196">
        <f>AA27-AD27</f>
        <v>-8.25</v>
      </c>
      <c r="AF27" s="205" t="s">
        <v>127</v>
      </c>
      <c r="AG27" s="170"/>
    </row>
    <row r="28" spans="1:36" ht="16.5" customHeight="1">
      <c r="A28" s="150"/>
      <c r="B28" s="157"/>
      <c r="C28" s="206" t="s">
        <v>62</v>
      </c>
      <c r="D28" s="203" t="s">
        <v>63</v>
      </c>
      <c r="E28" s="262" t="s">
        <v>59</v>
      </c>
      <c r="F28" s="262" t="s">
        <v>18</v>
      </c>
      <c r="G28" s="263"/>
      <c r="H28" s="225">
        <v>45726</v>
      </c>
      <c r="I28" s="224">
        <v>46094</v>
      </c>
      <c r="J28" s="225"/>
      <c r="K28" s="225"/>
      <c r="L28" s="226"/>
      <c r="M28" s="226">
        <v>0.75</v>
      </c>
      <c r="N28" s="226">
        <v>1</v>
      </c>
      <c r="O28" s="226">
        <v>1</v>
      </c>
      <c r="P28" s="226">
        <v>1</v>
      </c>
      <c r="Q28" s="226">
        <v>1</v>
      </c>
      <c r="R28" s="226">
        <v>1</v>
      </c>
      <c r="S28" s="226">
        <v>1</v>
      </c>
      <c r="T28" s="226">
        <v>1</v>
      </c>
      <c r="U28" s="226">
        <v>1</v>
      </c>
      <c r="V28" s="258">
        <v>1</v>
      </c>
      <c r="W28" s="258">
        <v>1</v>
      </c>
      <c r="X28" s="258">
        <v>1</v>
      </c>
      <c r="Y28" s="258">
        <v>0.5</v>
      </c>
      <c r="Z28" s="226"/>
      <c r="AA28" s="183">
        <f t="shared" si="3"/>
        <v>12.25</v>
      </c>
      <c r="AB28" s="158"/>
      <c r="AC28" s="150"/>
      <c r="AD28" s="257">
        <v>8.75</v>
      </c>
      <c r="AE28" s="204">
        <f>AA28-AD28</f>
        <v>3.5</v>
      </c>
      <c r="AF28" s="267" t="s">
        <v>134</v>
      </c>
      <c r="AG28" s="170"/>
    </row>
    <row r="29" spans="1:36" ht="16.5" customHeight="1">
      <c r="A29" s="150"/>
      <c r="B29" s="157"/>
      <c r="C29" s="206" t="s">
        <v>62</v>
      </c>
      <c r="D29" s="203" t="s">
        <v>63</v>
      </c>
      <c r="E29" s="262" t="s">
        <v>59</v>
      </c>
      <c r="F29" s="262" t="s">
        <v>84</v>
      </c>
      <c r="G29" s="263"/>
      <c r="H29" s="225">
        <v>45810</v>
      </c>
      <c r="I29" s="224">
        <v>45991</v>
      </c>
      <c r="J29" s="225"/>
      <c r="K29" s="225"/>
      <c r="L29" s="226"/>
      <c r="M29" s="226"/>
      <c r="N29" s="226"/>
      <c r="O29" s="226"/>
      <c r="P29" s="268">
        <v>1</v>
      </c>
      <c r="Q29" s="268">
        <v>1</v>
      </c>
      <c r="R29" s="269">
        <v>1</v>
      </c>
      <c r="S29" s="269">
        <v>1</v>
      </c>
      <c r="T29" s="264">
        <v>1</v>
      </c>
      <c r="U29" s="264">
        <v>1</v>
      </c>
      <c r="V29" s="226"/>
      <c r="W29" s="226"/>
      <c r="X29" s="226"/>
      <c r="Y29" s="226"/>
      <c r="Z29" s="226"/>
      <c r="AA29" s="183">
        <f t="shared" si="3"/>
        <v>6</v>
      </c>
      <c r="AB29" s="158"/>
      <c r="AC29" s="150"/>
      <c r="AD29" s="270">
        <v>0</v>
      </c>
      <c r="AE29" s="204">
        <f t="shared" si="4"/>
        <v>6</v>
      </c>
      <c r="AF29" s="267" t="s">
        <v>134</v>
      </c>
      <c r="AG29" s="170"/>
    </row>
    <row r="30" spans="1:36" ht="16.5" customHeight="1">
      <c r="A30" s="150"/>
      <c r="B30" s="157"/>
      <c r="C30" s="206" t="s">
        <v>62</v>
      </c>
      <c r="D30" s="203" t="s">
        <v>63</v>
      </c>
      <c r="E30" s="262" t="s">
        <v>59</v>
      </c>
      <c r="F30" s="262" t="s">
        <v>85</v>
      </c>
      <c r="G30" s="263"/>
      <c r="H30" s="225">
        <v>45810</v>
      </c>
      <c r="I30" s="224">
        <v>45991</v>
      </c>
      <c r="J30" s="225"/>
      <c r="K30" s="225"/>
      <c r="L30" s="226"/>
      <c r="M30" s="226"/>
      <c r="N30" s="226"/>
      <c r="O30" s="226"/>
      <c r="P30" s="268">
        <v>1</v>
      </c>
      <c r="Q30" s="271">
        <v>1</v>
      </c>
      <c r="R30" s="269">
        <v>1</v>
      </c>
      <c r="S30" s="269">
        <v>1</v>
      </c>
      <c r="T30" s="264">
        <v>1</v>
      </c>
      <c r="U30" s="264">
        <v>1</v>
      </c>
      <c r="V30" s="226"/>
      <c r="W30" s="226"/>
      <c r="X30" s="226"/>
      <c r="Y30" s="226"/>
      <c r="Z30" s="226"/>
      <c r="AA30" s="183">
        <f t="shared" si="3"/>
        <v>6</v>
      </c>
      <c r="AB30" s="158"/>
      <c r="AC30" s="150"/>
      <c r="AD30" s="270">
        <v>0</v>
      </c>
      <c r="AE30" s="204">
        <f t="shared" si="4"/>
        <v>6</v>
      </c>
      <c r="AF30" s="267" t="s">
        <v>134</v>
      </c>
      <c r="AG30" s="170"/>
    </row>
    <row r="31" spans="1:36" ht="16.5" customHeight="1">
      <c r="A31" s="150"/>
      <c r="B31" s="157"/>
      <c r="C31" s="206" t="s">
        <v>62</v>
      </c>
      <c r="D31" s="203" t="s">
        <v>63</v>
      </c>
      <c r="E31" s="272" t="s">
        <v>59</v>
      </c>
      <c r="F31" s="272" t="s">
        <v>182</v>
      </c>
      <c r="G31" s="263"/>
      <c r="H31" s="224">
        <v>45883</v>
      </c>
      <c r="I31" s="224">
        <v>45930</v>
      </c>
      <c r="J31" s="225"/>
      <c r="K31" s="225"/>
      <c r="L31" s="226"/>
      <c r="M31" s="226"/>
      <c r="N31" s="226"/>
      <c r="O31" s="226"/>
      <c r="P31" s="226"/>
      <c r="Q31" s="226"/>
      <c r="R31" s="264">
        <v>0.75</v>
      </c>
      <c r="S31" s="264">
        <v>1</v>
      </c>
      <c r="T31" s="226"/>
      <c r="U31" s="226"/>
      <c r="V31" s="226"/>
      <c r="W31" s="226"/>
      <c r="X31" s="226"/>
      <c r="Y31" s="226"/>
      <c r="Z31" s="226"/>
      <c r="AA31" s="183">
        <f t="shared" si="3"/>
        <v>1.75</v>
      </c>
      <c r="AB31" s="158"/>
      <c r="AC31" s="150"/>
      <c r="AD31" s="270">
        <v>0</v>
      </c>
      <c r="AE31" s="204">
        <f>AA31-AD31</f>
        <v>1.75</v>
      </c>
      <c r="AF31" s="267" t="s">
        <v>136</v>
      </c>
    </row>
    <row r="32" spans="1:36" ht="16.5" customHeight="1">
      <c r="A32" s="150" t="s">
        <v>86</v>
      </c>
      <c r="B32" s="157"/>
      <c r="C32" s="206" t="s">
        <v>62</v>
      </c>
      <c r="D32" s="203" t="s">
        <v>63</v>
      </c>
      <c r="E32" s="272" t="s">
        <v>59</v>
      </c>
      <c r="F32" s="272" t="s">
        <v>183</v>
      </c>
      <c r="G32" s="263"/>
      <c r="H32" s="224">
        <v>45883</v>
      </c>
      <c r="I32" s="224">
        <v>45930</v>
      </c>
      <c r="J32" s="225"/>
      <c r="K32" s="225"/>
      <c r="L32" s="226"/>
      <c r="M32" s="226"/>
      <c r="N32" s="226"/>
      <c r="O32" s="226"/>
      <c r="P32" s="226"/>
      <c r="Q32" s="226"/>
      <c r="R32" s="264">
        <v>0.75</v>
      </c>
      <c r="S32" s="264">
        <v>1</v>
      </c>
      <c r="T32" s="226"/>
      <c r="U32" s="226"/>
      <c r="V32" s="226"/>
      <c r="W32" s="226"/>
      <c r="X32" s="226"/>
      <c r="Y32" s="226"/>
      <c r="Z32" s="226"/>
      <c r="AA32" s="183">
        <f t="shared" si="3"/>
        <v>1.75</v>
      </c>
      <c r="AB32" s="158"/>
      <c r="AC32" s="150"/>
      <c r="AD32" s="270">
        <v>0</v>
      </c>
      <c r="AE32" s="204">
        <f t="shared" si="4"/>
        <v>1.75</v>
      </c>
      <c r="AF32" s="267" t="s">
        <v>136</v>
      </c>
    </row>
    <row r="33" spans="1:34" ht="16.5" customHeight="1">
      <c r="A33" s="150"/>
      <c r="B33" s="157"/>
      <c r="C33" s="206" t="s">
        <v>62</v>
      </c>
      <c r="D33" s="203" t="s">
        <v>63</v>
      </c>
      <c r="E33" s="262" t="s">
        <v>59</v>
      </c>
      <c r="F33" s="262" t="s">
        <v>7</v>
      </c>
      <c r="G33" s="263"/>
      <c r="H33" s="225">
        <v>45748</v>
      </c>
      <c r="I33" s="225">
        <v>45961</v>
      </c>
      <c r="J33" s="225"/>
      <c r="K33" s="225"/>
      <c r="L33" s="226"/>
      <c r="M33" s="226"/>
      <c r="N33" s="226">
        <v>1</v>
      </c>
      <c r="O33" s="226">
        <v>1</v>
      </c>
      <c r="P33" s="226">
        <v>1</v>
      </c>
      <c r="Q33" s="226">
        <v>1</v>
      </c>
      <c r="R33" s="226">
        <v>1</v>
      </c>
      <c r="S33" s="226">
        <v>1</v>
      </c>
      <c r="T33" s="226">
        <v>1</v>
      </c>
      <c r="U33" s="226"/>
      <c r="V33" s="226"/>
      <c r="W33" s="226"/>
      <c r="X33" s="226"/>
      <c r="Y33" s="226"/>
      <c r="Z33" s="226"/>
      <c r="AA33" s="189">
        <f t="shared" si="3"/>
        <v>7</v>
      </c>
      <c r="AB33" s="158"/>
      <c r="AC33" s="150"/>
      <c r="AD33" s="257">
        <v>7</v>
      </c>
      <c r="AE33" s="191">
        <f t="shared" si="4"/>
        <v>0</v>
      </c>
      <c r="AF33" s="166"/>
    </row>
    <row r="34" spans="1:34" ht="16.5" customHeight="1">
      <c r="A34" s="150"/>
      <c r="B34" s="157"/>
      <c r="C34" s="206" t="s">
        <v>62</v>
      </c>
      <c r="D34" s="273" t="s">
        <v>63</v>
      </c>
      <c r="E34" s="262" t="s">
        <v>59</v>
      </c>
      <c r="F34" s="262" t="s">
        <v>11</v>
      </c>
      <c r="G34" s="263"/>
      <c r="H34" s="225">
        <v>45748</v>
      </c>
      <c r="I34" s="225">
        <v>45961</v>
      </c>
      <c r="J34" s="225"/>
      <c r="K34" s="225"/>
      <c r="L34" s="226"/>
      <c r="M34" s="226"/>
      <c r="N34" s="226">
        <v>1</v>
      </c>
      <c r="O34" s="226">
        <v>1</v>
      </c>
      <c r="P34" s="226">
        <v>1</v>
      </c>
      <c r="Q34" s="226">
        <v>1</v>
      </c>
      <c r="R34" s="226">
        <v>1</v>
      </c>
      <c r="S34" s="226">
        <v>1</v>
      </c>
      <c r="T34" s="226">
        <v>1</v>
      </c>
      <c r="U34" s="274"/>
      <c r="V34" s="226"/>
      <c r="W34" s="226"/>
      <c r="X34" s="226"/>
      <c r="Y34" s="226"/>
      <c r="Z34" s="226"/>
      <c r="AA34" s="189">
        <f t="shared" si="3"/>
        <v>7</v>
      </c>
      <c r="AB34" s="158"/>
      <c r="AC34" s="150"/>
      <c r="AD34" s="275">
        <v>7</v>
      </c>
      <c r="AE34" s="276">
        <f t="shared" si="4"/>
        <v>0</v>
      </c>
      <c r="AF34" s="166"/>
      <c r="AH34" s="277"/>
    </row>
    <row r="35" spans="1:34" ht="16.5" customHeight="1">
      <c r="A35" s="150"/>
      <c r="B35" s="157"/>
      <c r="C35" s="233" t="s">
        <v>62</v>
      </c>
      <c r="D35" s="234" t="s">
        <v>60</v>
      </c>
      <c r="E35" s="235"/>
      <c r="F35" s="235"/>
      <c r="G35" s="235" t="s">
        <v>77</v>
      </c>
      <c r="H35" s="235"/>
      <c r="I35" s="235" t="s">
        <v>61</v>
      </c>
      <c r="J35" s="236"/>
      <c r="K35" s="236"/>
      <c r="L35" s="237">
        <f t="shared" ref="L35:AA35" si="5">SUM(L24:L34)</f>
        <v>0</v>
      </c>
      <c r="M35" s="237">
        <f t="shared" si="5"/>
        <v>3</v>
      </c>
      <c r="N35" s="237">
        <f t="shared" si="5"/>
        <v>7</v>
      </c>
      <c r="O35" s="237">
        <f t="shared" si="5"/>
        <v>7</v>
      </c>
      <c r="P35" s="237">
        <f t="shared" si="5"/>
        <v>9</v>
      </c>
      <c r="Q35" s="237">
        <f t="shared" si="5"/>
        <v>9</v>
      </c>
      <c r="R35" s="237">
        <f t="shared" si="5"/>
        <v>9</v>
      </c>
      <c r="S35" s="237">
        <f t="shared" si="5"/>
        <v>9</v>
      </c>
      <c r="T35" s="237">
        <f t="shared" si="5"/>
        <v>7</v>
      </c>
      <c r="U35" s="237">
        <f t="shared" si="5"/>
        <v>5</v>
      </c>
      <c r="V35" s="237">
        <f t="shared" si="5"/>
        <v>3</v>
      </c>
      <c r="W35" s="237">
        <f t="shared" si="5"/>
        <v>3</v>
      </c>
      <c r="X35" s="237">
        <f t="shared" si="5"/>
        <v>3</v>
      </c>
      <c r="Y35" s="237">
        <f t="shared" si="5"/>
        <v>2.5</v>
      </c>
      <c r="Z35" s="237">
        <f t="shared" si="5"/>
        <v>1</v>
      </c>
      <c r="AA35" s="238">
        <f t="shared" si="5"/>
        <v>77.5</v>
      </c>
      <c r="AB35" s="158"/>
      <c r="AC35" s="150"/>
      <c r="AD35" s="278">
        <f>SUM(AD24:AD34)</f>
        <v>73</v>
      </c>
      <c r="AE35" s="279">
        <f>SUM(AE24:AE34)</f>
        <v>4.5</v>
      </c>
      <c r="AF35" s="166"/>
      <c r="AH35" s="277"/>
    </row>
    <row r="36" spans="1:34" ht="17">
      <c r="A36" s="241"/>
      <c r="B36" s="242"/>
      <c r="C36" s="243"/>
      <c r="D36" s="244"/>
      <c r="E36" s="245"/>
      <c r="F36" s="245"/>
      <c r="G36" s="245"/>
      <c r="H36" s="245"/>
      <c r="I36" s="245"/>
      <c r="J36" s="245"/>
      <c r="K36" s="245"/>
      <c r="L36" s="245"/>
      <c r="M36" s="245"/>
      <c r="N36" s="245"/>
      <c r="O36" s="245"/>
      <c r="P36" s="245"/>
      <c r="Q36" s="245"/>
      <c r="R36" s="245"/>
      <c r="S36" s="245"/>
      <c r="T36" s="245"/>
      <c r="U36" s="245"/>
      <c r="V36" s="245"/>
      <c r="W36" s="245"/>
      <c r="X36" s="245"/>
      <c r="Y36" s="245"/>
      <c r="Z36" s="245"/>
      <c r="AA36" s="245"/>
      <c r="AB36" s="247"/>
      <c r="AC36" s="241"/>
      <c r="AD36" s="280"/>
      <c r="AE36" s="281"/>
      <c r="AF36" s="166"/>
      <c r="AH36" s="277"/>
    </row>
    <row r="37" spans="1:34" ht="16.5" customHeight="1">
      <c r="A37" s="150"/>
      <c r="B37" s="157"/>
      <c r="C37" s="420" t="s">
        <v>60</v>
      </c>
      <c r="D37" s="421"/>
      <c r="E37" s="422"/>
      <c r="F37" s="282"/>
      <c r="G37" s="283"/>
      <c r="H37" s="283"/>
      <c r="I37" s="283" t="s">
        <v>65</v>
      </c>
      <c r="J37" s="284"/>
      <c r="K37" s="284"/>
      <c r="L37" s="237">
        <f t="shared" ref="L37:AA37" si="6">L22+L35</f>
        <v>6.5</v>
      </c>
      <c r="M37" s="237">
        <f t="shared" si="6"/>
        <v>12.5</v>
      </c>
      <c r="N37" s="237">
        <f t="shared" si="6"/>
        <v>19</v>
      </c>
      <c r="O37" s="237">
        <f t="shared" si="6"/>
        <v>19</v>
      </c>
      <c r="P37" s="237">
        <f t="shared" si="6"/>
        <v>22</v>
      </c>
      <c r="Q37" s="237">
        <f t="shared" si="6"/>
        <v>22</v>
      </c>
      <c r="R37" s="237">
        <f t="shared" si="6"/>
        <v>21.25</v>
      </c>
      <c r="S37" s="237">
        <f t="shared" si="6"/>
        <v>18</v>
      </c>
      <c r="T37" s="237">
        <f t="shared" si="6"/>
        <v>16</v>
      </c>
      <c r="U37" s="237">
        <f t="shared" si="6"/>
        <v>12</v>
      </c>
      <c r="V37" s="237">
        <f t="shared" si="6"/>
        <v>9</v>
      </c>
      <c r="W37" s="237">
        <f t="shared" si="6"/>
        <v>6.75</v>
      </c>
      <c r="X37" s="237">
        <f t="shared" si="6"/>
        <v>6</v>
      </c>
      <c r="Y37" s="237">
        <f t="shared" si="6"/>
        <v>5.5</v>
      </c>
      <c r="Z37" s="237">
        <f t="shared" si="6"/>
        <v>1.5</v>
      </c>
      <c r="AA37" s="238">
        <f t="shared" si="6"/>
        <v>197</v>
      </c>
      <c r="AB37" s="158"/>
      <c r="AC37" s="150"/>
      <c r="AD37" s="342">
        <f>AD22+AD35</f>
        <v>172</v>
      </c>
      <c r="AE37" s="351">
        <f>AE22+AE35</f>
        <v>25</v>
      </c>
      <c r="AF37" s="352" t="s">
        <v>180</v>
      </c>
      <c r="AH37" s="277"/>
    </row>
    <row r="38" spans="1:34" ht="16.5" customHeight="1" thickBot="1">
      <c r="A38" s="150"/>
      <c r="B38" s="286"/>
      <c r="C38" s="287"/>
      <c r="D38" s="287"/>
      <c r="E38" s="288"/>
      <c r="F38" s="288"/>
      <c r="G38" s="288"/>
      <c r="H38" s="288"/>
      <c r="I38" s="287"/>
      <c r="J38" s="287"/>
      <c r="K38" s="289"/>
      <c r="L38" s="288"/>
      <c r="M38" s="288"/>
      <c r="N38" s="288"/>
      <c r="O38" s="288"/>
      <c r="P38" s="288"/>
      <c r="Q38" s="288"/>
      <c r="R38" s="288"/>
      <c r="S38" s="288"/>
      <c r="T38" s="288"/>
      <c r="U38" s="288"/>
      <c r="V38" s="288"/>
      <c r="W38" s="288"/>
      <c r="X38" s="288"/>
      <c r="Y38" s="288"/>
      <c r="Z38" s="288"/>
      <c r="AA38" s="288"/>
      <c r="AB38" s="290"/>
      <c r="AC38" s="150"/>
      <c r="AH38" s="277"/>
    </row>
    <row r="39" spans="1:34" ht="16.5" customHeight="1">
      <c r="A39" s="150"/>
      <c r="B39" s="291"/>
      <c r="C39" s="291"/>
      <c r="D39" s="291"/>
      <c r="E39" s="292"/>
      <c r="F39" s="292"/>
      <c r="G39" s="292"/>
      <c r="H39" s="292"/>
      <c r="I39" s="291"/>
      <c r="J39" s="291"/>
      <c r="K39" s="293"/>
      <c r="L39" s="292"/>
      <c r="M39" s="292"/>
      <c r="N39" s="292"/>
      <c r="O39" s="292"/>
      <c r="P39" s="292"/>
      <c r="Q39" s="292"/>
      <c r="R39" s="292"/>
      <c r="S39" s="292"/>
      <c r="T39" s="292"/>
      <c r="U39" s="292"/>
      <c r="V39" s="292"/>
      <c r="W39" s="292"/>
      <c r="X39" s="292"/>
      <c r="Y39" s="292"/>
      <c r="Z39" s="292"/>
      <c r="AA39" s="292"/>
      <c r="AB39" s="291"/>
      <c r="AC39" s="150"/>
    </row>
    <row r="40" spans="1:34" ht="16.5" customHeight="1">
      <c r="C40" s="294"/>
      <c r="E40" s="297" t="s">
        <v>128</v>
      </c>
      <c r="F40" s="298"/>
      <c r="G40" s="298"/>
      <c r="H40" s="299"/>
      <c r="L40" s="340" t="s">
        <v>169</v>
      </c>
      <c r="M40" s="340"/>
      <c r="N40" s="340"/>
      <c r="O40" s="340"/>
      <c r="P40" s="150"/>
      <c r="Q40" s="339">
        <f ca="1">TODAY()</f>
        <v>45867</v>
      </c>
      <c r="R40" s="295" t="s">
        <v>129</v>
      </c>
      <c r="S40" s="295"/>
      <c r="T40" s="295"/>
      <c r="U40" s="285"/>
      <c r="V40" s="285"/>
      <c r="W40" s="296" t="s">
        <v>170</v>
      </c>
      <c r="X40" s="285"/>
      <c r="Y40" s="285"/>
      <c r="Z40" s="285"/>
      <c r="AA40" s="285"/>
      <c r="AB40" s="285"/>
      <c r="AC40" s="285"/>
      <c r="AD40" s="285"/>
      <c r="AE40" s="285"/>
      <c r="AF40" s="285"/>
    </row>
    <row r="41" spans="1:34" ht="19" thickBot="1">
      <c r="A41" s="150"/>
      <c r="B41" s="150"/>
      <c r="E41" s="302" t="s">
        <v>71</v>
      </c>
      <c r="F41" s="303"/>
      <c r="G41" s="304">
        <v>172</v>
      </c>
      <c r="H41" s="299"/>
      <c r="I41" s="299"/>
      <c r="J41" s="299"/>
      <c r="K41" s="299"/>
      <c r="L41" s="300" t="s">
        <v>126</v>
      </c>
      <c r="P41" s="299"/>
      <c r="Q41" s="301" t="s">
        <v>66</v>
      </c>
      <c r="V41" s="150"/>
      <c r="W41" s="241" t="s">
        <v>171</v>
      </c>
      <c r="X41" s="150"/>
      <c r="Y41" s="150"/>
      <c r="Z41" s="150"/>
      <c r="AA41" s="150"/>
      <c r="AB41" s="150"/>
      <c r="AC41" s="150"/>
      <c r="AD41" s="150"/>
      <c r="AE41" s="150"/>
      <c r="AF41" s="150"/>
    </row>
    <row r="42" spans="1:34" ht="16.5" customHeight="1">
      <c r="A42" s="150"/>
      <c r="B42" s="150"/>
      <c r="E42" s="310" t="s">
        <v>81</v>
      </c>
      <c r="F42" s="311"/>
      <c r="G42" s="312">
        <f>204.5-G41</f>
        <v>32.5</v>
      </c>
      <c r="H42" s="299"/>
      <c r="I42" s="299"/>
      <c r="J42" s="299"/>
      <c r="K42" s="299"/>
      <c r="L42" s="305" t="s">
        <v>68</v>
      </c>
      <c r="M42" s="306" t="s">
        <v>69</v>
      </c>
      <c r="N42" s="305" t="s">
        <v>70</v>
      </c>
      <c r="O42" s="305" t="s">
        <v>60</v>
      </c>
      <c r="P42" s="299"/>
      <c r="Q42" s="307" t="s">
        <v>68</v>
      </c>
      <c r="R42" s="308" t="s">
        <v>69</v>
      </c>
      <c r="S42" s="307" t="s">
        <v>70</v>
      </c>
      <c r="T42" s="307" t="s">
        <v>60</v>
      </c>
      <c r="U42" s="309" t="s">
        <v>80</v>
      </c>
      <c r="V42" s="150"/>
      <c r="W42" s="353" t="s">
        <v>125</v>
      </c>
      <c r="X42" s="354" t="s">
        <v>127</v>
      </c>
      <c r="Y42" s="355" t="s">
        <v>145</v>
      </c>
      <c r="Z42" s="150"/>
      <c r="AA42" s="150"/>
      <c r="AB42" s="150"/>
      <c r="AC42" s="150"/>
      <c r="AD42" s="150"/>
      <c r="AE42" s="150"/>
      <c r="AF42" s="150"/>
    </row>
    <row r="43" spans="1:34" ht="16.5" customHeight="1">
      <c r="E43" s="321" t="s">
        <v>73</v>
      </c>
      <c r="F43" s="322"/>
      <c r="G43" s="304">
        <v>204.5</v>
      </c>
      <c r="H43" s="299"/>
      <c r="I43" s="299"/>
      <c r="J43" s="299"/>
      <c r="K43" s="299"/>
      <c r="L43" s="423" t="s">
        <v>53</v>
      </c>
      <c r="M43" s="313" t="s">
        <v>51</v>
      </c>
      <c r="N43" s="314">
        <v>55</v>
      </c>
      <c r="O43" s="315">
        <f>SUM(N43:N45)</f>
        <v>99</v>
      </c>
      <c r="P43" s="299"/>
      <c r="Q43" s="316" t="s">
        <v>53</v>
      </c>
      <c r="R43" s="317" t="s">
        <v>51</v>
      </c>
      <c r="S43" s="318">
        <f>SUMIF($E$7:$E$21,"고급",$AA$7:$AA$21)</f>
        <v>76</v>
      </c>
      <c r="T43" s="319">
        <f>SUM(S43:S45)</f>
        <v>119.5</v>
      </c>
      <c r="U43" s="309">
        <f t="shared" ref="U43:U48" si="7">N43-S43</f>
        <v>-21</v>
      </c>
      <c r="V43" s="320" t="s">
        <v>131</v>
      </c>
      <c r="W43" s="356">
        <f>SUM(X43:Y43)</f>
        <v>21</v>
      </c>
      <c r="X43" s="357">
        <f>AE7+AE12</f>
        <v>-13.5</v>
      </c>
      <c r="Y43" s="358">
        <f>AE9+AE10+AE13+AE14+AE15+AE16</f>
        <v>34.5</v>
      </c>
      <c r="Z43" s="150" t="s">
        <v>148</v>
      </c>
      <c r="AA43" s="150"/>
      <c r="AB43" s="150"/>
      <c r="AC43" s="150"/>
      <c r="AD43" s="150"/>
      <c r="AE43" s="150"/>
      <c r="AF43" s="150"/>
    </row>
    <row r="44" spans="1:34" ht="16.5" customHeight="1">
      <c r="E44" s="294" t="s">
        <v>138</v>
      </c>
      <c r="F44" s="299"/>
      <c r="G44" s="299"/>
      <c r="H44" s="299"/>
      <c r="I44" s="299"/>
      <c r="J44" s="299"/>
      <c r="K44" s="299"/>
      <c r="L44" s="424"/>
      <c r="M44" s="313" t="s">
        <v>57</v>
      </c>
      <c r="N44" s="314">
        <v>25</v>
      </c>
      <c r="O44" s="323"/>
      <c r="P44" s="299"/>
      <c r="Q44" s="324"/>
      <c r="R44" s="317" t="s">
        <v>57</v>
      </c>
      <c r="S44" s="318">
        <f>SUMIF($E$7:$E$21,"중급",$AA$7:$AA$21)</f>
        <v>25</v>
      </c>
      <c r="T44" s="324"/>
      <c r="U44" s="309">
        <f t="shared" si="7"/>
        <v>0</v>
      </c>
      <c r="V44" s="320" t="s">
        <v>132</v>
      </c>
      <c r="W44" s="359">
        <f>SUM(X44:Y44)</f>
        <v>0</v>
      </c>
      <c r="X44" s="360">
        <f>AE17+AE18</f>
        <v>-4</v>
      </c>
      <c r="Y44" s="361">
        <f>AE19</f>
        <v>4</v>
      </c>
      <c r="Z44" s="374" t="s">
        <v>181</v>
      </c>
      <c r="AA44" s="150"/>
      <c r="AB44" s="150"/>
      <c r="AC44" s="150"/>
      <c r="AD44" s="150"/>
      <c r="AE44" s="150"/>
      <c r="AF44" s="150"/>
    </row>
    <row r="45" spans="1:34" ht="16.5" customHeight="1">
      <c r="E45" s="294" t="s">
        <v>172</v>
      </c>
      <c r="H45" s="299"/>
      <c r="I45" s="299"/>
      <c r="J45" s="299"/>
      <c r="K45" s="299"/>
      <c r="L45" s="425"/>
      <c r="M45" s="313" t="s">
        <v>59</v>
      </c>
      <c r="N45" s="314">
        <v>19</v>
      </c>
      <c r="O45" s="325"/>
      <c r="P45" s="299"/>
      <c r="Q45" s="326"/>
      <c r="R45" s="317" t="s">
        <v>59</v>
      </c>
      <c r="S45" s="318">
        <f>SUMIF($E$7:$E$21,"초급",$AA$7:$AA$21)</f>
        <v>18.5</v>
      </c>
      <c r="T45" s="326"/>
      <c r="U45" s="309">
        <f t="shared" si="7"/>
        <v>0.5</v>
      </c>
      <c r="V45" s="320" t="s">
        <v>133</v>
      </c>
      <c r="W45" s="362">
        <f>SUM(X45:Y45)</f>
        <v>-0.5</v>
      </c>
      <c r="X45" s="363">
        <f>AE20</f>
        <v>-3.25</v>
      </c>
      <c r="Y45" s="364">
        <f>AE21</f>
        <v>2.75</v>
      </c>
      <c r="Z45" s="150" t="s">
        <v>149</v>
      </c>
      <c r="AA45" s="150"/>
      <c r="AB45" s="150"/>
      <c r="AC45" s="150"/>
      <c r="AD45" s="150"/>
      <c r="AE45" s="150"/>
      <c r="AF45" s="150"/>
    </row>
    <row r="46" spans="1:34" ht="16.5" customHeight="1" thickBot="1">
      <c r="I46" s="299"/>
      <c r="J46" s="299"/>
      <c r="K46" s="299"/>
      <c r="L46" s="423" t="s">
        <v>62</v>
      </c>
      <c r="M46" s="313" t="s">
        <v>51</v>
      </c>
      <c r="N46" s="314">
        <v>0</v>
      </c>
      <c r="O46" s="315">
        <f>SUM(N46:N48)</f>
        <v>73</v>
      </c>
      <c r="P46" s="299"/>
      <c r="Q46" s="316" t="s">
        <v>62</v>
      </c>
      <c r="R46" s="317" t="s">
        <v>51</v>
      </c>
      <c r="S46" s="318">
        <f>SUMIF($E$22:$E$34,"고급",$AA$22:$AA$34)</f>
        <v>0</v>
      </c>
      <c r="T46" s="319">
        <f>SUM(S46:S48)</f>
        <v>77.5</v>
      </c>
      <c r="U46" s="309">
        <f t="shared" si="7"/>
        <v>0</v>
      </c>
      <c r="V46" s="320"/>
      <c r="W46" s="365">
        <f>SUM(X46:Y46)</f>
        <v>20.5</v>
      </c>
      <c r="X46" s="366">
        <f>SUM(X43:X45)</f>
        <v>-20.75</v>
      </c>
      <c r="Y46" s="367">
        <f>SUM(Y43:Y45)</f>
        <v>41.25</v>
      </c>
      <c r="Z46" s="150"/>
      <c r="AA46" s="150"/>
      <c r="AB46" s="150"/>
      <c r="AC46" s="150"/>
      <c r="AD46" s="150"/>
      <c r="AE46" s="150"/>
      <c r="AF46" s="150"/>
    </row>
    <row r="47" spans="1:34" ht="16.5" customHeight="1">
      <c r="H47" s="299"/>
      <c r="I47" s="299"/>
      <c r="J47" s="299"/>
      <c r="K47" s="299"/>
      <c r="L47" s="424"/>
      <c r="M47" s="313" t="s">
        <v>57</v>
      </c>
      <c r="N47" s="314">
        <v>37</v>
      </c>
      <c r="O47" s="323"/>
      <c r="P47" s="299"/>
      <c r="Q47" s="324"/>
      <c r="R47" s="317" t="s">
        <v>57</v>
      </c>
      <c r="S47" s="318">
        <f>SUMIF($E$22:$E$34,"중급",$AA$22:$AA$34)</f>
        <v>30.75</v>
      </c>
      <c r="T47" s="324"/>
      <c r="U47" s="309">
        <f t="shared" si="7"/>
        <v>6.25</v>
      </c>
      <c r="V47" s="320"/>
      <c r="W47" s="150"/>
      <c r="X47" s="150"/>
      <c r="Y47" s="150"/>
      <c r="Z47" s="150"/>
      <c r="AA47" s="150"/>
      <c r="AB47" s="150"/>
      <c r="AC47" s="150"/>
      <c r="AD47" s="150"/>
      <c r="AE47" s="150"/>
      <c r="AF47" s="150"/>
    </row>
    <row r="48" spans="1:34" ht="16.5" customHeight="1" thickBot="1">
      <c r="F48" s="299"/>
      <c r="G48" s="299"/>
      <c r="H48" s="299"/>
      <c r="I48" s="299"/>
      <c r="J48" s="299"/>
      <c r="K48" s="299"/>
      <c r="L48" s="425"/>
      <c r="M48" s="313" t="s">
        <v>59</v>
      </c>
      <c r="N48" s="314">
        <v>36</v>
      </c>
      <c r="O48" s="325"/>
      <c r="P48" s="299"/>
      <c r="Q48" s="326"/>
      <c r="R48" s="317" t="s">
        <v>59</v>
      </c>
      <c r="S48" s="318">
        <f>SUMIF($E$22:$E$34,"초급",$AA$22:$AA$34)</f>
        <v>46.75</v>
      </c>
      <c r="T48" s="326"/>
      <c r="U48" s="309">
        <f t="shared" si="7"/>
        <v>-10.75</v>
      </c>
      <c r="V48" s="320"/>
      <c r="W48" s="241" t="s">
        <v>173</v>
      </c>
      <c r="X48" s="150"/>
      <c r="Y48" s="150"/>
      <c r="Z48" s="150"/>
      <c r="AA48" s="150"/>
      <c r="AB48" s="150"/>
      <c r="AC48" s="150"/>
      <c r="AD48" s="150"/>
      <c r="AE48" s="150"/>
      <c r="AF48" s="150"/>
    </row>
    <row r="49" spans="6:32" ht="16.5" customHeight="1">
      <c r="F49" s="299"/>
      <c r="G49" s="299"/>
      <c r="H49" s="299"/>
      <c r="I49" s="299"/>
      <c r="J49" s="299"/>
      <c r="K49" s="299"/>
      <c r="L49" s="408" t="s">
        <v>74</v>
      </c>
      <c r="M49" s="409"/>
      <c r="N49" s="410"/>
      <c r="O49" s="304">
        <f>SUM(O43:O48)</f>
        <v>172</v>
      </c>
      <c r="P49" s="299"/>
      <c r="Q49" s="327" t="s">
        <v>74</v>
      </c>
      <c r="R49" s="328"/>
      <c r="S49" s="329"/>
      <c r="T49" s="330">
        <f t="shared" ref="T49:U49" si="8">SUM(T43:T48)</f>
        <v>197</v>
      </c>
      <c r="U49" s="309">
        <f t="shared" si="8"/>
        <v>-25</v>
      </c>
      <c r="V49" s="320"/>
      <c r="W49" s="353" t="s">
        <v>125</v>
      </c>
      <c r="X49" s="354" t="s">
        <v>127</v>
      </c>
      <c r="Y49" s="355" t="s">
        <v>145</v>
      </c>
      <c r="Z49" s="150"/>
      <c r="AA49" s="150"/>
      <c r="AB49" s="150"/>
      <c r="AC49" s="150"/>
      <c r="AD49" s="150"/>
      <c r="AE49" s="150"/>
      <c r="AF49" s="150"/>
    </row>
    <row r="50" spans="6:32" ht="16.5" customHeight="1">
      <c r="F50" s="299"/>
      <c r="G50" s="299"/>
      <c r="H50" s="299"/>
      <c r="I50" s="299"/>
      <c r="J50" s="299"/>
      <c r="K50" s="299"/>
      <c r="L50" s="299"/>
      <c r="M50" s="299"/>
      <c r="N50" s="299"/>
      <c r="O50" s="299"/>
      <c r="P50" s="299"/>
      <c r="Q50" s="331" t="s">
        <v>130</v>
      </c>
      <c r="R50" s="332"/>
      <c r="S50" s="333"/>
      <c r="T50" s="334">
        <f>T49-O49</f>
        <v>25</v>
      </c>
      <c r="U50" s="309"/>
      <c r="V50" s="320" t="s">
        <v>132</v>
      </c>
      <c r="W50" s="359">
        <f>SUM(X50:Y50)</f>
        <v>-6.25</v>
      </c>
      <c r="X50" s="360">
        <f>AE26</f>
        <v>-6.25</v>
      </c>
      <c r="Y50" s="361"/>
      <c r="Z50" s="150" t="s">
        <v>175</v>
      </c>
      <c r="AA50" s="150"/>
      <c r="AB50" s="150"/>
      <c r="AC50" s="150"/>
      <c r="AD50" s="150"/>
      <c r="AE50" s="150"/>
      <c r="AF50" s="150"/>
    </row>
    <row r="51" spans="6:32" ht="16.5" customHeight="1">
      <c r="F51" s="299"/>
      <c r="G51" s="299"/>
      <c r="H51" s="299"/>
      <c r="I51" s="299"/>
      <c r="J51" s="299"/>
      <c r="K51" s="299"/>
      <c r="L51" s="299"/>
      <c r="M51" s="299"/>
      <c r="N51" s="299"/>
      <c r="O51" s="299"/>
      <c r="P51" s="299"/>
      <c r="Q51" s="335"/>
      <c r="R51" s="336"/>
      <c r="S51" s="337" t="s">
        <v>144</v>
      </c>
      <c r="T51" s="312">
        <f>G43-T49</f>
        <v>7.5</v>
      </c>
      <c r="V51" s="320" t="s">
        <v>133</v>
      </c>
      <c r="W51" s="362">
        <f>SUM(X51:Y51)</f>
        <v>10.75</v>
      </c>
      <c r="X51" s="363">
        <f>AE27</f>
        <v>-8.25</v>
      </c>
      <c r="Y51" s="364">
        <f>AE31+AE29+AE30+AE32+AE28</f>
        <v>19</v>
      </c>
      <c r="Z51" s="150" t="s">
        <v>150</v>
      </c>
      <c r="AA51" s="150"/>
      <c r="AB51" s="150"/>
      <c r="AC51" s="150"/>
      <c r="AD51" s="150"/>
      <c r="AE51" s="150"/>
      <c r="AF51" s="150"/>
    </row>
    <row r="52" spans="6:32" ht="16.5" customHeight="1" thickBot="1">
      <c r="V52" s="320"/>
      <c r="W52" s="365">
        <f>SUM(X52:Y52)</f>
        <v>4.5</v>
      </c>
      <c r="X52" s="366">
        <f>SUM(X50:X51)</f>
        <v>-14.5</v>
      </c>
      <c r="Y52" s="367">
        <f>SUM(Y50:Y51)</f>
        <v>19</v>
      </c>
      <c r="Z52" s="150"/>
      <c r="AA52" s="150"/>
      <c r="AB52" s="150"/>
      <c r="AC52" s="150"/>
      <c r="AD52" s="150"/>
      <c r="AE52" s="150"/>
      <c r="AF52" s="150"/>
    </row>
    <row r="53" spans="6:32" ht="16.5" customHeight="1">
      <c r="V53" s="320"/>
      <c r="W53" s="150"/>
      <c r="X53" s="150"/>
      <c r="Y53" s="150"/>
      <c r="Z53" s="150"/>
      <c r="AA53" s="150"/>
      <c r="AB53" s="150"/>
      <c r="AC53" s="150"/>
      <c r="AD53" s="150"/>
      <c r="AE53" s="150"/>
      <c r="AF53" s="150"/>
    </row>
    <row r="54" spans="6:32" ht="16.5" customHeight="1" thickBot="1">
      <c r="V54" s="338"/>
      <c r="W54" s="368" t="s">
        <v>147</v>
      </c>
      <c r="X54" s="369"/>
      <c r="Y54" s="369"/>
      <c r="Z54" s="150"/>
      <c r="AA54" s="150"/>
      <c r="AB54" s="150"/>
      <c r="AC54" s="150"/>
      <c r="AD54" s="150"/>
      <c r="AE54" s="150"/>
      <c r="AF54" s="150"/>
    </row>
    <row r="55" spans="6:32" ht="16.5" customHeight="1">
      <c r="V55" s="338"/>
      <c r="W55" s="353" t="s">
        <v>125</v>
      </c>
      <c r="X55" s="354" t="s">
        <v>127</v>
      </c>
      <c r="Y55" s="355" t="s">
        <v>145</v>
      </c>
      <c r="Z55" s="150"/>
      <c r="AA55" s="150"/>
      <c r="AB55" s="150"/>
      <c r="AC55" s="150"/>
      <c r="AD55" s="150"/>
      <c r="AE55" s="150"/>
      <c r="AF55" s="150"/>
    </row>
    <row r="56" spans="6:32" ht="16.5" customHeight="1">
      <c r="V56" s="338" t="s">
        <v>131</v>
      </c>
      <c r="W56" s="356">
        <f>SUM(X56:Y56)</f>
        <v>21</v>
      </c>
      <c r="X56" s="357">
        <f>X43</f>
        <v>-13.5</v>
      </c>
      <c r="Y56" s="358">
        <f>Y43</f>
        <v>34.5</v>
      </c>
      <c r="Z56" s="150"/>
      <c r="AA56" s="150"/>
      <c r="AB56" s="150"/>
      <c r="AC56" s="150"/>
      <c r="AD56" s="150"/>
      <c r="AE56" s="150"/>
      <c r="AF56" s="150"/>
    </row>
    <row r="57" spans="6:32" ht="16.5" customHeight="1">
      <c r="V57" s="338" t="s">
        <v>132</v>
      </c>
      <c r="W57" s="359">
        <f>SUM(X57:Y57)</f>
        <v>-6.25</v>
      </c>
      <c r="X57" s="360">
        <f>X44+X50</f>
        <v>-10.25</v>
      </c>
      <c r="Y57" s="361">
        <f>Y44+Y50</f>
        <v>4</v>
      </c>
      <c r="Z57" s="150"/>
      <c r="AA57" s="150"/>
      <c r="AB57" s="150"/>
      <c r="AC57" s="150"/>
      <c r="AD57" s="150"/>
      <c r="AE57" s="150"/>
      <c r="AF57" s="150"/>
    </row>
    <row r="58" spans="6:32" ht="16.5" customHeight="1">
      <c r="V58" s="338" t="s">
        <v>133</v>
      </c>
      <c r="W58" s="362">
        <f>SUM(X58:Y58)</f>
        <v>10.25</v>
      </c>
      <c r="X58" s="363">
        <f>X45+X51</f>
        <v>-11.5</v>
      </c>
      <c r="Y58" s="364">
        <f>Y45+Y51</f>
        <v>21.75</v>
      </c>
      <c r="Z58" s="150"/>
      <c r="AA58" s="150"/>
      <c r="AB58" s="150"/>
      <c r="AC58" s="150"/>
      <c r="AD58" s="150"/>
      <c r="AE58" s="150"/>
      <c r="AF58" s="150"/>
    </row>
    <row r="59" spans="6:32" ht="16.5" customHeight="1" thickBot="1">
      <c r="V59" s="338"/>
      <c r="W59" s="370">
        <f>SUM(X59:Y59)</f>
        <v>25</v>
      </c>
      <c r="X59" s="366">
        <f>SUM(X56:X58)</f>
        <v>-35.25</v>
      </c>
      <c r="Y59" s="367">
        <f>SUM(Y56:Y58)</f>
        <v>60.25</v>
      </c>
      <c r="Z59" s="150"/>
      <c r="AA59" s="150"/>
      <c r="AB59" s="150"/>
      <c r="AC59" s="150"/>
      <c r="AD59" s="150"/>
      <c r="AE59" s="150"/>
      <c r="AF59" s="150"/>
    </row>
    <row r="60" spans="6:32" ht="16.5" customHeight="1"/>
    <row r="61" spans="6:32" ht="16.5" customHeight="1"/>
    <row r="62" spans="6:32" ht="16.5" customHeight="1"/>
    <row r="63" spans="6:32" ht="16.5" customHeight="1"/>
    <row r="64" spans="6:32" ht="16.5" customHeight="1"/>
    <row r="65" ht="16.5" customHeight="1"/>
    <row r="66" ht="16.5" customHeight="1"/>
    <row r="67" ht="16.5" customHeight="1"/>
    <row r="68" ht="16.5" customHeight="1"/>
    <row r="69" ht="16.5" customHeight="1"/>
    <row r="70" ht="16.5" customHeight="1"/>
    <row r="71" ht="16.5" customHeight="1"/>
    <row r="72" ht="16.5" customHeight="1"/>
    <row r="73" ht="16.5" customHeight="1"/>
    <row r="74" ht="16.5" customHeight="1"/>
    <row r="75" ht="16.5" customHeight="1"/>
    <row r="76" ht="16.5" customHeight="1"/>
    <row r="77" ht="16.5" customHeight="1"/>
    <row r="78" ht="16.5" customHeight="1"/>
    <row r="79" ht="16.5" customHeight="1"/>
    <row r="80" ht="16.5" customHeight="1"/>
    <row r="81" ht="16.5" customHeight="1"/>
    <row r="82" ht="16.5" customHeight="1"/>
    <row r="83" ht="16.5" customHeight="1"/>
    <row r="84" ht="16.5" customHeight="1"/>
    <row r="85" ht="16.5" customHeight="1"/>
    <row r="86" ht="16.5" customHeight="1"/>
    <row r="87" ht="16.5" customHeight="1"/>
    <row r="88" ht="16.5" customHeight="1"/>
    <row r="89" ht="16.5" customHeight="1"/>
    <row r="90" ht="16.5" customHeight="1"/>
    <row r="91" ht="16.5" customHeight="1"/>
    <row r="92" ht="16.5" customHeight="1"/>
    <row r="93" ht="16.5" customHeight="1"/>
    <row r="94" ht="16.5" customHeight="1"/>
    <row r="95" ht="16.5" customHeight="1"/>
    <row r="96" ht="16.5" customHeight="1"/>
    <row r="97" ht="16.5" customHeight="1"/>
    <row r="98" ht="16.5" customHeight="1"/>
    <row r="99" ht="16.5" customHeight="1"/>
    <row r="100" ht="16.5" customHeight="1"/>
    <row r="101" ht="16.5" customHeight="1"/>
    <row r="102" ht="16.5" customHeight="1"/>
    <row r="103" ht="16.5" customHeight="1"/>
    <row r="104" ht="16.5" customHeight="1"/>
    <row r="105" ht="16.5" customHeight="1"/>
    <row r="106" ht="16.5" customHeight="1"/>
    <row r="107" ht="16.5" customHeight="1"/>
    <row r="108" ht="16.5" customHeight="1"/>
    <row r="109" ht="16.5" customHeight="1"/>
    <row r="110" ht="16.5" customHeight="1"/>
    <row r="111" ht="16.5" customHeight="1"/>
    <row r="112" ht="16.5" customHeight="1"/>
    <row r="113" ht="16.5" customHeight="1"/>
    <row r="114" ht="16.5" customHeight="1"/>
    <row r="115" ht="16.5" customHeight="1"/>
    <row r="116" ht="16.5" customHeight="1"/>
    <row r="117" ht="16.5" customHeight="1"/>
    <row r="118" ht="16.5" customHeight="1"/>
    <row r="119" ht="16.5" customHeight="1"/>
    <row r="120" ht="16.5" customHeight="1"/>
    <row r="121" ht="16.5" customHeight="1"/>
    <row r="122" ht="16.5" customHeight="1"/>
    <row r="123" ht="16.5" customHeight="1"/>
    <row r="124" ht="16.5" customHeight="1"/>
    <row r="125" ht="16.5" customHeight="1"/>
    <row r="126" ht="16.5" customHeight="1"/>
    <row r="127" ht="16.5" customHeight="1"/>
    <row r="128" ht="16.5" customHeight="1"/>
    <row r="129" ht="16.5" customHeight="1"/>
    <row r="130" ht="16.5" customHeight="1"/>
    <row r="131" ht="16.5" customHeight="1"/>
    <row r="132" ht="16.5" customHeight="1"/>
    <row r="133" ht="16.5" customHeight="1"/>
    <row r="134" ht="16.5" customHeight="1"/>
    <row r="135" ht="16.5" customHeight="1"/>
    <row r="136" ht="16.5" customHeight="1"/>
    <row r="137" ht="16.5" customHeight="1"/>
    <row r="138" ht="16.5" customHeight="1"/>
    <row r="139" ht="16.5" customHeight="1"/>
    <row r="140" ht="16.5" customHeight="1"/>
    <row r="141" ht="16.5" customHeight="1"/>
    <row r="142" ht="16.5" customHeight="1"/>
    <row r="143" ht="16.5" customHeight="1"/>
    <row r="144" ht="16.5" customHeight="1"/>
    <row r="145" ht="16.5" customHeight="1"/>
    <row r="146" ht="16.5" customHeight="1"/>
    <row r="147" ht="16.5" customHeight="1"/>
    <row r="148" ht="16.5" customHeight="1"/>
    <row r="149" ht="16.5" customHeight="1"/>
    <row r="150" ht="16.5" customHeight="1"/>
    <row r="151" ht="16.5" customHeight="1"/>
    <row r="152" ht="16.5" customHeight="1"/>
    <row r="153" ht="16.5" customHeight="1"/>
    <row r="154" ht="16.5" customHeight="1"/>
    <row r="155" ht="16.5" customHeight="1"/>
    <row r="156" ht="16.5" customHeight="1"/>
    <row r="157" ht="16.5" customHeight="1"/>
    <row r="158" ht="16.5" customHeight="1"/>
    <row r="159" ht="16.5" customHeight="1"/>
    <row r="160" ht="16.5" customHeight="1"/>
    <row r="161" ht="16.5" customHeight="1"/>
    <row r="162" ht="16.5" customHeight="1"/>
    <row r="163" ht="16.5" customHeight="1"/>
    <row r="164" ht="16.5" customHeight="1"/>
    <row r="165" ht="16.5" customHeight="1"/>
    <row r="166" ht="16.5" customHeight="1"/>
    <row r="167" ht="16.5" customHeight="1"/>
    <row r="168" ht="16.5" customHeight="1"/>
    <row r="169" ht="16.5" customHeight="1"/>
    <row r="170" ht="16.5" customHeight="1"/>
    <row r="171" ht="16.5" customHeight="1"/>
    <row r="172" ht="16.5" customHeight="1"/>
    <row r="173" ht="16.5" customHeight="1"/>
    <row r="174" ht="16.5" customHeight="1"/>
    <row r="175" ht="16.5" customHeight="1"/>
    <row r="176" ht="16.5" customHeight="1"/>
    <row r="177" ht="16.5" customHeight="1"/>
    <row r="178" ht="16.5" customHeight="1"/>
    <row r="179" ht="16.5" customHeight="1"/>
    <row r="180" ht="16.5" customHeight="1"/>
    <row r="181" ht="16.5" customHeight="1"/>
    <row r="182" ht="16.5" customHeight="1"/>
    <row r="183" ht="16.5" customHeight="1"/>
    <row r="184" ht="16.5" customHeight="1"/>
    <row r="185" ht="16.5" customHeight="1"/>
    <row r="186" ht="16.5" customHeight="1"/>
    <row r="187" ht="16.5" customHeight="1"/>
    <row r="188" ht="16.5" customHeight="1"/>
    <row r="189" ht="16.5" customHeight="1"/>
    <row r="190" ht="16.5" customHeight="1"/>
    <row r="191" ht="16.5" customHeight="1"/>
    <row r="192" ht="16.5" customHeight="1"/>
    <row r="193" ht="16.5" customHeight="1"/>
    <row r="194" ht="16.5" customHeight="1"/>
    <row r="195" ht="16.5" customHeight="1"/>
    <row r="196" ht="16.5" customHeight="1"/>
    <row r="197" ht="16.5" customHeight="1"/>
    <row r="198" ht="16.5" customHeight="1"/>
    <row r="199" ht="16.5" customHeight="1"/>
    <row r="200" ht="16.5" customHeight="1"/>
    <row r="201" ht="16.5" customHeight="1"/>
    <row r="202" ht="16.5" customHeight="1"/>
    <row r="203" ht="16.5" customHeight="1"/>
    <row r="204" ht="16.5" customHeight="1"/>
    <row r="205" ht="16.5" customHeight="1"/>
    <row r="206" ht="16.5" customHeight="1"/>
    <row r="207" ht="16.5" customHeight="1"/>
    <row r="208" ht="16.5" customHeight="1"/>
    <row r="209" ht="16.5" customHeight="1"/>
    <row r="210" ht="16.5" customHeight="1"/>
    <row r="211" ht="16.5" customHeight="1"/>
    <row r="212" ht="16.5" customHeight="1"/>
    <row r="213" ht="16.5" customHeight="1"/>
    <row r="214" ht="16.5" customHeight="1"/>
    <row r="215" ht="16.5" customHeight="1"/>
    <row r="216" ht="16.5" customHeight="1"/>
    <row r="217" ht="16.5" customHeight="1"/>
    <row r="218" ht="16.5" customHeight="1"/>
    <row r="219" ht="16.5" customHeight="1"/>
    <row r="220" ht="16.5" customHeight="1"/>
    <row r="221" ht="16.5" customHeight="1"/>
    <row r="222" ht="16.5" customHeight="1"/>
    <row r="223" ht="16.5" customHeight="1"/>
    <row r="224" ht="16.5" customHeight="1"/>
    <row r="225" ht="16.5" customHeight="1"/>
    <row r="226" ht="16.5" customHeight="1"/>
    <row r="227" ht="16.5" customHeight="1"/>
    <row r="228" ht="16.5" customHeight="1"/>
    <row r="229" ht="16.5" customHeight="1"/>
    <row r="230" ht="16.5" customHeight="1"/>
    <row r="231" ht="16.5" customHeight="1"/>
    <row r="232" ht="16.5" customHeight="1"/>
    <row r="233" ht="16.5" customHeight="1"/>
    <row r="234" ht="16.5" customHeight="1"/>
    <row r="235" ht="16.5" customHeight="1"/>
    <row r="236" ht="16.5" customHeight="1"/>
    <row r="237" ht="16.5" customHeight="1"/>
    <row r="238" ht="16.5" customHeight="1"/>
    <row r="239" ht="16.5" customHeight="1"/>
    <row r="240" ht="16.5" customHeight="1"/>
    <row r="241" ht="16.5" customHeight="1"/>
    <row r="242" ht="16.5" customHeight="1"/>
    <row r="243" ht="16.5" customHeight="1"/>
    <row r="244" ht="16.5" customHeight="1"/>
    <row r="245" ht="16.5" customHeight="1"/>
    <row r="246" ht="16.5" customHeight="1"/>
    <row r="247" ht="16.5" customHeight="1"/>
    <row r="248" ht="16.5" customHeight="1"/>
    <row r="249" ht="16.5" customHeight="1"/>
    <row r="250" ht="16.5" customHeight="1"/>
    <row r="251" ht="16.5" customHeight="1"/>
    <row r="252" ht="16.5" customHeight="1"/>
    <row r="253" ht="16.5" customHeight="1"/>
    <row r="254" ht="16.5" customHeight="1"/>
    <row r="255" ht="16.5" customHeight="1"/>
    <row r="256" ht="16.5" customHeight="1"/>
    <row r="257" ht="16.5" customHeight="1"/>
    <row r="258" ht="16.5" customHeight="1"/>
    <row r="259" ht="16.5" customHeight="1"/>
    <row r="260" ht="16.5" customHeight="1"/>
    <row r="261" ht="16.5" customHeight="1"/>
    <row r="262" ht="16.5" customHeight="1"/>
    <row r="263" ht="16.5" customHeight="1"/>
    <row r="264" ht="16.5" customHeight="1"/>
    <row r="265" ht="16.5" customHeight="1"/>
    <row r="266" ht="16.5" customHeight="1"/>
    <row r="267" ht="16.5" customHeight="1"/>
    <row r="268" ht="16.5" customHeight="1"/>
    <row r="269" ht="16.5" customHeight="1"/>
    <row r="270" ht="16.5" customHeight="1"/>
    <row r="271" ht="16.5" customHeight="1"/>
    <row r="272" ht="16.5" customHeight="1"/>
    <row r="273" ht="16.5" customHeight="1"/>
    <row r="274" ht="16.5" customHeight="1"/>
    <row r="275" ht="16.5" customHeight="1"/>
    <row r="276" ht="16.5" customHeight="1"/>
    <row r="277" ht="16.5" customHeight="1"/>
    <row r="278" ht="16.5" customHeight="1"/>
    <row r="279" ht="16.5" customHeight="1"/>
    <row r="280" ht="16.5" customHeight="1"/>
    <row r="281" ht="16.5" customHeight="1"/>
    <row r="282" ht="16.5" customHeight="1"/>
    <row r="283" ht="16.5" customHeight="1"/>
    <row r="284" ht="16.5" customHeight="1"/>
    <row r="285" ht="16.5" customHeight="1"/>
    <row r="286" ht="16.5" customHeight="1"/>
    <row r="287" ht="16.5" customHeight="1"/>
    <row r="288" ht="16.5" customHeight="1"/>
    <row r="289" ht="16.5" customHeight="1"/>
    <row r="290" ht="16.5" customHeight="1"/>
    <row r="291" ht="16.5" customHeight="1"/>
    <row r="292" ht="16.5" customHeight="1"/>
    <row r="293" ht="16.5" customHeight="1"/>
    <row r="294" ht="16.5" customHeight="1"/>
    <row r="295" ht="16.5" customHeight="1"/>
    <row r="296" ht="16.5" customHeight="1"/>
    <row r="297" ht="16.5" customHeight="1"/>
    <row r="298" ht="16.5" customHeight="1"/>
    <row r="299" ht="16.5" customHeight="1"/>
    <row r="300" ht="16.5" customHeight="1"/>
    <row r="301" ht="16.5" customHeight="1"/>
    <row r="302" ht="16.5" customHeight="1"/>
    <row r="303" ht="16.5" customHeight="1"/>
    <row r="304" ht="16.5" customHeight="1"/>
    <row r="305" ht="16.5" customHeight="1"/>
    <row r="306" ht="16.5" customHeight="1"/>
    <row r="307" ht="16.5" customHeight="1"/>
    <row r="308" ht="16.5" customHeight="1"/>
    <row r="309" ht="16.5" customHeight="1"/>
    <row r="310" ht="16.5" customHeight="1"/>
    <row r="311" ht="16.5" customHeight="1"/>
    <row r="312" ht="16.5" customHeight="1"/>
    <row r="313" ht="16.5" customHeight="1"/>
    <row r="314" ht="16.5" customHeight="1"/>
    <row r="315" ht="16.5" customHeight="1"/>
    <row r="316" ht="16.5" customHeight="1"/>
    <row r="317" ht="16.5" customHeight="1"/>
    <row r="318" ht="16.5" customHeight="1"/>
    <row r="319" ht="16.5" customHeight="1"/>
    <row r="320" ht="16.5" customHeight="1"/>
    <row r="321" ht="16.5" customHeight="1"/>
    <row r="322" ht="16.5" customHeight="1"/>
    <row r="323" ht="16.5" customHeight="1"/>
    <row r="324" ht="16.5" customHeight="1"/>
    <row r="325" ht="16.5" customHeight="1"/>
    <row r="326" ht="16.5" customHeight="1"/>
    <row r="327" ht="16.5" customHeight="1"/>
    <row r="328" ht="16.5" customHeight="1"/>
    <row r="329" ht="16.5" customHeight="1"/>
    <row r="330" ht="16.5" customHeight="1"/>
    <row r="331" ht="16.5" customHeight="1"/>
    <row r="332" ht="16.5" customHeight="1"/>
    <row r="333" ht="16.5" customHeight="1"/>
    <row r="334" ht="16.5" customHeight="1"/>
    <row r="335" ht="16.5" customHeight="1"/>
    <row r="336" ht="16.5" customHeight="1"/>
    <row r="337" ht="16.5" customHeight="1"/>
    <row r="338" ht="16.5" customHeight="1"/>
    <row r="339" ht="16.5" customHeight="1"/>
    <row r="340" ht="16.5" customHeight="1"/>
    <row r="341" ht="16.5" customHeight="1"/>
    <row r="342" ht="16.5" customHeight="1"/>
    <row r="343" ht="16.5" customHeight="1"/>
    <row r="344" ht="16.5" customHeight="1"/>
    <row r="345" ht="16.5" customHeight="1"/>
    <row r="346" ht="16.5" customHeight="1"/>
    <row r="347" ht="16.5" customHeight="1"/>
    <row r="348" ht="16.5" customHeight="1"/>
    <row r="349" ht="16.5" customHeight="1"/>
    <row r="350" ht="16.5" customHeight="1"/>
    <row r="351" ht="16.5" customHeight="1"/>
    <row r="352" ht="16.5" customHeight="1"/>
    <row r="353" ht="16.5" customHeight="1"/>
    <row r="354" ht="16.5" customHeight="1"/>
    <row r="355" ht="16.5" customHeight="1"/>
    <row r="356" ht="16.5" customHeight="1"/>
    <row r="357" ht="16.5" customHeight="1"/>
    <row r="358" ht="16.5" customHeight="1"/>
    <row r="359" ht="16.5" customHeight="1"/>
    <row r="360" ht="16.5" customHeight="1"/>
    <row r="361" ht="16.5" customHeight="1"/>
    <row r="362" ht="16.5" customHeight="1"/>
    <row r="363" ht="16.5" customHeight="1"/>
    <row r="364" ht="16.5" customHeight="1"/>
    <row r="365" ht="16.5" customHeight="1"/>
    <row r="366" ht="16.5" customHeight="1"/>
    <row r="367" ht="16.5" customHeight="1"/>
    <row r="368" ht="16.5" customHeight="1"/>
    <row r="369" ht="16.5" customHeight="1"/>
    <row r="370" ht="16.5" customHeight="1"/>
    <row r="371" ht="16.5" customHeight="1"/>
    <row r="372" ht="16.5" customHeight="1"/>
    <row r="373" ht="16.5" customHeight="1"/>
    <row r="374" ht="16.5" customHeight="1"/>
    <row r="375" ht="16.5" customHeight="1"/>
    <row r="376" ht="16.5" customHeight="1"/>
    <row r="377" ht="16.5" customHeight="1"/>
    <row r="378" ht="16.5" customHeight="1"/>
    <row r="379" ht="16.5" customHeight="1"/>
    <row r="380" ht="16.5" customHeight="1"/>
    <row r="381" ht="16.5" customHeight="1"/>
    <row r="382" ht="16.5" customHeight="1"/>
    <row r="383" ht="16.5" customHeight="1"/>
    <row r="384" ht="16.5" customHeight="1"/>
    <row r="385" ht="16.5" customHeight="1"/>
    <row r="386" ht="16.5" customHeight="1"/>
    <row r="387" ht="16.5" customHeight="1"/>
    <row r="388" ht="16.5" customHeight="1"/>
    <row r="389" ht="16.5" customHeight="1"/>
    <row r="390" ht="16.5" customHeight="1"/>
    <row r="391" ht="16.5" customHeight="1"/>
    <row r="392" ht="16.5" customHeight="1"/>
    <row r="393" ht="16.5" customHeight="1"/>
    <row r="394" ht="16.5" customHeight="1"/>
    <row r="395" ht="16.5" customHeight="1"/>
    <row r="396" ht="16.5" customHeight="1"/>
    <row r="397" ht="16.5" customHeight="1"/>
    <row r="398" ht="16.5" customHeight="1"/>
    <row r="399" ht="16.5" customHeight="1"/>
    <row r="400" ht="16.5" customHeight="1"/>
    <row r="401" ht="16.5" customHeight="1"/>
    <row r="402" ht="16.5" customHeight="1"/>
    <row r="403" ht="16.5" customHeight="1"/>
    <row r="404" ht="16.5" customHeight="1"/>
    <row r="405" ht="16.5" customHeight="1"/>
    <row r="406" ht="16.5" customHeight="1"/>
    <row r="407" ht="16.5" customHeight="1"/>
    <row r="408" ht="16.5" customHeight="1"/>
    <row r="409" ht="16.5" customHeight="1"/>
    <row r="410" ht="16.5" customHeight="1"/>
    <row r="411" ht="16.5" customHeight="1"/>
    <row r="412" ht="16.5" customHeight="1"/>
    <row r="413" ht="16.5" customHeight="1"/>
    <row r="414" ht="16.5" customHeight="1"/>
    <row r="415" ht="16.5" customHeight="1"/>
    <row r="416" ht="16.5" customHeight="1"/>
    <row r="417" ht="16.5" customHeight="1"/>
    <row r="418" ht="16.5" customHeight="1"/>
    <row r="419" ht="16.5" customHeight="1"/>
    <row r="420" ht="16.5" customHeight="1"/>
    <row r="421" ht="16.5" customHeight="1"/>
    <row r="422" ht="16.5" customHeight="1"/>
    <row r="423" ht="16.5" customHeight="1"/>
    <row r="424" ht="16.5" customHeight="1"/>
    <row r="425" ht="16.5" customHeight="1"/>
    <row r="426" ht="16.5" customHeight="1"/>
    <row r="427" ht="16.5" customHeight="1"/>
    <row r="428" ht="16.5" customHeight="1"/>
    <row r="429" ht="16.5" customHeight="1"/>
    <row r="430" ht="16.5" customHeight="1"/>
    <row r="431" ht="16.5" customHeight="1"/>
    <row r="432" ht="16.5" customHeight="1"/>
    <row r="433" ht="16.5" customHeight="1"/>
    <row r="434" ht="16.5" customHeight="1"/>
    <row r="435" ht="16.5" customHeight="1"/>
    <row r="436" ht="16.5" customHeight="1"/>
    <row r="437" ht="16.5" customHeight="1"/>
    <row r="438" ht="16.5" customHeight="1"/>
    <row r="439" ht="16.5" customHeight="1"/>
    <row r="440" ht="16.5" customHeight="1"/>
    <row r="441" ht="16.5" customHeight="1"/>
    <row r="442" ht="16.5" customHeight="1"/>
    <row r="443" ht="16.5" customHeight="1"/>
    <row r="444" ht="16.5" customHeight="1"/>
    <row r="445" ht="16.5" customHeight="1"/>
    <row r="446" ht="16.5" customHeight="1"/>
    <row r="447" ht="16.5" customHeight="1"/>
    <row r="448" ht="16.5" customHeight="1"/>
    <row r="449" ht="16.5" customHeight="1"/>
    <row r="450" ht="16.5" customHeight="1"/>
    <row r="451" ht="16.5" customHeight="1"/>
    <row r="452" ht="16.5" customHeight="1"/>
    <row r="453" ht="16.5" customHeight="1"/>
    <row r="454" ht="16.5" customHeight="1"/>
    <row r="455" ht="16.5" customHeight="1"/>
    <row r="456" ht="16.5" customHeight="1"/>
    <row r="457" ht="16.5" customHeight="1"/>
    <row r="458" ht="16.5" customHeight="1"/>
    <row r="459" ht="16.5" customHeight="1"/>
    <row r="460" ht="16.5" customHeight="1"/>
    <row r="461" ht="16.5" customHeight="1"/>
    <row r="462" ht="16.5" customHeight="1"/>
    <row r="463" ht="16.5" customHeight="1"/>
    <row r="464" ht="16.5" customHeight="1"/>
    <row r="465" ht="16.5" customHeight="1"/>
    <row r="466" ht="16.5" customHeight="1"/>
    <row r="467" ht="16.5" customHeight="1"/>
    <row r="468" ht="16.5" customHeight="1"/>
    <row r="469" ht="16.5" customHeight="1"/>
    <row r="470" ht="16.5" customHeight="1"/>
    <row r="471" ht="16.5" customHeight="1"/>
    <row r="472" ht="16.5" customHeight="1"/>
    <row r="473" ht="16.5" customHeight="1"/>
    <row r="474" ht="16.5" customHeight="1"/>
    <row r="475" ht="16.5" customHeight="1"/>
    <row r="476" ht="16.5" customHeight="1"/>
    <row r="477" ht="16.5" customHeight="1"/>
    <row r="478" ht="16.5" customHeight="1"/>
    <row r="479" ht="16.5" customHeight="1"/>
    <row r="480" ht="16.5" customHeight="1"/>
    <row r="481" ht="16.5" customHeight="1"/>
    <row r="482" ht="16.5" customHeight="1"/>
    <row r="483" ht="16.5" customHeight="1"/>
    <row r="484" ht="16.5" customHeight="1"/>
    <row r="485" ht="16.5" customHeight="1"/>
    <row r="486" ht="16.5" customHeight="1"/>
    <row r="487" ht="16.5" customHeight="1"/>
    <row r="488" ht="16.5" customHeight="1"/>
    <row r="489" ht="16.5" customHeight="1"/>
    <row r="490" ht="16.5" customHeight="1"/>
    <row r="491" ht="16.5" customHeight="1"/>
    <row r="492" ht="16.5" customHeight="1"/>
    <row r="493" ht="16.5" customHeight="1"/>
    <row r="494" ht="16.5" customHeight="1"/>
    <row r="495" ht="16.5" customHeight="1"/>
    <row r="496" ht="16.5" customHeight="1"/>
    <row r="497" ht="16.5" customHeight="1"/>
    <row r="498" ht="16.5" customHeight="1"/>
    <row r="499" ht="16.5" customHeight="1"/>
    <row r="500" ht="16.5" customHeight="1"/>
    <row r="501" ht="16.5" customHeight="1"/>
    <row r="502" ht="16.5" customHeight="1"/>
    <row r="503" ht="16.5" customHeight="1"/>
    <row r="504" ht="16.5" customHeight="1"/>
    <row r="505" ht="16.5" customHeight="1"/>
    <row r="506" ht="16.5" customHeight="1"/>
    <row r="507" ht="16.5" customHeight="1"/>
    <row r="508" ht="16.5" customHeight="1"/>
    <row r="509" ht="16.5" customHeight="1"/>
    <row r="510" ht="16.5" customHeight="1"/>
    <row r="511" ht="16.5" customHeight="1"/>
    <row r="512" ht="16.5" customHeight="1"/>
    <row r="513" ht="16.5" customHeight="1"/>
    <row r="514" ht="16.5" customHeight="1"/>
    <row r="515" ht="16.5" customHeight="1"/>
    <row r="516" ht="16.5" customHeight="1"/>
    <row r="517" ht="16.5" customHeight="1"/>
    <row r="518" ht="16.5" customHeight="1"/>
    <row r="519" ht="16.5" customHeight="1"/>
    <row r="520" ht="16.5" customHeight="1"/>
    <row r="521" ht="16.5" customHeight="1"/>
    <row r="522" ht="16.5" customHeight="1"/>
    <row r="523" ht="16.5" customHeight="1"/>
    <row r="524" ht="16.5" customHeight="1"/>
    <row r="525" ht="16.5" customHeight="1"/>
    <row r="526" ht="16.5" customHeight="1"/>
    <row r="527" ht="16.5" customHeight="1"/>
    <row r="528" ht="16.5" customHeight="1"/>
    <row r="529" ht="16.5" customHeight="1"/>
    <row r="530" ht="16.5" customHeight="1"/>
    <row r="531" ht="16.5" customHeight="1"/>
    <row r="532" ht="16.5" customHeight="1"/>
    <row r="533" ht="16.5" customHeight="1"/>
    <row r="534" ht="16.5" customHeight="1"/>
    <row r="535" ht="16.5" customHeight="1"/>
    <row r="536" ht="16.5" customHeight="1"/>
    <row r="537" ht="16.5" customHeight="1"/>
    <row r="538" ht="16.5" customHeight="1"/>
    <row r="539" ht="16.5" customHeight="1"/>
    <row r="540" ht="16.5" customHeight="1"/>
    <row r="541" ht="16.5" customHeight="1"/>
    <row r="542" ht="16.5" customHeight="1"/>
    <row r="543" ht="16.5" customHeight="1"/>
    <row r="544" ht="16.5" customHeight="1"/>
    <row r="545" ht="16.5" customHeight="1"/>
    <row r="546" ht="16.5" customHeight="1"/>
    <row r="547" ht="16.5" customHeight="1"/>
    <row r="548" ht="16.5" customHeight="1"/>
    <row r="549" ht="16.5" customHeight="1"/>
    <row r="550" ht="16.5" customHeight="1"/>
    <row r="551" ht="16.5" customHeight="1"/>
    <row r="552" ht="16.5" customHeight="1"/>
    <row r="553" ht="16.5" customHeight="1"/>
    <row r="554" ht="16.5" customHeight="1"/>
    <row r="555" ht="16.5" customHeight="1"/>
    <row r="556" ht="16.5" customHeight="1"/>
    <row r="557" ht="16.5" customHeight="1"/>
    <row r="558" ht="16.5" customHeight="1"/>
    <row r="559" ht="16.5" customHeight="1"/>
    <row r="560" ht="16.5" customHeight="1"/>
    <row r="561" ht="16.5" customHeight="1"/>
    <row r="562" ht="16.5" customHeight="1"/>
    <row r="563" ht="16.5" customHeight="1"/>
    <row r="564" ht="16.5" customHeight="1"/>
    <row r="565" ht="16.5" customHeight="1"/>
    <row r="566" ht="16.5" customHeight="1"/>
    <row r="567" ht="16.5" customHeight="1"/>
    <row r="568" ht="16.5" customHeight="1"/>
    <row r="569" ht="16.5" customHeight="1"/>
    <row r="570" ht="16.5" customHeight="1"/>
    <row r="571" ht="16.5" customHeight="1"/>
    <row r="572" ht="16.5" customHeight="1"/>
    <row r="573" ht="16.5" customHeight="1"/>
    <row r="574" ht="16.5" customHeight="1"/>
    <row r="575" ht="16.5" customHeight="1"/>
    <row r="576" ht="16.5" customHeight="1"/>
    <row r="577" ht="16.5" customHeight="1"/>
    <row r="578" ht="16.5" customHeight="1"/>
    <row r="579" ht="16.5" customHeight="1"/>
    <row r="580" ht="16.5" customHeight="1"/>
    <row r="581" ht="16.5" customHeight="1"/>
    <row r="582" ht="16.5" customHeight="1"/>
    <row r="583" ht="16.5" customHeight="1"/>
    <row r="584" ht="16.5" customHeight="1"/>
    <row r="585" ht="16.5" customHeight="1"/>
    <row r="586" ht="16.5" customHeight="1"/>
    <row r="587" ht="16.5" customHeight="1"/>
    <row r="588" ht="16.5" customHeight="1"/>
    <row r="589" ht="16.5" customHeight="1"/>
    <row r="590" ht="16.5" customHeight="1"/>
    <row r="591" ht="16.5" customHeight="1"/>
    <row r="592" ht="16.5" customHeight="1"/>
    <row r="593" ht="16.5" customHeight="1"/>
    <row r="594" ht="16.5" customHeight="1"/>
    <row r="595" ht="16.5" customHeight="1"/>
    <row r="596" ht="16.5" customHeight="1"/>
    <row r="597" ht="16.5" customHeight="1"/>
    <row r="598" ht="16.5" customHeight="1"/>
    <row r="599" ht="16.5" customHeight="1"/>
    <row r="600" ht="16.5" customHeight="1"/>
    <row r="601" ht="16.5" customHeight="1"/>
    <row r="602" ht="16.5" customHeight="1"/>
    <row r="603" ht="16.5" customHeight="1"/>
    <row r="604" ht="16.5" customHeight="1"/>
    <row r="605" ht="16.5" customHeight="1"/>
    <row r="606" ht="16.5" customHeight="1"/>
    <row r="607" ht="16.5" customHeight="1"/>
    <row r="608" ht="16.5" customHeight="1"/>
    <row r="609" ht="16.5" customHeight="1"/>
    <row r="610" ht="16.5" customHeight="1"/>
    <row r="611" ht="16.5" customHeight="1"/>
    <row r="612" ht="16.5" customHeight="1"/>
    <row r="613" ht="16.5" customHeight="1"/>
    <row r="614" ht="16.5" customHeight="1"/>
    <row r="615" ht="16.5" customHeight="1"/>
    <row r="616" ht="16.5" customHeight="1"/>
    <row r="617" ht="16.5" customHeight="1"/>
    <row r="618" ht="16.5" customHeight="1"/>
    <row r="619" ht="16.5" customHeight="1"/>
    <row r="620" ht="16.5" customHeight="1"/>
    <row r="621" ht="16.5" customHeight="1"/>
    <row r="622" ht="16.5" customHeight="1"/>
    <row r="623" ht="16.5" customHeight="1"/>
    <row r="624" ht="16.5" customHeight="1"/>
    <row r="625" ht="16.5" customHeight="1"/>
    <row r="626" ht="16.5" customHeight="1"/>
    <row r="627" ht="16.5" customHeight="1"/>
    <row r="628" ht="16.5" customHeight="1"/>
    <row r="629" ht="16.5" customHeight="1"/>
    <row r="630" ht="16.5" customHeight="1"/>
    <row r="631" ht="16.5" customHeight="1"/>
    <row r="632" ht="16.5" customHeight="1"/>
    <row r="633" ht="16.5" customHeight="1"/>
    <row r="634" ht="16.5" customHeight="1"/>
    <row r="635" ht="16.5" customHeight="1"/>
    <row r="636" ht="16.5" customHeight="1"/>
    <row r="637" ht="16.5" customHeight="1"/>
    <row r="638" ht="16.5" customHeight="1"/>
    <row r="639" ht="16.5" customHeight="1"/>
    <row r="640" ht="16.5" customHeight="1"/>
    <row r="641" ht="16.5" customHeight="1"/>
    <row r="642" ht="16.5" customHeight="1"/>
    <row r="643" ht="16.5" customHeight="1"/>
    <row r="644" ht="16.5" customHeight="1"/>
    <row r="645" ht="16.5" customHeight="1"/>
    <row r="646" ht="16.5" customHeight="1"/>
    <row r="647" ht="16.5" customHeight="1"/>
    <row r="648" ht="16.5" customHeight="1"/>
    <row r="649" ht="16.5" customHeight="1"/>
    <row r="650" ht="16.5" customHeight="1"/>
    <row r="651" ht="16.5" customHeight="1"/>
    <row r="652" ht="16.5" customHeight="1"/>
    <row r="653" ht="16.5" customHeight="1"/>
    <row r="654" ht="16.5" customHeight="1"/>
    <row r="655" ht="16.5" customHeight="1"/>
    <row r="656" ht="16.5" customHeight="1"/>
    <row r="657" ht="16.5" customHeight="1"/>
    <row r="658" ht="16.5" customHeight="1"/>
    <row r="659" ht="16.5" customHeight="1"/>
    <row r="660" ht="16.5" customHeight="1"/>
    <row r="661" ht="16.5" customHeight="1"/>
    <row r="662" ht="16.5" customHeight="1"/>
    <row r="663" ht="16.5" customHeight="1"/>
    <row r="664" ht="16.5" customHeight="1"/>
    <row r="665" ht="16.5" customHeight="1"/>
    <row r="666" ht="16.5" customHeight="1"/>
    <row r="667" ht="16.5" customHeight="1"/>
    <row r="668" ht="16.5" customHeight="1"/>
    <row r="669" ht="16.5" customHeight="1"/>
    <row r="670" ht="16.5" customHeight="1"/>
    <row r="671" ht="16.5" customHeight="1"/>
    <row r="672" ht="16.5" customHeight="1"/>
    <row r="673" ht="16.5" customHeight="1"/>
    <row r="674" ht="16.5" customHeight="1"/>
    <row r="675" ht="16.5" customHeight="1"/>
    <row r="676" ht="16.5" customHeight="1"/>
    <row r="677" ht="16.5" customHeight="1"/>
    <row r="678" ht="16.5" customHeight="1"/>
    <row r="679" ht="16.5" customHeight="1"/>
    <row r="680" ht="16.5" customHeight="1"/>
    <row r="681" ht="16.5" customHeight="1"/>
    <row r="682" ht="16.5" customHeight="1"/>
    <row r="683" ht="16.5" customHeight="1"/>
    <row r="684" ht="16.5" customHeight="1"/>
    <row r="685" ht="16.5" customHeight="1"/>
    <row r="686" ht="16.5" customHeight="1"/>
    <row r="687" ht="16.5" customHeight="1"/>
    <row r="688" ht="16.5" customHeight="1"/>
    <row r="689" ht="16.5" customHeight="1"/>
    <row r="690" ht="16.5" customHeight="1"/>
    <row r="691" ht="16.5" customHeight="1"/>
    <row r="692" ht="16.5" customHeight="1"/>
    <row r="693" ht="16.5" customHeight="1"/>
    <row r="694" ht="16.5" customHeight="1"/>
    <row r="695" ht="16.5" customHeight="1"/>
    <row r="696" ht="16.5" customHeight="1"/>
    <row r="697" ht="16.5" customHeight="1"/>
    <row r="698" ht="16.5" customHeight="1"/>
    <row r="699" ht="16.5" customHeight="1"/>
    <row r="700" ht="16.5" customHeight="1"/>
    <row r="701" ht="16.5" customHeight="1"/>
    <row r="702" ht="16.5" customHeight="1"/>
    <row r="703" ht="16.5" customHeight="1"/>
    <row r="704" ht="16.5" customHeight="1"/>
    <row r="705" ht="16.5" customHeight="1"/>
    <row r="706" ht="16.5" customHeight="1"/>
    <row r="707" ht="16.5" customHeight="1"/>
    <row r="708" ht="16.5" customHeight="1"/>
    <row r="709" ht="16.5" customHeight="1"/>
    <row r="710" ht="16.5" customHeight="1"/>
    <row r="711" ht="16.5" customHeight="1"/>
    <row r="712" ht="16.5" customHeight="1"/>
    <row r="713" ht="16.5" customHeight="1"/>
    <row r="714" ht="16.5" customHeight="1"/>
    <row r="715" ht="16.5" customHeight="1"/>
    <row r="716" ht="16.5" customHeight="1"/>
    <row r="717" ht="16.5" customHeight="1"/>
    <row r="718" ht="16.5" customHeight="1"/>
    <row r="719" ht="16.5" customHeight="1"/>
    <row r="720" ht="16.5" customHeight="1"/>
    <row r="721" ht="16.5" customHeight="1"/>
    <row r="722" ht="16.5" customHeight="1"/>
    <row r="723" ht="16.5" customHeight="1"/>
    <row r="724" ht="16.5" customHeight="1"/>
    <row r="725" ht="16.5" customHeight="1"/>
    <row r="726" ht="16.5" customHeight="1"/>
    <row r="727" ht="16.5" customHeight="1"/>
    <row r="728" ht="16.5" customHeight="1"/>
    <row r="729" ht="16.5" customHeight="1"/>
    <row r="730" ht="16.5" customHeight="1"/>
    <row r="731" ht="16.5" customHeight="1"/>
    <row r="732" ht="16.5" customHeight="1"/>
    <row r="733" ht="16.5" customHeight="1"/>
    <row r="734" ht="16.5" customHeight="1"/>
    <row r="735" ht="16.5" customHeight="1"/>
    <row r="736" ht="16.5" customHeight="1"/>
    <row r="737" ht="16.5" customHeight="1"/>
    <row r="738" ht="16.5" customHeight="1"/>
    <row r="739" ht="16.5" customHeight="1"/>
    <row r="740" ht="16.5" customHeight="1"/>
    <row r="741" ht="16.5" customHeight="1"/>
    <row r="742" ht="16.5" customHeight="1"/>
    <row r="743" ht="16.5" customHeight="1"/>
    <row r="744" ht="16.5" customHeight="1"/>
    <row r="745" ht="16.5" customHeight="1"/>
    <row r="746" ht="16.5" customHeight="1"/>
    <row r="747" ht="16.5" customHeight="1"/>
    <row r="748" ht="16.5" customHeight="1"/>
    <row r="749" ht="16.5" customHeight="1"/>
    <row r="750" ht="16.5" customHeight="1"/>
    <row r="751" ht="16.5" customHeight="1"/>
    <row r="752" ht="16.5" customHeight="1"/>
    <row r="753" ht="16.5" customHeight="1"/>
    <row r="754" ht="16.5" customHeight="1"/>
    <row r="755" ht="16.5" customHeight="1"/>
    <row r="756" ht="16.5" customHeight="1"/>
    <row r="757" ht="16.5" customHeight="1"/>
    <row r="758" ht="16.5" customHeight="1"/>
    <row r="759" ht="16.5" customHeight="1"/>
    <row r="760" ht="16.5" customHeight="1"/>
    <row r="761" ht="16.5" customHeight="1"/>
    <row r="762" ht="16.5" customHeight="1"/>
    <row r="763" ht="16.5" customHeight="1"/>
    <row r="764" ht="16.5" customHeight="1"/>
    <row r="765" ht="16.5" customHeight="1"/>
    <row r="766" ht="16.5" customHeight="1"/>
    <row r="767" ht="16.5" customHeight="1"/>
    <row r="768" ht="16.5" customHeight="1"/>
    <row r="769" ht="16.5" customHeight="1"/>
    <row r="770" ht="16.5" customHeight="1"/>
    <row r="771" ht="16.5" customHeight="1"/>
    <row r="772" ht="16.5" customHeight="1"/>
    <row r="773" ht="16.5" customHeight="1"/>
    <row r="774" ht="16.5" customHeight="1"/>
    <row r="775" ht="16.5" customHeight="1"/>
    <row r="776" ht="16.5" customHeight="1"/>
    <row r="777" ht="16.5" customHeight="1"/>
    <row r="778" ht="16.5" customHeight="1"/>
    <row r="779" ht="16.5" customHeight="1"/>
    <row r="780" ht="16.5" customHeight="1"/>
    <row r="781" ht="16.5" customHeight="1"/>
    <row r="782" ht="16.5" customHeight="1"/>
    <row r="783" ht="16.5" customHeight="1"/>
    <row r="784" ht="16.5" customHeight="1"/>
    <row r="785" ht="16.5" customHeight="1"/>
    <row r="786" ht="16.5" customHeight="1"/>
    <row r="787" ht="16.5" customHeight="1"/>
    <row r="788" ht="16.5" customHeight="1"/>
    <row r="789" ht="16.5" customHeight="1"/>
    <row r="790" ht="16.5" customHeight="1"/>
    <row r="791" ht="16.5" customHeight="1"/>
    <row r="792" ht="16.5" customHeight="1"/>
    <row r="793" ht="16.5" customHeight="1"/>
    <row r="794" ht="16.5" customHeight="1"/>
    <row r="795" ht="16.5" customHeight="1"/>
    <row r="796" ht="16.5" customHeight="1"/>
    <row r="797" ht="16.5" customHeight="1"/>
    <row r="798" ht="16.5" customHeight="1"/>
    <row r="799" ht="16.5" customHeight="1"/>
    <row r="800" ht="16.5" customHeight="1"/>
    <row r="801" ht="16.5" customHeight="1"/>
    <row r="802" ht="16.5" customHeight="1"/>
    <row r="803" ht="16.5" customHeight="1"/>
    <row r="804" ht="16.5" customHeight="1"/>
    <row r="805" ht="16.5" customHeight="1"/>
    <row r="806" ht="16.5" customHeight="1"/>
    <row r="807" ht="16.5" customHeight="1"/>
    <row r="808" ht="16.5" customHeight="1"/>
    <row r="809" ht="16.5" customHeight="1"/>
    <row r="810" ht="16.5" customHeight="1"/>
    <row r="811" ht="16.5" customHeight="1"/>
    <row r="812" ht="16.5" customHeight="1"/>
    <row r="813" ht="16.5" customHeight="1"/>
    <row r="814" ht="16.5" customHeight="1"/>
    <row r="815" ht="16.5" customHeight="1"/>
    <row r="816" ht="16.5" customHeight="1"/>
    <row r="817" ht="16.5" customHeight="1"/>
    <row r="818" ht="16.5" customHeight="1"/>
    <row r="819" ht="16.5" customHeight="1"/>
    <row r="820" ht="16.5" customHeight="1"/>
    <row r="821" ht="16.5" customHeight="1"/>
    <row r="822" ht="16.5" customHeight="1"/>
    <row r="823" ht="16.5" customHeight="1"/>
    <row r="824" ht="16.5" customHeight="1"/>
    <row r="825" ht="16.5" customHeight="1"/>
    <row r="826" ht="16.5" customHeight="1"/>
    <row r="827" ht="16.5" customHeight="1"/>
    <row r="828" ht="16.5" customHeight="1"/>
    <row r="829" ht="16.5" customHeight="1"/>
    <row r="830" ht="16.5" customHeight="1"/>
    <row r="831" ht="16.5" customHeight="1"/>
    <row r="832" ht="16.5" customHeight="1"/>
    <row r="833" ht="16.5" customHeight="1"/>
    <row r="834" ht="16.5" customHeight="1"/>
    <row r="835" ht="16.5" customHeight="1"/>
    <row r="836" ht="16.5" customHeight="1"/>
    <row r="837" ht="16.5" customHeight="1"/>
    <row r="838" ht="16.5" customHeight="1"/>
    <row r="839" ht="16.5" customHeight="1"/>
    <row r="840" ht="16.5" customHeight="1"/>
    <row r="841" ht="16.5" customHeight="1"/>
    <row r="842" ht="16.5" customHeight="1"/>
    <row r="843" ht="16.5" customHeight="1"/>
    <row r="844" ht="16.5" customHeight="1"/>
    <row r="845" ht="16.5" customHeight="1"/>
    <row r="846" ht="16.5" customHeight="1"/>
    <row r="847" ht="16.5" customHeight="1"/>
    <row r="848" ht="16.5" customHeight="1"/>
    <row r="849" ht="16.5" customHeight="1"/>
    <row r="850" ht="16.5" customHeight="1"/>
    <row r="851" ht="16.5" customHeight="1"/>
    <row r="852" ht="16.5" customHeight="1"/>
    <row r="853" ht="16.5" customHeight="1"/>
    <row r="854" ht="16.5" customHeight="1"/>
    <row r="855" ht="16.5" customHeight="1"/>
    <row r="856" ht="16.5" customHeight="1"/>
    <row r="857" ht="16.5" customHeight="1"/>
    <row r="858" ht="16.5" customHeight="1"/>
    <row r="859" ht="16.5" customHeight="1"/>
    <row r="860" ht="16.5" customHeight="1"/>
    <row r="861" ht="16.5" customHeight="1"/>
    <row r="862" ht="16.5" customHeight="1"/>
    <row r="863" ht="16.5" customHeight="1"/>
    <row r="864" ht="16.5" customHeight="1"/>
    <row r="865" ht="16.5" customHeight="1"/>
    <row r="866" ht="16.5" customHeight="1"/>
    <row r="867" ht="16.5" customHeight="1"/>
    <row r="868" ht="16.5" customHeight="1"/>
    <row r="869" ht="16.5" customHeight="1"/>
    <row r="870" ht="16.5" customHeight="1"/>
    <row r="871" ht="16.5" customHeight="1"/>
    <row r="872" ht="16.5" customHeight="1"/>
    <row r="873" ht="16.5" customHeight="1"/>
    <row r="874" ht="16.5" customHeight="1"/>
    <row r="875" ht="16.5" customHeight="1"/>
    <row r="876" ht="16.5" customHeight="1"/>
    <row r="877" ht="16.5" customHeight="1"/>
    <row r="878" ht="16.5" customHeight="1"/>
    <row r="879" ht="16.5" customHeight="1"/>
    <row r="880" ht="16.5" customHeight="1"/>
    <row r="881" ht="16.5" customHeight="1"/>
    <row r="882" ht="16.5" customHeight="1"/>
    <row r="883" ht="16.5" customHeight="1"/>
    <row r="884" ht="16.5" customHeight="1"/>
    <row r="885" ht="16.5" customHeight="1"/>
    <row r="886" ht="16.5" customHeight="1"/>
    <row r="887" ht="16.5" customHeight="1"/>
    <row r="888" ht="16.5" customHeight="1"/>
    <row r="889" ht="16.5" customHeight="1"/>
    <row r="890" ht="16.5" customHeight="1"/>
    <row r="891" ht="16.5" customHeight="1"/>
    <row r="892" ht="16.5" customHeight="1"/>
    <row r="893" ht="16.5" customHeight="1"/>
    <row r="894" ht="16.5" customHeight="1"/>
    <row r="895" ht="16.5" customHeight="1"/>
    <row r="896" ht="16.5" customHeight="1"/>
    <row r="897" ht="16.5" customHeight="1"/>
    <row r="898" ht="16.5" customHeight="1"/>
    <row r="899" ht="16.5" customHeight="1"/>
    <row r="900" ht="16.5" customHeight="1"/>
    <row r="901" ht="16.5" customHeight="1"/>
    <row r="902" ht="16.5" customHeight="1"/>
    <row r="903" ht="16.5" customHeight="1"/>
    <row r="904" ht="16.5" customHeight="1"/>
    <row r="905" ht="16.5" customHeight="1"/>
    <row r="906" ht="16.5" customHeight="1"/>
    <row r="907" ht="16.5" customHeight="1"/>
    <row r="908" ht="16.5" customHeight="1"/>
    <row r="909" ht="16.5" customHeight="1"/>
    <row r="910" ht="16.5" customHeight="1"/>
    <row r="911" ht="16.5" customHeight="1"/>
    <row r="912" ht="16.5" customHeight="1"/>
    <row r="913" ht="16.5" customHeight="1"/>
    <row r="914" ht="16.5" customHeight="1"/>
    <row r="915" ht="16.5" customHeight="1"/>
    <row r="916" ht="16.5" customHeight="1"/>
    <row r="917" ht="16.5" customHeight="1"/>
    <row r="918" ht="16.5" customHeight="1"/>
    <row r="919" ht="16.5" customHeight="1"/>
    <row r="920" ht="16.5" customHeight="1"/>
    <row r="921" ht="16.5" customHeight="1"/>
    <row r="922" ht="16.5" customHeight="1"/>
    <row r="923" ht="16.5" customHeight="1"/>
    <row r="924" ht="16.5" customHeight="1"/>
    <row r="925" ht="16.5" customHeight="1"/>
    <row r="926" ht="16.5" customHeight="1"/>
    <row r="927" ht="16.5" customHeight="1"/>
    <row r="928" ht="16.5" customHeight="1"/>
    <row r="929" ht="16.5" customHeight="1"/>
    <row r="930" ht="16.5" customHeight="1"/>
    <row r="931" ht="16.5" customHeight="1"/>
    <row r="932" ht="16.5" customHeight="1"/>
    <row r="933" ht="16.5" customHeight="1"/>
    <row r="934" ht="16.5" customHeight="1"/>
    <row r="935" ht="16.5" customHeight="1"/>
    <row r="936" ht="16.5" customHeight="1"/>
    <row r="937" ht="16.5" customHeight="1"/>
    <row r="938" ht="16.5" customHeight="1"/>
    <row r="939" ht="16.5" customHeight="1"/>
    <row r="940" ht="16.5" customHeight="1"/>
    <row r="941" ht="16.5" customHeight="1"/>
    <row r="942" ht="16.5" customHeight="1"/>
    <row r="943" ht="16.5" customHeight="1"/>
    <row r="944" ht="16.5" customHeight="1"/>
    <row r="945" ht="16.5" customHeight="1"/>
    <row r="946" ht="16.5" customHeight="1"/>
    <row r="947" ht="16.5" customHeight="1"/>
    <row r="948" ht="16.5" customHeight="1"/>
    <row r="949" ht="16.5" customHeight="1"/>
    <row r="950" ht="16.5" customHeight="1"/>
    <row r="951" ht="16.5" customHeight="1"/>
    <row r="952" ht="16.5" customHeight="1"/>
    <row r="953" ht="16.5" customHeight="1"/>
    <row r="954" ht="16.5" customHeight="1"/>
    <row r="955" ht="16.5" customHeight="1"/>
    <row r="956" ht="16.5" customHeight="1"/>
    <row r="957" ht="16.5" customHeight="1"/>
    <row r="958" ht="16.5" customHeight="1"/>
    <row r="959" ht="16.5" customHeight="1"/>
    <row r="960" ht="16.5" customHeight="1"/>
    <row r="961" ht="16.5" customHeight="1"/>
    <row r="962" ht="16.5" customHeight="1"/>
    <row r="963" ht="16.5" customHeight="1"/>
    <row r="964" ht="16.5" customHeight="1"/>
    <row r="965" ht="16.5" customHeight="1"/>
  </sheetData>
  <mergeCells count="12">
    <mergeCell ref="AH7:AH10"/>
    <mergeCell ref="L49:N49"/>
    <mergeCell ref="C3:AA3"/>
    <mergeCell ref="C4:D4"/>
    <mergeCell ref="L5:M5"/>
    <mergeCell ref="N5:W5"/>
    <mergeCell ref="C7:C8"/>
    <mergeCell ref="AH11:AH12"/>
    <mergeCell ref="AH13:AH14"/>
    <mergeCell ref="C37:E37"/>
    <mergeCell ref="L43:L45"/>
    <mergeCell ref="L46:L48"/>
  </mergeCells>
  <phoneticPr fontId="22" type="noConversion"/>
  <pageMargins left="0.70866141732283472" right="0.70866141732283472" top="0.74803149606299213" bottom="0.74803149606299213" header="0" footer="0"/>
  <pageSetup paperSize="9" scale="40" orientation="landscape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theme="7" tint="0.39997558519241921"/>
    <pageSetUpPr fitToPage="1"/>
  </sheetPr>
  <dimension ref="A1:AJ965"/>
  <sheetViews>
    <sheetView showGridLines="0" zoomScale="120" zoomScaleNormal="120" workbookViewId="0">
      <pane xSplit="11" ySplit="6" topLeftCell="O7" activePane="bottomRight" state="frozen"/>
      <selection pane="topRight" activeCell="L1" sqref="L1"/>
      <selection pane="bottomLeft" activeCell="A7" sqref="A7"/>
      <selection pane="bottomRight" activeCell="R20" sqref="R20"/>
    </sheetView>
  </sheetViews>
  <sheetFormatPr baseColWidth="10" defaultColWidth="14.5" defaultRowHeight="15" customHeight="1"/>
  <cols>
    <col min="1" max="1" width="3.1640625" style="152" customWidth="1"/>
    <col min="2" max="2" width="2.1640625" style="152" customWidth="1"/>
    <col min="3" max="3" width="8.83203125" style="152" customWidth="1"/>
    <col min="4" max="4" width="30.5" style="152" customWidth="1"/>
    <col min="5" max="5" width="7.6640625" style="152" customWidth="1"/>
    <col min="6" max="6" width="15" style="152" customWidth="1"/>
    <col min="7" max="7" width="8.1640625" style="152" customWidth="1"/>
    <col min="8" max="9" width="8.83203125" style="152" customWidth="1"/>
    <col min="10" max="11" width="8.83203125" style="152" hidden="1" customWidth="1"/>
    <col min="12" max="26" width="9.83203125" style="152" customWidth="1"/>
    <col min="27" max="27" width="8.83203125" style="152" customWidth="1"/>
    <col min="28" max="28" width="3.1640625" style="152" customWidth="1"/>
    <col min="29" max="29" width="0.5" style="152" customWidth="1"/>
    <col min="30" max="31" width="11.1640625" style="152" customWidth="1"/>
    <col min="32" max="32" width="34.83203125" style="152" bestFit="1" customWidth="1"/>
    <col min="33" max="33" width="3.33203125" style="152" customWidth="1"/>
    <col min="34" max="34" width="24.83203125" style="152" bestFit="1" customWidth="1"/>
    <col min="35" max="35" width="48" style="152" customWidth="1"/>
    <col min="36" max="36" width="24.1640625" style="152" bestFit="1" customWidth="1"/>
    <col min="37" max="37" width="8.5" style="152" bestFit="1" customWidth="1"/>
    <col min="38" max="38" width="14.5" style="152"/>
    <col min="39" max="39" width="6.83203125" style="152" customWidth="1"/>
    <col min="40" max="40" width="6.5" style="152" bestFit="1" customWidth="1"/>
    <col min="41" max="41" width="7.5" style="152" bestFit="1" customWidth="1"/>
    <col min="42" max="42" width="8.5" style="152" bestFit="1" customWidth="1"/>
    <col min="43" max="16384" width="14.5" style="152"/>
  </cols>
  <sheetData>
    <row r="1" spans="1:36" ht="16.5" customHeight="1" thickBot="1">
      <c r="A1" s="150"/>
      <c r="B1" s="150"/>
      <c r="C1" s="150"/>
      <c r="D1" s="150"/>
      <c r="E1" s="151"/>
      <c r="F1" s="151"/>
      <c r="G1" s="151"/>
      <c r="H1" s="151"/>
      <c r="I1" s="150"/>
      <c r="J1" s="150"/>
      <c r="K1" s="150"/>
      <c r="L1" s="151"/>
      <c r="M1" s="151"/>
      <c r="N1" s="151"/>
      <c r="O1" s="151"/>
      <c r="P1" s="151"/>
      <c r="Q1" s="151"/>
      <c r="R1" s="151"/>
      <c r="S1" s="151"/>
      <c r="T1" s="151"/>
      <c r="U1" s="151"/>
      <c r="V1" s="151"/>
      <c r="W1" s="151"/>
      <c r="X1" s="151"/>
      <c r="Y1" s="151"/>
      <c r="Z1" s="151"/>
      <c r="AA1" s="151"/>
      <c r="AB1" s="150"/>
      <c r="AC1" s="150"/>
    </row>
    <row r="2" spans="1:36" ht="16.5" customHeight="1">
      <c r="A2" s="150"/>
      <c r="B2" s="153"/>
      <c r="C2" s="154"/>
      <c r="D2" s="154"/>
      <c r="E2" s="155"/>
      <c r="F2" s="155"/>
      <c r="G2" s="155"/>
      <c r="H2" s="155"/>
      <c r="I2" s="154"/>
      <c r="J2" s="154"/>
      <c r="K2" s="154"/>
      <c r="L2" s="155"/>
      <c r="M2" s="155"/>
      <c r="N2" s="155"/>
      <c r="O2" s="155"/>
      <c r="P2" s="155"/>
      <c r="Q2" s="155"/>
      <c r="R2" s="155"/>
      <c r="S2" s="155"/>
      <c r="T2" s="155"/>
      <c r="U2" s="155"/>
      <c r="V2" s="155"/>
      <c r="W2" s="155"/>
      <c r="X2" s="155"/>
      <c r="Y2" s="155"/>
      <c r="Z2" s="155"/>
      <c r="AA2" s="155"/>
      <c r="AB2" s="156"/>
      <c r="AC2" s="150"/>
    </row>
    <row r="3" spans="1:36" ht="33" thickBot="1">
      <c r="A3" s="150"/>
      <c r="B3" s="157"/>
      <c r="C3" s="411" t="s">
        <v>151</v>
      </c>
      <c r="D3" s="412"/>
      <c r="E3" s="412"/>
      <c r="F3" s="412"/>
      <c r="G3" s="412"/>
      <c r="H3" s="412"/>
      <c r="I3" s="412"/>
      <c r="J3" s="412"/>
      <c r="K3" s="412"/>
      <c r="L3" s="412"/>
      <c r="M3" s="412"/>
      <c r="N3" s="412"/>
      <c r="O3" s="412"/>
      <c r="P3" s="412"/>
      <c r="Q3" s="412"/>
      <c r="R3" s="412"/>
      <c r="S3" s="412"/>
      <c r="T3" s="412"/>
      <c r="U3" s="412"/>
      <c r="V3" s="412"/>
      <c r="W3" s="412"/>
      <c r="X3" s="412"/>
      <c r="Y3" s="412"/>
      <c r="Z3" s="412"/>
      <c r="AA3" s="413"/>
      <c r="AB3" s="158"/>
      <c r="AC3" s="150"/>
    </row>
    <row r="4" spans="1:36" ht="48" customHeight="1" thickBot="1">
      <c r="A4" s="150"/>
      <c r="B4" s="157"/>
      <c r="C4" s="414">
        <v>45861</v>
      </c>
      <c r="D4" s="415"/>
      <c r="E4" s="159"/>
      <c r="F4" s="159"/>
      <c r="G4" s="159"/>
      <c r="H4" s="159"/>
      <c r="I4" s="159"/>
      <c r="J4" s="159"/>
      <c r="K4" s="159"/>
      <c r="L4" s="160"/>
      <c r="M4" s="160"/>
      <c r="N4" s="160"/>
      <c r="O4" s="160"/>
      <c r="P4" s="160"/>
      <c r="Q4" s="160"/>
      <c r="R4" s="160"/>
      <c r="S4" s="160"/>
      <c r="T4" s="160"/>
      <c r="U4" s="160"/>
      <c r="V4" s="160"/>
      <c r="W4" s="160"/>
      <c r="X4" s="160"/>
      <c r="Y4" s="160"/>
      <c r="Z4" s="160"/>
      <c r="AA4" s="160"/>
      <c r="AB4" s="158"/>
      <c r="AC4" s="150"/>
      <c r="AD4" s="347" t="s">
        <v>178</v>
      </c>
      <c r="AE4" s="348"/>
      <c r="AF4" s="349"/>
    </row>
    <row r="5" spans="1:36" ht="14.25" customHeight="1">
      <c r="A5" s="150"/>
      <c r="B5" s="157"/>
      <c r="C5" s="161" t="s">
        <v>75</v>
      </c>
      <c r="D5" s="161"/>
      <c r="K5" s="162"/>
      <c r="L5" s="416"/>
      <c r="M5" s="417"/>
      <c r="N5" s="416"/>
      <c r="O5" s="417"/>
      <c r="P5" s="417"/>
      <c r="Q5" s="417"/>
      <c r="R5" s="417"/>
      <c r="S5" s="417"/>
      <c r="T5" s="417"/>
      <c r="U5" s="417"/>
      <c r="V5" s="417"/>
      <c r="W5" s="417"/>
      <c r="X5" s="163"/>
      <c r="Y5" s="163"/>
      <c r="Z5" s="163"/>
      <c r="AA5" s="345" t="s">
        <v>177</v>
      </c>
      <c r="AB5" s="158"/>
      <c r="AC5" s="150"/>
      <c r="AD5" s="164" t="s">
        <v>155</v>
      </c>
      <c r="AE5" s="165">
        <f ca="1">TODAY()</f>
        <v>45867</v>
      </c>
      <c r="AF5" s="350" t="s">
        <v>179</v>
      </c>
    </row>
    <row r="6" spans="1:36" ht="30">
      <c r="A6" s="150"/>
      <c r="B6" s="157"/>
      <c r="C6" s="167" t="s">
        <v>24</v>
      </c>
      <c r="D6" s="167" t="s">
        <v>25</v>
      </c>
      <c r="E6" s="168" t="s">
        <v>26</v>
      </c>
      <c r="F6" s="168" t="s">
        <v>27</v>
      </c>
      <c r="G6" s="168" t="s">
        <v>28</v>
      </c>
      <c r="H6" s="168" t="s">
        <v>29</v>
      </c>
      <c r="I6" s="168" t="s">
        <v>30</v>
      </c>
      <c r="J6" s="168" t="s">
        <v>31</v>
      </c>
      <c r="K6" s="168" t="s">
        <v>32</v>
      </c>
      <c r="L6" s="169" t="s">
        <v>33</v>
      </c>
      <c r="M6" s="169" t="s">
        <v>34</v>
      </c>
      <c r="N6" s="169" t="s">
        <v>35</v>
      </c>
      <c r="O6" s="169" t="s">
        <v>36</v>
      </c>
      <c r="P6" s="169" t="s">
        <v>37</v>
      </c>
      <c r="Q6" s="169" t="s">
        <v>38</v>
      </c>
      <c r="R6" s="169" t="s">
        <v>39</v>
      </c>
      <c r="S6" s="169" t="s">
        <v>40</v>
      </c>
      <c r="T6" s="169" t="s">
        <v>41</v>
      </c>
      <c r="U6" s="169" t="s">
        <v>42</v>
      </c>
      <c r="V6" s="169" t="s">
        <v>43</v>
      </c>
      <c r="W6" s="169" t="s">
        <v>44</v>
      </c>
      <c r="X6" s="169" t="s">
        <v>45</v>
      </c>
      <c r="Y6" s="169" t="s">
        <v>46</v>
      </c>
      <c r="Z6" s="169" t="s">
        <v>47</v>
      </c>
      <c r="AA6" s="346" t="s">
        <v>48</v>
      </c>
      <c r="AB6" s="158"/>
      <c r="AC6" s="150"/>
      <c r="AD6" s="343" t="s">
        <v>143</v>
      </c>
      <c r="AE6" s="344" t="s">
        <v>137</v>
      </c>
      <c r="AF6" s="341" t="s">
        <v>152</v>
      </c>
      <c r="AG6" s="170"/>
      <c r="AH6" s="171" t="s">
        <v>156</v>
      </c>
      <c r="AI6" s="172"/>
      <c r="AJ6" s="172"/>
    </row>
    <row r="7" spans="1:36" ht="16.5" customHeight="1">
      <c r="A7" s="150"/>
      <c r="B7" s="157"/>
      <c r="C7" s="418" t="s">
        <v>49</v>
      </c>
      <c r="D7" s="174" t="s">
        <v>50</v>
      </c>
      <c r="E7" s="175" t="s">
        <v>51</v>
      </c>
      <c r="F7" s="176" t="s">
        <v>5</v>
      </c>
      <c r="G7" s="177" t="s">
        <v>52</v>
      </c>
      <c r="H7" s="178">
        <v>45691</v>
      </c>
      <c r="I7" s="179">
        <v>45831</v>
      </c>
      <c r="J7" s="178"/>
      <c r="K7" s="178"/>
      <c r="L7" s="180">
        <v>1</v>
      </c>
      <c r="M7" s="180">
        <v>1</v>
      </c>
      <c r="N7" s="180">
        <v>1</v>
      </c>
      <c r="O7" s="180">
        <v>1</v>
      </c>
      <c r="P7" s="193">
        <v>0.75</v>
      </c>
      <c r="Q7" s="182"/>
      <c r="R7" s="182"/>
      <c r="S7" s="182"/>
      <c r="T7" s="182"/>
      <c r="U7" s="182"/>
      <c r="V7" s="182"/>
      <c r="W7" s="182"/>
      <c r="X7" s="182"/>
      <c r="Y7" s="182"/>
      <c r="Z7" s="181"/>
      <c r="AA7" s="183">
        <f t="shared" ref="AA7:AA21" si="0">SUM(L7:Z7)</f>
        <v>4.75</v>
      </c>
      <c r="AB7" s="158"/>
      <c r="AC7" s="150"/>
      <c r="AD7" s="184">
        <v>14.5</v>
      </c>
      <c r="AE7" s="185">
        <f>AA7-AD7</f>
        <v>-9.75</v>
      </c>
      <c r="AF7" s="186" t="s">
        <v>157</v>
      </c>
      <c r="AG7" s="170"/>
      <c r="AH7" s="405" t="s">
        <v>104</v>
      </c>
      <c r="AI7" s="187" t="s">
        <v>105</v>
      </c>
      <c r="AJ7" s="187" t="s">
        <v>106</v>
      </c>
    </row>
    <row r="8" spans="1:36" ht="16.5" customHeight="1">
      <c r="A8" s="150"/>
      <c r="B8" s="157"/>
      <c r="C8" s="419"/>
      <c r="D8" s="188"/>
      <c r="E8" s="176" t="s">
        <v>51</v>
      </c>
      <c r="F8" s="176" t="s">
        <v>4</v>
      </c>
      <c r="G8" s="177" t="s">
        <v>52</v>
      </c>
      <c r="H8" s="178">
        <v>45705</v>
      </c>
      <c r="I8" s="178">
        <v>46127</v>
      </c>
      <c r="J8" s="178"/>
      <c r="K8" s="178"/>
      <c r="L8" s="180">
        <v>0.5</v>
      </c>
      <c r="M8" s="180">
        <v>1</v>
      </c>
      <c r="N8" s="180">
        <v>1</v>
      </c>
      <c r="O8" s="180">
        <v>1</v>
      </c>
      <c r="P8" s="180">
        <v>1</v>
      </c>
      <c r="Q8" s="180">
        <v>1</v>
      </c>
      <c r="R8" s="180">
        <v>1</v>
      </c>
      <c r="S8" s="180">
        <v>1</v>
      </c>
      <c r="T8" s="180">
        <v>1</v>
      </c>
      <c r="U8" s="180">
        <v>1</v>
      </c>
      <c r="V8" s="180">
        <v>1</v>
      </c>
      <c r="W8" s="180">
        <v>1</v>
      </c>
      <c r="X8" s="180">
        <v>1</v>
      </c>
      <c r="Y8" s="180">
        <v>1</v>
      </c>
      <c r="Z8" s="180">
        <v>0.5</v>
      </c>
      <c r="AA8" s="189">
        <f t="shared" si="0"/>
        <v>14</v>
      </c>
      <c r="AB8" s="158"/>
      <c r="AC8" s="150"/>
      <c r="AD8" s="190">
        <v>14</v>
      </c>
      <c r="AE8" s="191">
        <f t="shared" ref="AE8:AE21" si="1">AA8-AD8</f>
        <v>0</v>
      </c>
      <c r="AF8" s="186" t="s">
        <v>158</v>
      </c>
      <c r="AG8" s="170"/>
      <c r="AH8" s="406"/>
      <c r="AI8" s="187" t="s">
        <v>107</v>
      </c>
      <c r="AJ8" s="187"/>
    </row>
    <row r="9" spans="1:36" ht="16.5" customHeight="1">
      <c r="A9" s="150"/>
      <c r="B9" s="157"/>
      <c r="C9" s="173" t="s">
        <v>53</v>
      </c>
      <c r="D9" s="174" t="s">
        <v>54</v>
      </c>
      <c r="E9" s="176" t="s">
        <v>51</v>
      </c>
      <c r="F9" s="176" t="s">
        <v>21</v>
      </c>
      <c r="G9" s="192" t="s">
        <v>51</v>
      </c>
      <c r="H9" s="178">
        <v>45733</v>
      </c>
      <c r="I9" s="179">
        <v>46112</v>
      </c>
      <c r="J9" s="178"/>
      <c r="K9" s="178"/>
      <c r="L9" s="180"/>
      <c r="M9" s="180">
        <v>0.5</v>
      </c>
      <c r="N9" s="180">
        <v>1</v>
      </c>
      <c r="O9" s="180">
        <v>1</v>
      </c>
      <c r="P9" s="180">
        <v>1</v>
      </c>
      <c r="Q9" s="180">
        <v>1</v>
      </c>
      <c r="R9" s="180">
        <v>1</v>
      </c>
      <c r="S9" s="193">
        <v>1</v>
      </c>
      <c r="T9" s="194">
        <v>1</v>
      </c>
      <c r="U9" s="194">
        <v>1</v>
      </c>
      <c r="V9" s="194">
        <v>1</v>
      </c>
      <c r="W9" s="194">
        <v>1</v>
      </c>
      <c r="X9" s="194">
        <v>1</v>
      </c>
      <c r="Y9" s="194">
        <v>1</v>
      </c>
      <c r="Z9" s="195"/>
      <c r="AA9" s="183">
        <f t="shared" si="0"/>
        <v>12.5</v>
      </c>
      <c r="AB9" s="158"/>
      <c r="AC9" s="150"/>
      <c r="AD9" s="190">
        <v>6</v>
      </c>
      <c r="AE9" s="196">
        <f t="shared" si="1"/>
        <v>6.5</v>
      </c>
      <c r="AF9" s="197" t="s">
        <v>153</v>
      </c>
      <c r="AG9" s="170"/>
      <c r="AH9" s="406"/>
      <c r="AI9" s="187" t="s">
        <v>108</v>
      </c>
      <c r="AJ9" s="187"/>
    </row>
    <row r="10" spans="1:36" ht="16.5" customHeight="1">
      <c r="A10" s="150"/>
      <c r="B10" s="157"/>
      <c r="C10" s="198"/>
      <c r="D10" s="199" t="s">
        <v>54</v>
      </c>
      <c r="E10" s="176" t="s">
        <v>51</v>
      </c>
      <c r="F10" s="176" t="s">
        <v>15</v>
      </c>
      <c r="G10" s="192" t="s">
        <v>52</v>
      </c>
      <c r="H10" s="178">
        <v>45748</v>
      </c>
      <c r="I10" s="179">
        <v>46112</v>
      </c>
      <c r="J10" s="178"/>
      <c r="K10" s="178"/>
      <c r="L10" s="180"/>
      <c r="M10" s="180"/>
      <c r="N10" s="180">
        <v>1</v>
      </c>
      <c r="O10" s="180">
        <v>1</v>
      </c>
      <c r="P10" s="180">
        <v>1</v>
      </c>
      <c r="Q10" s="180">
        <v>1</v>
      </c>
      <c r="R10" s="180">
        <v>1</v>
      </c>
      <c r="S10" s="180">
        <v>1</v>
      </c>
      <c r="T10" s="180">
        <v>1</v>
      </c>
      <c r="U10" s="194">
        <v>1</v>
      </c>
      <c r="V10" s="194">
        <v>1</v>
      </c>
      <c r="W10" s="194">
        <v>1</v>
      </c>
      <c r="X10" s="200">
        <v>1</v>
      </c>
      <c r="Y10" s="200">
        <v>1</v>
      </c>
      <c r="Z10" s="195"/>
      <c r="AA10" s="183">
        <f t="shared" si="0"/>
        <v>12</v>
      </c>
      <c r="AB10" s="158"/>
      <c r="AC10" s="150"/>
      <c r="AD10" s="201">
        <v>0</v>
      </c>
      <c r="AE10" s="196">
        <f t="shared" si="1"/>
        <v>12</v>
      </c>
      <c r="AF10" s="197" t="s">
        <v>153</v>
      </c>
      <c r="AG10" s="170"/>
      <c r="AH10" s="407"/>
      <c r="AI10" s="187" t="s">
        <v>109</v>
      </c>
      <c r="AJ10" s="187"/>
    </row>
    <row r="11" spans="1:36" ht="16.5" customHeight="1">
      <c r="A11" s="150"/>
      <c r="B11" s="157"/>
      <c r="C11" s="198"/>
      <c r="D11" s="202" t="s">
        <v>141</v>
      </c>
      <c r="E11" s="176" t="s">
        <v>51</v>
      </c>
      <c r="F11" s="176" t="s">
        <v>8</v>
      </c>
      <c r="G11" s="192" t="s">
        <v>52</v>
      </c>
      <c r="H11" s="178">
        <v>45691</v>
      </c>
      <c r="I11" s="178">
        <v>45989</v>
      </c>
      <c r="J11" s="178"/>
      <c r="K11" s="178"/>
      <c r="L11" s="180">
        <v>1</v>
      </c>
      <c r="M11" s="180">
        <v>1</v>
      </c>
      <c r="N11" s="180">
        <v>1</v>
      </c>
      <c r="O11" s="180">
        <v>1</v>
      </c>
      <c r="P11" s="180">
        <v>1</v>
      </c>
      <c r="Q11" s="180">
        <v>1</v>
      </c>
      <c r="R11" s="180">
        <v>1</v>
      </c>
      <c r="S11" s="180">
        <v>1</v>
      </c>
      <c r="T11" s="180">
        <v>1</v>
      </c>
      <c r="U11" s="180">
        <v>1</v>
      </c>
      <c r="V11" s="180"/>
      <c r="W11" s="180"/>
      <c r="X11" s="180"/>
      <c r="Y11" s="180"/>
      <c r="Z11" s="180"/>
      <c r="AA11" s="189">
        <f t="shared" si="0"/>
        <v>10</v>
      </c>
      <c r="AB11" s="158"/>
      <c r="AC11" s="150"/>
      <c r="AD11" s="190">
        <v>10</v>
      </c>
      <c r="AE11" s="191">
        <f t="shared" si="1"/>
        <v>0</v>
      </c>
      <c r="AF11" s="186"/>
      <c r="AG11" s="170"/>
      <c r="AH11" s="405" t="s">
        <v>110</v>
      </c>
      <c r="AI11" s="187" t="s">
        <v>107</v>
      </c>
      <c r="AJ11" s="187"/>
    </row>
    <row r="12" spans="1:36" ht="16.5" customHeight="1">
      <c r="A12" s="150"/>
      <c r="B12" s="157"/>
      <c r="C12" s="198"/>
      <c r="D12" s="203" t="s">
        <v>140</v>
      </c>
      <c r="E12" s="176" t="s">
        <v>51</v>
      </c>
      <c r="F12" s="176" t="s">
        <v>9</v>
      </c>
      <c r="G12" s="177" t="s">
        <v>52</v>
      </c>
      <c r="H12" s="178">
        <v>45691</v>
      </c>
      <c r="I12" s="179">
        <v>45900</v>
      </c>
      <c r="J12" s="178"/>
      <c r="K12" s="178"/>
      <c r="L12" s="180">
        <v>1</v>
      </c>
      <c r="M12" s="180">
        <v>1</v>
      </c>
      <c r="N12" s="180">
        <v>1</v>
      </c>
      <c r="O12" s="180">
        <v>1</v>
      </c>
      <c r="P12" s="180">
        <v>1</v>
      </c>
      <c r="Q12" s="180">
        <v>1</v>
      </c>
      <c r="R12" s="180">
        <v>1</v>
      </c>
      <c r="S12" s="182"/>
      <c r="T12" s="182"/>
      <c r="U12" s="182"/>
      <c r="V12" s="181"/>
      <c r="W12" s="180"/>
      <c r="X12" s="180"/>
      <c r="Y12" s="180"/>
      <c r="Z12" s="180"/>
      <c r="AA12" s="183">
        <f t="shared" si="0"/>
        <v>7</v>
      </c>
      <c r="AB12" s="158"/>
      <c r="AC12" s="150"/>
      <c r="AD12" s="190">
        <v>10.5</v>
      </c>
      <c r="AE12" s="204">
        <f t="shared" si="1"/>
        <v>-3.5</v>
      </c>
      <c r="AF12" s="205" t="s">
        <v>159</v>
      </c>
      <c r="AG12" s="170"/>
      <c r="AH12" s="407"/>
      <c r="AI12" s="187" t="s">
        <v>111</v>
      </c>
      <c r="AJ12" s="187"/>
    </row>
    <row r="13" spans="1:36" ht="16.5" customHeight="1">
      <c r="A13" s="150" t="s">
        <v>86</v>
      </c>
      <c r="B13" s="157"/>
      <c r="C13" s="206" t="s">
        <v>49</v>
      </c>
      <c r="D13" s="203" t="s">
        <v>140</v>
      </c>
      <c r="E13" s="176" t="s">
        <v>51</v>
      </c>
      <c r="F13" s="176" t="s">
        <v>83</v>
      </c>
      <c r="G13" s="192"/>
      <c r="H13" s="207">
        <v>45810</v>
      </c>
      <c r="I13" s="179">
        <v>45817</v>
      </c>
      <c r="J13" s="178"/>
      <c r="K13" s="178"/>
      <c r="L13" s="180"/>
      <c r="M13" s="180"/>
      <c r="N13" s="180"/>
      <c r="O13" s="180"/>
      <c r="P13" s="195">
        <v>0.25</v>
      </c>
      <c r="Q13" s="180"/>
      <c r="R13" s="180"/>
      <c r="S13" s="180"/>
      <c r="T13" s="180"/>
      <c r="U13" s="180"/>
      <c r="V13" s="180"/>
      <c r="W13" s="180"/>
      <c r="X13" s="195"/>
      <c r="Y13" s="195"/>
      <c r="Z13" s="195"/>
      <c r="AA13" s="183">
        <f t="shared" si="0"/>
        <v>0.25</v>
      </c>
      <c r="AB13" s="158"/>
      <c r="AC13" s="150"/>
      <c r="AD13" s="201">
        <v>0</v>
      </c>
      <c r="AE13" s="204">
        <f t="shared" si="1"/>
        <v>0.25</v>
      </c>
      <c r="AF13" s="208" t="s">
        <v>160</v>
      </c>
      <c r="AG13" s="170"/>
      <c r="AH13" s="405" t="s">
        <v>112</v>
      </c>
      <c r="AI13" s="187" t="s">
        <v>113</v>
      </c>
      <c r="AJ13" s="187"/>
    </row>
    <row r="14" spans="1:36" ht="16.5" customHeight="1">
      <c r="A14" s="150"/>
      <c r="B14" s="157"/>
      <c r="C14" s="206" t="s">
        <v>142</v>
      </c>
      <c r="D14" s="203" t="s">
        <v>140</v>
      </c>
      <c r="E14" s="176" t="s">
        <v>51</v>
      </c>
      <c r="F14" s="176" t="s">
        <v>95</v>
      </c>
      <c r="G14" s="192" t="s">
        <v>52</v>
      </c>
      <c r="H14" s="178">
        <v>45824</v>
      </c>
      <c r="I14" s="179">
        <v>45900</v>
      </c>
      <c r="J14" s="178"/>
      <c r="K14" s="178"/>
      <c r="L14" s="180"/>
      <c r="M14" s="180"/>
      <c r="N14" s="180"/>
      <c r="O14" s="180"/>
      <c r="P14" s="195">
        <v>0.5</v>
      </c>
      <c r="Q14" s="195">
        <v>1</v>
      </c>
      <c r="R14" s="195">
        <v>1</v>
      </c>
      <c r="S14" s="180"/>
      <c r="T14" s="180"/>
      <c r="U14" s="180"/>
      <c r="V14" s="180"/>
      <c r="W14" s="180"/>
      <c r="X14" s="195"/>
      <c r="Y14" s="195"/>
      <c r="Z14" s="195"/>
      <c r="AA14" s="183">
        <f t="shared" si="0"/>
        <v>2.5</v>
      </c>
      <c r="AB14" s="158"/>
      <c r="AC14" s="150"/>
      <c r="AD14" s="201">
        <v>0</v>
      </c>
      <c r="AE14" s="204">
        <f t="shared" si="1"/>
        <v>2.5</v>
      </c>
      <c r="AF14" s="186" t="s">
        <v>161</v>
      </c>
      <c r="AG14" s="170"/>
      <c r="AH14" s="407"/>
      <c r="AI14" s="187" t="s">
        <v>107</v>
      </c>
      <c r="AJ14" s="187"/>
    </row>
    <row r="15" spans="1:36" ht="16.5" customHeight="1">
      <c r="A15" s="150" t="s">
        <v>86</v>
      </c>
      <c r="B15" s="157"/>
      <c r="C15" s="206" t="s">
        <v>49</v>
      </c>
      <c r="D15" s="203" t="s">
        <v>140</v>
      </c>
      <c r="E15" s="176" t="s">
        <v>51</v>
      </c>
      <c r="F15" s="176" t="s">
        <v>96</v>
      </c>
      <c r="G15" s="192"/>
      <c r="H15" s="178">
        <v>45824</v>
      </c>
      <c r="I15" s="179">
        <v>46022</v>
      </c>
      <c r="J15" s="178"/>
      <c r="K15" s="178"/>
      <c r="L15" s="180"/>
      <c r="M15" s="180"/>
      <c r="N15" s="180"/>
      <c r="O15" s="180"/>
      <c r="P15" s="195">
        <v>0.5</v>
      </c>
      <c r="Q15" s="195">
        <v>1</v>
      </c>
      <c r="R15" s="195">
        <v>1</v>
      </c>
      <c r="S15" s="195">
        <v>1</v>
      </c>
      <c r="T15" s="195">
        <v>1</v>
      </c>
      <c r="U15" s="195">
        <v>1</v>
      </c>
      <c r="V15" s="195">
        <v>1</v>
      </c>
      <c r="W15" s="180"/>
      <c r="X15" s="195"/>
      <c r="Y15" s="195"/>
      <c r="Z15" s="195"/>
      <c r="AA15" s="183">
        <f t="shared" si="0"/>
        <v>6.5</v>
      </c>
      <c r="AB15" s="158"/>
      <c r="AC15" s="150"/>
      <c r="AD15" s="201">
        <v>0</v>
      </c>
      <c r="AE15" s="196">
        <f t="shared" si="1"/>
        <v>6.5</v>
      </c>
      <c r="AF15" s="197" t="s">
        <v>162</v>
      </c>
      <c r="AG15" s="170"/>
      <c r="AH15" s="172"/>
      <c r="AI15" s="172"/>
      <c r="AJ15" s="172"/>
    </row>
    <row r="16" spans="1:36" ht="16.5" customHeight="1">
      <c r="A16" s="150"/>
      <c r="B16" s="157"/>
      <c r="C16" s="206" t="s">
        <v>49</v>
      </c>
      <c r="D16" s="203" t="s">
        <v>140</v>
      </c>
      <c r="E16" s="176" t="s">
        <v>51</v>
      </c>
      <c r="F16" s="176" t="s">
        <v>19</v>
      </c>
      <c r="G16" s="192" t="s">
        <v>52</v>
      </c>
      <c r="H16" s="178">
        <v>45748</v>
      </c>
      <c r="I16" s="179">
        <v>45961</v>
      </c>
      <c r="J16" s="178"/>
      <c r="K16" s="178"/>
      <c r="L16" s="180"/>
      <c r="M16" s="180"/>
      <c r="N16" s="180">
        <v>1</v>
      </c>
      <c r="O16" s="180">
        <v>1</v>
      </c>
      <c r="P16" s="180">
        <v>1</v>
      </c>
      <c r="Q16" s="180">
        <v>1</v>
      </c>
      <c r="R16" s="180">
        <v>1</v>
      </c>
      <c r="S16" s="180">
        <v>1</v>
      </c>
      <c r="T16" s="180">
        <v>1</v>
      </c>
      <c r="U16" s="180"/>
      <c r="V16" s="180"/>
      <c r="W16" s="180"/>
      <c r="X16" s="195"/>
      <c r="Y16" s="195"/>
      <c r="Z16" s="195"/>
      <c r="AA16" s="209">
        <f t="shared" si="0"/>
        <v>7</v>
      </c>
      <c r="AB16" s="158"/>
      <c r="AC16" s="150"/>
      <c r="AD16" s="201">
        <v>0</v>
      </c>
      <c r="AE16" s="196">
        <f t="shared" si="1"/>
        <v>7</v>
      </c>
      <c r="AF16" s="186" t="s">
        <v>161</v>
      </c>
      <c r="AG16" s="170"/>
      <c r="AH16" s="210"/>
      <c r="AI16" s="210"/>
      <c r="AJ16" s="172"/>
    </row>
    <row r="17" spans="1:36" ht="16.5" customHeight="1">
      <c r="A17" s="150"/>
      <c r="B17" s="157"/>
      <c r="C17" s="206" t="s">
        <v>49</v>
      </c>
      <c r="D17" s="203" t="s">
        <v>140</v>
      </c>
      <c r="E17" s="211" t="s">
        <v>57</v>
      </c>
      <c r="F17" s="211" t="s">
        <v>12</v>
      </c>
      <c r="G17" s="212" t="s">
        <v>51</v>
      </c>
      <c r="H17" s="213">
        <v>45691</v>
      </c>
      <c r="I17" s="214">
        <v>45930</v>
      </c>
      <c r="J17" s="215"/>
      <c r="K17" s="215"/>
      <c r="L17" s="216">
        <v>1</v>
      </c>
      <c r="M17" s="216">
        <v>1</v>
      </c>
      <c r="N17" s="216">
        <v>1</v>
      </c>
      <c r="O17" s="216">
        <v>1</v>
      </c>
      <c r="P17" s="216">
        <v>1</v>
      </c>
      <c r="Q17" s="216">
        <v>1</v>
      </c>
      <c r="R17" s="216">
        <v>1</v>
      </c>
      <c r="S17" s="216">
        <v>1</v>
      </c>
      <c r="T17" s="371">
        <v>1</v>
      </c>
      <c r="U17" s="216"/>
      <c r="V17" s="216"/>
      <c r="W17" s="216"/>
      <c r="X17" s="216"/>
      <c r="Y17" s="216"/>
      <c r="Z17" s="216"/>
      <c r="AA17" s="183">
        <f t="shared" si="0"/>
        <v>9</v>
      </c>
      <c r="AB17" s="158"/>
      <c r="AC17" s="150"/>
      <c r="AD17" s="190">
        <v>9</v>
      </c>
      <c r="AE17" s="204">
        <f t="shared" si="1"/>
        <v>0</v>
      </c>
      <c r="AF17" s="373" t="s">
        <v>163</v>
      </c>
      <c r="AG17" s="170"/>
      <c r="AH17" s="171" t="s">
        <v>164</v>
      </c>
      <c r="AI17" s="172"/>
      <c r="AJ17" s="172"/>
    </row>
    <row r="18" spans="1:36" ht="16.5" customHeight="1">
      <c r="A18" s="150"/>
      <c r="B18" s="157"/>
      <c r="C18" s="206" t="s">
        <v>49</v>
      </c>
      <c r="D18" s="203" t="s">
        <v>140</v>
      </c>
      <c r="E18" s="211" t="s">
        <v>57</v>
      </c>
      <c r="F18" s="211" t="s">
        <v>16</v>
      </c>
      <c r="G18" s="212" t="s">
        <v>51</v>
      </c>
      <c r="H18" s="213">
        <v>45720</v>
      </c>
      <c r="I18" s="214">
        <v>45900</v>
      </c>
      <c r="J18" s="215"/>
      <c r="K18" s="215"/>
      <c r="L18" s="216"/>
      <c r="M18" s="216">
        <v>1</v>
      </c>
      <c r="N18" s="216">
        <v>1</v>
      </c>
      <c r="O18" s="216">
        <v>1</v>
      </c>
      <c r="P18" s="216">
        <v>1</v>
      </c>
      <c r="Q18" s="216">
        <v>1</v>
      </c>
      <c r="R18" s="216">
        <v>1</v>
      </c>
      <c r="S18" s="217"/>
      <c r="T18" s="217"/>
      <c r="U18" s="217"/>
      <c r="V18" s="217"/>
      <c r="W18" s="216"/>
      <c r="X18" s="216"/>
      <c r="Y18" s="216"/>
      <c r="Z18" s="216"/>
      <c r="AA18" s="183">
        <f t="shared" si="0"/>
        <v>6</v>
      </c>
      <c r="AB18" s="158"/>
      <c r="AC18" s="150"/>
      <c r="AD18" s="190">
        <v>10</v>
      </c>
      <c r="AE18" s="204">
        <f t="shared" si="1"/>
        <v>-4</v>
      </c>
      <c r="AF18" s="205" t="s">
        <v>163</v>
      </c>
      <c r="AG18" s="170"/>
      <c r="AH18" s="218" t="s">
        <v>15</v>
      </c>
      <c r="AI18" s="187" t="s">
        <v>114</v>
      </c>
      <c r="AJ18" s="172"/>
    </row>
    <row r="19" spans="1:36" ht="16.5" customHeight="1">
      <c r="A19" s="150"/>
      <c r="B19" s="157"/>
      <c r="C19" s="206" t="s">
        <v>49</v>
      </c>
      <c r="D19" s="203" t="s">
        <v>140</v>
      </c>
      <c r="E19" s="211" t="s">
        <v>57</v>
      </c>
      <c r="F19" s="211" t="s">
        <v>20</v>
      </c>
      <c r="G19" s="212" t="s">
        <v>51</v>
      </c>
      <c r="H19" s="213">
        <v>45720</v>
      </c>
      <c r="I19" s="214">
        <v>46022</v>
      </c>
      <c r="J19" s="215"/>
      <c r="K19" s="215"/>
      <c r="L19" s="216"/>
      <c r="M19" s="216">
        <v>1</v>
      </c>
      <c r="N19" s="216">
        <v>1</v>
      </c>
      <c r="O19" s="216">
        <v>1</v>
      </c>
      <c r="P19" s="216">
        <v>1</v>
      </c>
      <c r="Q19" s="216">
        <v>1</v>
      </c>
      <c r="R19" s="216">
        <v>1</v>
      </c>
      <c r="S19" s="219">
        <v>1</v>
      </c>
      <c r="T19" s="219">
        <v>1</v>
      </c>
      <c r="U19" s="219">
        <v>1</v>
      </c>
      <c r="V19" s="219">
        <v>1</v>
      </c>
      <c r="W19" s="216"/>
      <c r="X19" s="216"/>
      <c r="Y19" s="216"/>
      <c r="Z19" s="216"/>
      <c r="AA19" s="183">
        <f t="shared" si="0"/>
        <v>10</v>
      </c>
      <c r="AB19" s="158"/>
      <c r="AC19" s="150"/>
      <c r="AD19" s="190">
        <v>6</v>
      </c>
      <c r="AE19" s="204">
        <f t="shared" si="1"/>
        <v>4</v>
      </c>
      <c r="AF19" s="197" t="s">
        <v>165</v>
      </c>
      <c r="AG19" s="170"/>
      <c r="AH19" s="210" t="s">
        <v>8</v>
      </c>
      <c r="AI19" s="220" t="s">
        <v>115</v>
      </c>
      <c r="AJ19" s="172"/>
    </row>
    <row r="20" spans="1:36" ht="16.5" customHeight="1">
      <c r="A20" s="150"/>
      <c r="B20" s="157"/>
      <c r="C20" s="206" t="s">
        <v>49</v>
      </c>
      <c r="D20" s="203" t="s">
        <v>140</v>
      </c>
      <c r="E20" s="221" t="s">
        <v>59</v>
      </c>
      <c r="F20" s="221" t="s">
        <v>13</v>
      </c>
      <c r="G20" s="222"/>
      <c r="H20" s="223">
        <v>45691</v>
      </c>
      <c r="I20" s="224">
        <v>45930</v>
      </c>
      <c r="J20" s="225"/>
      <c r="K20" s="225"/>
      <c r="L20" s="226">
        <v>1</v>
      </c>
      <c r="M20" s="226">
        <v>1</v>
      </c>
      <c r="N20" s="226">
        <v>1</v>
      </c>
      <c r="O20" s="226">
        <v>1</v>
      </c>
      <c r="P20" s="226">
        <v>1</v>
      </c>
      <c r="Q20" s="226">
        <v>1</v>
      </c>
      <c r="R20" s="372">
        <v>1</v>
      </c>
      <c r="S20" s="227"/>
      <c r="T20" s="227"/>
      <c r="U20" s="227"/>
      <c r="V20" s="226"/>
      <c r="W20" s="226"/>
      <c r="X20" s="226"/>
      <c r="Y20" s="226"/>
      <c r="Z20" s="226"/>
      <c r="AA20" s="183">
        <f t="shared" si="0"/>
        <v>7</v>
      </c>
      <c r="AB20" s="158"/>
      <c r="AC20" s="150"/>
      <c r="AD20" s="190">
        <v>10</v>
      </c>
      <c r="AE20" s="204">
        <f t="shared" si="1"/>
        <v>-3</v>
      </c>
      <c r="AF20" s="205" t="s">
        <v>166</v>
      </c>
      <c r="AG20" s="170"/>
      <c r="AH20" s="210" t="s">
        <v>20</v>
      </c>
      <c r="AI20" s="220" t="s">
        <v>116</v>
      </c>
      <c r="AJ20" s="172"/>
    </row>
    <row r="21" spans="1:36" ht="16.5" customHeight="1">
      <c r="A21" s="150"/>
      <c r="B21" s="157"/>
      <c r="C21" s="206" t="s">
        <v>49</v>
      </c>
      <c r="D21" s="203" t="s">
        <v>140</v>
      </c>
      <c r="E21" s="221" t="s">
        <v>59</v>
      </c>
      <c r="F21" s="221" t="s">
        <v>17</v>
      </c>
      <c r="G21" s="228"/>
      <c r="H21" s="223">
        <v>45691</v>
      </c>
      <c r="I21" s="224">
        <v>46022</v>
      </c>
      <c r="J21" s="225"/>
      <c r="K21" s="225"/>
      <c r="L21" s="226">
        <v>1</v>
      </c>
      <c r="M21" s="226">
        <v>1</v>
      </c>
      <c r="N21" s="226">
        <v>1</v>
      </c>
      <c r="O21" s="226">
        <v>1</v>
      </c>
      <c r="P21" s="226">
        <v>1</v>
      </c>
      <c r="Q21" s="226">
        <v>1</v>
      </c>
      <c r="R21" s="226">
        <v>1</v>
      </c>
      <c r="S21" s="226">
        <v>1</v>
      </c>
      <c r="T21" s="226">
        <v>1</v>
      </c>
      <c r="U21" s="229">
        <v>1</v>
      </c>
      <c r="V21" s="229">
        <v>1</v>
      </c>
      <c r="W21" s="226"/>
      <c r="X21" s="226"/>
      <c r="Y21" s="226"/>
      <c r="Z21" s="226"/>
      <c r="AA21" s="183">
        <f t="shared" si="0"/>
        <v>11</v>
      </c>
      <c r="AB21" s="158"/>
      <c r="AC21" s="150"/>
      <c r="AD21" s="230">
        <v>9</v>
      </c>
      <c r="AE21" s="231">
        <f t="shared" si="1"/>
        <v>2</v>
      </c>
      <c r="AF21" s="232" t="s">
        <v>167</v>
      </c>
      <c r="AG21" s="170"/>
      <c r="AH21" s="210" t="s">
        <v>19</v>
      </c>
      <c r="AI21" s="220" t="s">
        <v>117</v>
      </c>
      <c r="AJ21" s="172"/>
    </row>
    <row r="22" spans="1:36" ht="16.5" customHeight="1">
      <c r="A22" s="150"/>
      <c r="B22" s="157"/>
      <c r="C22" s="233" t="s">
        <v>49</v>
      </c>
      <c r="D22" s="234" t="s">
        <v>60</v>
      </c>
      <c r="E22" s="235"/>
      <c r="F22" s="235"/>
      <c r="G22" s="235"/>
      <c r="H22" s="235"/>
      <c r="I22" s="235" t="s">
        <v>61</v>
      </c>
      <c r="J22" s="236"/>
      <c r="K22" s="236"/>
      <c r="L22" s="237">
        <f t="shared" ref="L22:AA22" si="2">SUM(L7:L21)</f>
        <v>6.5</v>
      </c>
      <c r="M22" s="237">
        <f t="shared" si="2"/>
        <v>9.5</v>
      </c>
      <c r="N22" s="237">
        <f t="shared" si="2"/>
        <v>12</v>
      </c>
      <c r="O22" s="237">
        <f t="shared" si="2"/>
        <v>12</v>
      </c>
      <c r="P22" s="237">
        <f t="shared" si="2"/>
        <v>13</v>
      </c>
      <c r="Q22" s="237">
        <f t="shared" si="2"/>
        <v>13</v>
      </c>
      <c r="R22" s="237">
        <f t="shared" si="2"/>
        <v>13</v>
      </c>
      <c r="S22" s="237">
        <f t="shared" si="2"/>
        <v>9</v>
      </c>
      <c r="T22" s="237">
        <f t="shared" si="2"/>
        <v>9</v>
      </c>
      <c r="U22" s="237">
        <f t="shared" si="2"/>
        <v>7</v>
      </c>
      <c r="V22" s="237">
        <f t="shared" si="2"/>
        <v>6</v>
      </c>
      <c r="W22" s="237">
        <f t="shared" si="2"/>
        <v>3</v>
      </c>
      <c r="X22" s="237">
        <f t="shared" si="2"/>
        <v>3</v>
      </c>
      <c r="Y22" s="237">
        <f t="shared" si="2"/>
        <v>3</v>
      </c>
      <c r="Z22" s="237">
        <f t="shared" si="2"/>
        <v>0.5</v>
      </c>
      <c r="AA22" s="238">
        <f t="shared" si="2"/>
        <v>119.5</v>
      </c>
      <c r="AB22" s="158"/>
      <c r="AC22" s="150"/>
      <c r="AD22" s="239">
        <f>SUM(AD7:AD21)</f>
        <v>99</v>
      </c>
      <c r="AE22" s="240">
        <f>SUM(AE7:AE21)</f>
        <v>20.5</v>
      </c>
      <c r="AF22" s="166"/>
      <c r="AH22" s="210" t="s">
        <v>118</v>
      </c>
      <c r="AI22" s="220" t="s">
        <v>119</v>
      </c>
      <c r="AJ22" s="172"/>
    </row>
    <row r="23" spans="1:36" ht="17">
      <c r="A23" s="241"/>
      <c r="B23" s="242"/>
      <c r="C23" s="243"/>
      <c r="D23" s="244"/>
      <c r="E23" s="245"/>
      <c r="F23" s="245"/>
      <c r="G23" s="245"/>
      <c r="H23" s="246"/>
      <c r="I23" s="246"/>
      <c r="J23" s="246"/>
      <c r="K23" s="246"/>
      <c r="L23" s="245"/>
      <c r="M23" s="245"/>
      <c r="N23" s="245"/>
      <c r="O23" s="245"/>
      <c r="P23" s="245"/>
      <c r="Q23" s="245"/>
      <c r="R23" s="245"/>
      <c r="S23" s="245"/>
      <c r="T23" s="245"/>
      <c r="U23" s="245"/>
      <c r="V23" s="245"/>
      <c r="W23" s="245"/>
      <c r="X23" s="245"/>
      <c r="Y23" s="245"/>
      <c r="Z23" s="245"/>
      <c r="AA23" s="245"/>
      <c r="AB23" s="247"/>
      <c r="AC23" s="241"/>
      <c r="AD23" s="248"/>
      <c r="AE23" s="249"/>
      <c r="AF23" s="166"/>
      <c r="AH23" s="210" t="s">
        <v>120</v>
      </c>
      <c r="AI23" s="220" t="s">
        <v>121</v>
      </c>
      <c r="AJ23" s="172"/>
    </row>
    <row r="24" spans="1:36" ht="16.5" customHeight="1">
      <c r="A24" s="150"/>
      <c r="B24" s="157"/>
      <c r="C24" s="250" t="s">
        <v>62</v>
      </c>
      <c r="D24" s="251" t="s">
        <v>54</v>
      </c>
      <c r="E24" s="252" t="s">
        <v>57</v>
      </c>
      <c r="F24" s="252" t="s">
        <v>6</v>
      </c>
      <c r="G24" s="253"/>
      <c r="H24" s="215">
        <v>45726</v>
      </c>
      <c r="I24" s="215">
        <v>46127</v>
      </c>
      <c r="J24" s="215"/>
      <c r="K24" s="215"/>
      <c r="L24" s="216"/>
      <c r="M24" s="216">
        <v>0.75</v>
      </c>
      <c r="N24" s="216">
        <v>1</v>
      </c>
      <c r="O24" s="216">
        <v>1</v>
      </c>
      <c r="P24" s="216">
        <v>1</v>
      </c>
      <c r="Q24" s="216">
        <v>1</v>
      </c>
      <c r="R24" s="216">
        <v>1</v>
      </c>
      <c r="S24" s="216">
        <v>1</v>
      </c>
      <c r="T24" s="216">
        <v>1</v>
      </c>
      <c r="U24" s="216">
        <v>1</v>
      </c>
      <c r="V24" s="216">
        <v>1</v>
      </c>
      <c r="W24" s="216">
        <v>1</v>
      </c>
      <c r="X24" s="216">
        <v>1</v>
      </c>
      <c r="Y24" s="216">
        <v>1</v>
      </c>
      <c r="Z24" s="216">
        <v>0.5</v>
      </c>
      <c r="AA24" s="189">
        <f t="shared" ref="AA24:AA34" si="3">SUM(L24:Z24)</f>
        <v>13.25</v>
      </c>
      <c r="AB24" s="158"/>
      <c r="AC24" s="150"/>
      <c r="AD24" s="254">
        <v>13.25</v>
      </c>
      <c r="AE24" s="255">
        <f t="shared" ref="AE24:AE34" si="4">AA24-AD24</f>
        <v>0</v>
      </c>
      <c r="AF24" s="166"/>
      <c r="AG24" s="170"/>
      <c r="AH24" s="218" t="s">
        <v>21</v>
      </c>
      <c r="AI24" s="187" t="s">
        <v>122</v>
      </c>
      <c r="AJ24" s="172"/>
    </row>
    <row r="25" spans="1:36" ht="16.5" customHeight="1">
      <c r="A25" s="150"/>
      <c r="B25" s="157"/>
      <c r="C25" s="256"/>
      <c r="D25" s="202" t="s">
        <v>63</v>
      </c>
      <c r="E25" s="252" t="s">
        <v>57</v>
      </c>
      <c r="F25" s="252" t="s">
        <v>10</v>
      </c>
      <c r="G25" s="253"/>
      <c r="H25" s="215">
        <v>45726</v>
      </c>
      <c r="I25" s="215">
        <v>46127</v>
      </c>
      <c r="J25" s="215"/>
      <c r="K25" s="215"/>
      <c r="L25" s="216"/>
      <c r="M25" s="216">
        <v>0.75</v>
      </c>
      <c r="N25" s="216">
        <v>1</v>
      </c>
      <c r="O25" s="216">
        <v>1</v>
      </c>
      <c r="P25" s="216">
        <v>1</v>
      </c>
      <c r="Q25" s="216">
        <v>1</v>
      </c>
      <c r="R25" s="216">
        <v>1</v>
      </c>
      <c r="S25" s="216">
        <v>1</v>
      </c>
      <c r="T25" s="216">
        <v>1</v>
      </c>
      <c r="U25" s="216">
        <v>1</v>
      </c>
      <c r="V25" s="216">
        <v>1</v>
      </c>
      <c r="W25" s="216">
        <v>1</v>
      </c>
      <c r="X25" s="216">
        <v>1</v>
      </c>
      <c r="Y25" s="216">
        <v>1</v>
      </c>
      <c r="Z25" s="216">
        <v>0.5</v>
      </c>
      <c r="AA25" s="189">
        <f t="shared" si="3"/>
        <v>13.25</v>
      </c>
      <c r="AB25" s="158"/>
      <c r="AC25" s="150"/>
      <c r="AD25" s="257">
        <v>13.25</v>
      </c>
      <c r="AE25" s="191">
        <f t="shared" si="4"/>
        <v>0</v>
      </c>
      <c r="AF25" s="166"/>
      <c r="AG25" s="170"/>
      <c r="AH25" s="210" t="s">
        <v>13</v>
      </c>
      <c r="AI25" s="220" t="s">
        <v>123</v>
      </c>
      <c r="AJ25" s="172"/>
    </row>
    <row r="26" spans="1:36" ht="16.5" customHeight="1">
      <c r="A26" s="150"/>
      <c r="B26" s="157"/>
      <c r="C26" s="256"/>
      <c r="D26" s="203" t="s">
        <v>63</v>
      </c>
      <c r="E26" s="252" t="s">
        <v>57</v>
      </c>
      <c r="F26" s="252" t="s">
        <v>22</v>
      </c>
      <c r="G26" s="253"/>
      <c r="H26" s="215">
        <v>45748</v>
      </c>
      <c r="I26" s="214">
        <v>45877</v>
      </c>
      <c r="J26" s="215"/>
      <c r="K26" s="215"/>
      <c r="L26" s="216"/>
      <c r="M26" s="216"/>
      <c r="N26" s="216">
        <v>1</v>
      </c>
      <c r="O26" s="216">
        <v>1</v>
      </c>
      <c r="P26" s="216">
        <v>1</v>
      </c>
      <c r="Q26" s="216">
        <v>1</v>
      </c>
      <c r="R26" s="258">
        <v>0.25</v>
      </c>
      <c r="S26" s="259"/>
      <c r="T26" s="259"/>
      <c r="U26" s="259"/>
      <c r="V26" s="260"/>
      <c r="W26" s="260"/>
      <c r="X26" s="261"/>
      <c r="Y26" s="216"/>
      <c r="Z26" s="216"/>
      <c r="AA26" s="183">
        <f t="shared" si="3"/>
        <v>4.25</v>
      </c>
      <c r="AB26" s="158"/>
      <c r="AC26" s="150"/>
      <c r="AD26" s="257">
        <v>10.5</v>
      </c>
      <c r="AE26" s="196">
        <f t="shared" si="4"/>
        <v>-6.25</v>
      </c>
      <c r="AF26" s="205" t="s">
        <v>154</v>
      </c>
      <c r="AG26" s="170"/>
      <c r="AH26" s="210" t="s">
        <v>17</v>
      </c>
      <c r="AI26" s="220" t="s">
        <v>124</v>
      </c>
      <c r="AJ26" s="172"/>
    </row>
    <row r="27" spans="1:36" ht="16.5" customHeight="1">
      <c r="A27" s="150"/>
      <c r="B27" s="157"/>
      <c r="C27" s="206" t="s">
        <v>62</v>
      </c>
      <c r="D27" s="203" t="s">
        <v>63</v>
      </c>
      <c r="E27" s="262" t="s">
        <v>59</v>
      </c>
      <c r="F27" s="262" t="s">
        <v>14</v>
      </c>
      <c r="G27" s="263"/>
      <c r="H27" s="225">
        <v>45726</v>
      </c>
      <c r="I27" s="224">
        <v>45877</v>
      </c>
      <c r="J27" s="225"/>
      <c r="K27" s="225"/>
      <c r="L27" s="226"/>
      <c r="M27" s="226">
        <v>0.75</v>
      </c>
      <c r="N27" s="226">
        <v>1</v>
      </c>
      <c r="O27" s="226">
        <v>1</v>
      </c>
      <c r="P27" s="226">
        <v>1</v>
      </c>
      <c r="Q27" s="226">
        <v>1</v>
      </c>
      <c r="R27" s="264">
        <v>0.25</v>
      </c>
      <c r="S27" s="265"/>
      <c r="T27" s="265"/>
      <c r="U27" s="265"/>
      <c r="V27" s="265"/>
      <c r="W27" s="265"/>
      <c r="X27" s="265"/>
      <c r="Y27" s="265"/>
      <c r="Z27" s="266"/>
      <c r="AA27" s="183">
        <f t="shared" si="3"/>
        <v>5</v>
      </c>
      <c r="AB27" s="158"/>
      <c r="AC27" s="150"/>
      <c r="AD27" s="257">
        <v>13.25</v>
      </c>
      <c r="AE27" s="196">
        <f>AA27-AD27</f>
        <v>-8.25</v>
      </c>
      <c r="AF27" s="205" t="s">
        <v>168</v>
      </c>
      <c r="AG27" s="170"/>
    </row>
    <row r="28" spans="1:36" ht="16.5" customHeight="1">
      <c r="A28" s="150"/>
      <c r="B28" s="157"/>
      <c r="C28" s="206" t="s">
        <v>62</v>
      </c>
      <c r="D28" s="203" t="s">
        <v>63</v>
      </c>
      <c r="E28" s="262" t="s">
        <v>59</v>
      </c>
      <c r="F28" s="262" t="s">
        <v>18</v>
      </c>
      <c r="G28" s="263"/>
      <c r="H28" s="225">
        <v>45726</v>
      </c>
      <c r="I28" s="224">
        <v>46094</v>
      </c>
      <c r="J28" s="225"/>
      <c r="K28" s="225"/>
      <c r="L28" s="226"/>
      <c r="M28" s="226">
        <v>0.75</v>
      </c>
      <c r="N28" s="226">
        <v>1</v>
      </c>
      <c r="O28" s="226">
        <v>1</v>
      </c>
      <c r="P28" s="226">
        <v>1</v>
      </c>
      <c r="Q28" s="226">
        <v>1</v>
      </c>
      <c r="R28" s="226">
        <v>1</v>
      </c>
      <c r="S28" s="226">
        <v>1</v>
      </c>
      <c r="T28" s="226">
        <v>1</v>
      </c>
      <c r="U28" s="226">
        <v>1</v>
      </c>
      <c r="V28" s="258">
        <v>1</v>
      </c>
      <c r="W28" s="258">
        <v>1</v>
      </c>
      <c r="X28" s="258">
        <v>1</v>
      </c>
      <c r="Y28" s="258">
        <v>0.5</v>
      </c>
      <c r="Z28" s="226"/>
      <c r="AA28" s="183">
        <f t="shared" si="3"/>
        <v>12.25</v>
      </c>
      <c r="AB28" s="158"/>
      <c r="AC28" s="150"/>
      <c r="AD28" s="257">
        <v>8.75</v>
      </c>
      <c r="AE28" s="204">
        <f>AA28-AD28</f>
        <v>3.5</v>
      </c>
      <c r="AF28" s="267" t="s">
        <v>134</v>
      </c>
      <c r="AG28" s="170"/>
    </row>
    <row r="29" spans="1:36" ht="16.5" customHeight="1">
      <c r="A29" s="150"/>
      <c r="B29" s="157"/>
      <c r="C29" s="206" t="s">
        <v>62</v>
      </c>
      <c r="D29" s="203" t="s">
        <v>63</v>
      </c>
      <c r="E29" s="262" t="s">
        <v>59</v>
      </c>
      <c r="F29" s="262" t="s">
        <v>84</v>
      </c>
      <c r="G29" s="263"/>
      <c r="H29" s="225">
        <v>45810</v>
      </c>
      <c r="I29" s="224">
        <v>45991</v>
      </c>
      <c r="J29" s="225"/>
      <c r="K29" s="225"/>
      <c r="L29" s="226"/>
      <c r="M29" s="226"/>
      <c r="N29" s="226"/>
      <c r="O29" s="226"/>
      <c r="P29" s="268">
        <v>1</v>
      </c>
      <c r="Q29" s="268">
        <v>1</v>
      </c>
      <c r="R29" s="269">
        <v>1</v>
      </c>
      <c r="S29" s="269">
        <v>1</v>
      </c>
      <c r="T29" s="264">
        <v>1</v>
      </c>
      <c r="U29" s="264">
        <v>1</v>
      </c>
      <c r="V29" s="226"/>
      <c r="W29" s="226"/>
      <c r="X29" s="226"/>
      <c r="Y29" s="226"/>
      <c r="Z29" s="226"/>
      <c r="AA29" s="183">
        <f t="shared" si="3"/>
        <v>6</v>
      </c>
      <c r="AB29" s="158"/>
      <c r="AC29" s="150"/>
      <c r="AD29" s="270">
        <v>0</v>
      </c>
      <c r="AE29" s="204">
        <f t="shared" si="4"/>
        <v>6</v>
      </c>
      <c r="AF29" s="267" t="s">
        <v>135</v>
      </c>
      <c r="AG29" s="170"/>
    </row>
    <row r="30" spans="1:36" ht="16.5" customHeight="1">
      <c r="A30" s="150"/>
      <c r="B30" s="157"/>
      <c r="C30" s="206" t="s">
        <v>62</v>
      </c>
      <c r="D30" s="203" t="s">
        <v>63</v>
      </c>
      <c r="E30" s="262" t="s">
        <v>59</v>
      </c>
      <c r="F30" s="262" t="s">
        <v>85</v>
      </c>
      <c r="G30" s="263"/>
      <c r="H30" s="225">
        <v>45810</v>
      </c>
      <c r="I30" s="224">
        <v>45991</v>
      </c>
      <c r="J30" s="225"/>
      <c r="K30" s="225"/>
      <c r="L30" s="226"/>
      <c r="M30" s="226"/>
      <c r="N30" s="226"/>
      <c r="O30" s="226"/>
      <c r="P30" s="268">
        <v>1</v>
      </c>
      <c r="Q30" s="271">
        <v>1</v>
      </c>
      <c r="R30" s="269">
        <v>1</v>
      </c>
      <c r="S30" s="269">
        <v>1</v>
      </c>
      <c r="T30" s="264">
        <v>1</v>
      </c>
      <c r="U30" s="264">
        <v>1</v>
      </c>
      <c r="V30" s="226"/>
      <c r="W30" s="226"/>
      <c r="X30" s="226"/>
      <c r="Y30" s="226"/>
      <c r="Z30" s="226"/>
      <c r="AA30" s="183">
        <f t="shared" si="3"/>
        <v>6</v>
      </c>
      <c r="AB30" s="158"/>
      <c r="AC30" s="150"/>
      <c r="AD30" s="270">
        <v>0</v>
      </c>
      <c r="AE30" s="204">
        <f t="shared" si="4"/>
        <v>6</v>
      </c>
      <c r="AF30" s="267" t="s">
        <v>134</v>
      </c>
      <c r="AG30" s="170"/>
    </row>
    <row r="31" spans="1:36" ht="16.5" customHeight="1">
      <c r="A31" s="150"/>
      <c r="B31" s="157"/>
      <c r="C31" s="206" t="s">
        <v>62</v>
      </c>
      <c r="D31" s="203" t="s">
        <v>63</v>
      </c>
      <c r="E31" s="272" t="s">
        <v>59</v>
      </c>
      <c r="F31" s="272" t="s">
        <v>182</v>
      </c>
      <c r="G31" s="263"/>
      <c r="H31" s="224">
        <v>45883</v>
      </c>
      <c r="I31" s="224">
        <v>45930</v>
      </c>
      <c r="J31" s="225"/>
      <c r="K31" s="225"/>
      <c r="L31" s="226"/>
      <c r="M31" s="226"/>
      <c r="N31" s="226"/>
      <c r="O31" s="226"/>
      <c r="P31" s="226"/>
      <c r="Q31" s="226"/>
      <c r="R31" s="264">
        <v>0.75</v>
      </c>
      <c r="S31" s="264">
        <v>1</v>
      </c>
      <c r="T31" s="226"/>
      <c r="U31" s="226"/>
      <c r="V31" s="226"/>
      <c r="W31" s="226"/>
      <c r="X31" s="226"/>
      <c r="Y31" s="226"/>
      <c r="Z31" s="226"/>
      <c r="AA31" s="183">
        <f t="shared" si="3"/>
        <v>1.75</v>
      </c>
      <c r="AB31" s="158"/>
      <c r="AC31" s="150"/>
      <c r="AD31" s="270">
        <v>0</v>
      </c>
      <c r="AE31" s="204">
        <f>AA31-AD31</f>
        <v>1.75</v>
      </c>
      <c r="AF31" s="267" t="s">
        <v>136</v>
      </c>
    </row>
    <row r="32" spans="1:36" ht="16.5" customHeight="1">
      <c r="A32" s="150" t="s">
        <v>86</v>
      </c>
      <c r="B32" s="157"/>
      <c r="C32" s="206" t="s">
        <v>62</v>
      </c>
      <c r="D32" s="203" t="s">
        <v>63</v>
      </c>
      <c r="E32" s="272" t="s">
        <v>59</v>
      </c>
      <c r="F32" s="272" t="s">
        <v>183</v>
      </c>
      <c r="G32" s="263"/>
      <c r="H32" s="224">
        <v>45883</v>
      </c>
      <c r="I32" s="224">
        <v>45930</v>
      </c>
      <c r="J32" s="225"/>
      <c r="K32" s="225"/>
      <c r="L32" s="226"/>
      <c r="M32" s="226"/>
      <c r="N32" s="226"/>
      <c r="O32" s="226"/>
      <c r="P32" s="226"/>
      <c r="Q32" s="226"/>
      <c r="R32" s="264">
        <v>0.75</v>
      </c>
      <c r="S32" s="264">
        <v>1</v>
      </c>
      <c r="T32" s="226"/>
      <c r="U32" s="226"/>
      <c r="V32" s="226"/>
      <c r="W32" s="226"/>
      <c r="X32" s="226"/>
      <c r="Y32" s="226"/>
      <c r="Z32" s="226"/>
      <c r="AA32" s="183">
        <f t="shared" si="3"/>
        <v>1.75</v>
      </c>
      <c r="AB32" s="158"/>
      <c r="AC32" s="150"/>
      <c r="AD32" s="270">
        <v>0</v>
      </c>
      <c r="AE32" s="204">
        <f t="shared" si="4"/>
        <v>1.75</v>
      </c>
      <c r="AF32" s="267" t="s">
        <v>136</v>
      </c>
    </row>
    <row r="33" spans="1:34" ht="16.5" customHeight="1">
      <c r="A33" s="150"/>
      <c r="B33" s="157"/>
      <c r="C33" s="206" t="s">
        <v>62</v>
      </c>
      <c r="D33" s="203" t="s">
        <v>63</v>
      </c>
      <c r="E33" s="262" t="s">
        <v>59</v>
      </c>
      <c r="F33" s="262" t="s">
        <v>7</v>
      </c>
      <c r="G33" s="263"/>
      <c r="H33" s="225">
        <v>45748</v>
      </c>
      <c r="I33" s="225">
        <v>45961</v>
      </c>
      <c r="J33" s="225"/>
      <c r="K33" s="225"/>
      <c r="L33" s="226"/>
      <c r="M33" s="226"/>
      <c r="N33" s="226">
        <v>1</v>
      </c>
      <c r="O33" s="226">
        <v>1</v>
      </c>
      <c r="P33" s="226">
        <v>1</v>
      </c>
      <c r="Q33" s="226">
        <v>1</v>
      </c>
      <c r="R33" s="226">
        <v>1</v>
      </c>
      <c r="S33" s="226">
        <v>1</v>
      </c>
      <c r="T33" s="226">
        <v>1</v>
      </c>
      <c r="U33" s="226"/>
      <c r="V33" s="226"/>
      <c r="W33" s="226"/>
      <c r="X33" s="226"/>
      <c r="Y33" s="226"/>
      <c r="Z33" s="226"/>
      <c r="AA33" s="189">
        <f t="shared" si="3"/>
        <v>7</v>
      </c>
      <c r="AB33" s="158"/>
      <c r="AC33" s="150"/>
      <c r="AD33" s="257">
        <v>7</v>
      </c>
      <c r="AE33" s="191">
        <f t="shared" si="4"/>
        <v>0</v>
      </c>
      <c r="AF33" s="166"/>
    </row>
    <row r="34" spans="1:34" ht="16.5" customHeight="1">
      <c r="A34" s="150"/>
      <c r="B34" s="157"/>
      <c r="C34" s="206" t="s">
        <v>62</v>
      </c>
      <c r="D34" s="273" t="s">
        <v>63</v>
      </c>
      <c r="E34" s="262" t="s">
        <v>59</v>
      </c>
      <c r="F34" s="262" t="s">
        <v>11</v>
      </c>
      <c r="G34" s="263"/>
      <c r="H34" s="225">
        <v>45748</v>
      </c>
      <c r="I34" s="225">
        <v>45961</v>
      </c>
      <c r="J34" s="225"/>
      <c r="K34" s="225"/>
      <c r="L34" s="226"/>
      <c r="M34" s="226"/>
      <c r="N34" s="226">
        <v>1</v>
      </c>
      <c r="O34" s="226">
        <v>1</v>
      </c>
      <c r="P34" s="226">
        <v>1</v>
      </c>
      <c r="Q34" s="226">
        <v>1</v>
      </c>
      <c r="R34" s="226">
        <v>1</v>
      </c>
      <c r="S34" s="226">
        <v>1</v>
      </c>
      <c r="T34" s="226">
        <v>1</v>
      </c>
      <c r="U34" s="274"/>
      <c r="V34" s="226"/>
      <c r="W34" s="226"/>
      <c r="X34" s="226"/>
      <c r="Y34" s="226"/>
      <c r="Z34" s="226"/>
      <c r="AA34" s="189">
        <f t="shared" si="3"/>
        <v>7</v>
      </c>
      <c r="AB34" s="158"/>
      <c r="AC34" s="150"/>
      <c r="AD34" s="275">
        <v>7</v>
      </c>
      <c r="AE34" s="276">
        <f t="shared" si="4"/>
        <v>0</v>
      </c>
      <c r="AF34" s="166"/>
      <c r="AH34" s="277"/>
    </row>
    <row r="35" spans="1:34" ht="16.5" customHeight="1">
      <c r="A35" s="150"/>
      <c r="B35" s="157"/>
      <c r="C35" s="233" t="s">
        <v>62</v>
      </c>
      <c r="D35" s="234" t="s">
        <v>60</v>
      </c>
      <c r="E35" s="235"/>
      <c r="F35" s="235"/>
      <c r="G35" s="235" t="s">
        <v>77</v>
      </c>
      <c r="H35" s="235"/>
      <c r="I35" s="235" t="s">
        <v>61</v>
      </c>
      <c r="J35" s="236"/>
      <c r="K35" s="236"/>
      <c r="L35" s="237">
        <f t="shared" ref="L35:AA35" si="5">SUM(L24:L34)</f>
        <v>0</v>
      </c>
      <c r="M35" s="237">
        <f t="shared" si="5"/>
        <v>3</v>
      </c>
      <c r="N35" s="237">
        <f t="shared" si="5"/>
        <v>7</v>
      </c>
      <c r="O35" s="237">
        <f t="shared" si="5"/>
        <v>7</v>
      </c>
      <c r="P35" s="237">
        <f t="shared" si="5"/>
        <v>9</v>
      </c>
      <c r="Q35" s="237">
        <f t="shared" si="5"/>
        <v>9</v>
      </c>
      <c r="R35" s="237">
        <f t="shared" si="5"/>
        <v>9</v>
      </c>
      <c r="S35" s="237">
        <f t="shared" si="5"/>
        <v>9</v>
      </c>
      <c r="T35" s="237">
        <f t="shared" si="5"/>
        <v>7</v>
      </c>
      <c r="U35" s="237">
        <f t="shared" si="5"/>
        <v>5</v>
      </c>
      <c r="V35" s="237">
        <f t="shared" si="5"/>
        <v>3</v>
      </c>
      <c r="W35" s="237">
        <f t="shared" si="5"/>
        <v>3</v>
      </c>
      <c r="X35" s="237">
        <f t="shared" si="5"/>
        <v>3</v>
      </c>
      <c r="Y35" s="237">
        <f t="shared" si="5"/>
        <v>2.5</v>
      </c>
      <c r="Z35" s="237">
        <f t="shared" si="5"/>
        <v>1</v>
      </c>
      <c r="AA35" s="238">
        <f t="shared" si="5"/>
        <v>77.5</v>
      </c>
      <c r="AB35" s="158"/>
      <c r="AC35" s="150"/>
      <c r="AD35" s="278">
        <f>SUM(AD24:AD34)</f>
        <v>73</v>
      </c>
      <c r="AE35" s="279">
        <f>SUM(AE24:AE34)</f>
        <v>4.5</v>
      </c>
      <c r="AF35" s="166"/>
      <c r="AH35" s="277"/>
    </row>
    <row r="36" spans="1:34" ht="17">
      <c r="A36" s="241"/>
      <c r="B36" s="242"/>
      <c r="C36" s="243"/>
      <c r="D36" s="244"/>
      <c r="E36" s="245"/>
      <c r="F36" s="245"/>
      <c r="G36" s="245"/>
      <c r="H36" s="245"/>
      <c r="I36" s="245"/>
      <c r="J36" s="245"/>
      <c r="K36" s="245"/>
      <c r="L36" s="245"/>
      <c r="M36" s="245"/>
      <c r="N36" s="245"/>
      <c r="O36" s="245"/>
      <c r="P36" s="245"/>
      <c r="Q36" s="245"/>
      <c r="R36" s="245"/>
      <c r="S36" s="245"/>
      <c r="T36" s="245"/>
      <c r="U36" s="245"/>
      <c r="V36" s="245"/>
      <c r="W36" s="245"/>
      <c r="X36" s="245"/>
      <c r="Y36" s="245"/>
      <c r="Z36" s="245"/>
      <c r="AA36" s="245"/>
      <c r="AB36" s="247"/>
      <c r="AC36" s="241"/>
      <c r="AD36" s="280"/>
      <c r="AE36" s="281"/>
      <c r="AF36" s="166"/>
      <c r="AH36" s="277"/>
    </row>
    <row r="37" spans="1:34" ht="16.5" customHeight="1">
      <c r="A37" s="150"/>
      <c r="B37" s="157"/>
      <c r="C37" s="420" t="s">
        <v>60</v>
      </c>
      <c r="D37" s="421"/>
      <c r="E37" s="422"/>
      <c r="F37" s="282"/>
      <c r="G37" s="283"/>
      <c r="H37" s="283"/>
      <c r="I37" s="283" t="s">
        <v>65</v>
      </c>
      <c r="J37" s="284"/>
      <c r="K37" s="284"/>
      <c r="L37" s="237">
        <f t="shared" ref="L37:AA37" si="6">L22+L35</f>
        <v>6.5</v>
      </c>
      <c r="M37" s="237">
        <f t="shared" si="6"/>
        <v>12.5</v>
      </c>
      <c r="N37" s="237">
        <f t="shared" si="6"/>
        <v>19</v>
      </c>
      <c r="O37" s="237">
        <f t="shared" si="6"/>
        <v>19</v>
      </c>
      <c r="P37" s="237">
        <f t="shared" si="6"/>
        <v>22</v>
      </c>
      <c r="Q37" s="237">
        <f t="shared" si="6"/>
        <v>22</v>
      </c>
      <c r="R37" s="237">
        <f t="shared" si="6"/>
        <v>22</v>
      </c>
      <c r="S37" s="237">
        <f t="shared" si="6"/>
        <v>18</v>
      </c>
      <c r="T37" s="237">
        <f t="shared" si="6"/>
        <v>16</v>
      </c>
      <c r="U37" s="237">
        <f t="shared" si="6"/>
        <v>12</v>
      </c>
      <c r="V37" s="237">
        <f t="shared" si="6"/>
        <v>9</v>
      </c>
      <c r="W37" s="237">
        <f t="shared" si="6"/>
        <v>6</v>
      </c>
      <c r="X37" s="237">
        <f t="shared" si="6"/>
        <v>6</v>
      </c>
      <c r="Y37" s="237">
        <f t="shared" si="6"/>
        <v>5.5</v>
      </c>
      <c r="Z37" s="237">
        <f t="shared" si="6"/>
        <v>1.5</v>
      </c>
      <c r="AA37" s="238">
        <f t="shared" si="6"/>
        <v>197</v>
      </c>
      <c r="AB37" s="158"/>
      <c r="AC37" s="150"/>
      <c r="AD37" s="342">
        <f>AD22+AD35</f>
        <v>172</v>
      </c>
      <c r="AE37" s="351">
        <f>AE22+AE35</f>
        <v>25</v>
      </c>
      <c r="AF37" s="352" t="s">
        <v>180</v>
      </c>
      <c r="AH37" s="277"/>
    </row>
    <row r="38" spans="1:34" ht="16.5" customHeight="1" thickBot="1">
      <c r="A38" s="150"/>
      <c r="B38" s="286"/>
      <c r="C38" s="287"/>
      <c r="D38" s="287"/>
      <c r="E38" s="288"/>
      <c r="F38" s="288"/>
      <c r="G38" s="288"/>
      <c r="H38" s="288"/>
      <c r="I38" s="287"/>
      <c r="J38" s="287"/>
      <c r="K38" s="289"/>
      <c r="L38" s="288"/>
      <c r="M38" s="288"/>
      <c r="N38" s="288"/>
      <c r="O38" s="288"/>
      <c r="P38" s="288"/>
      <c r="Q38" s="288"/>
      <c r="R38" s="288"/>
      <c r="S38" s="288"/>
      <c r="T38" s="288"/>
      <c r="U38" s="288"/>
      <c r="V38" s="288"/>
      <c r="W38" s="288"/>
      <c r="X38" s="288"/>
      <c r="Y38" s="288"/>
      <c r="Z38" s="288"/>
      <c r="AA38" s="288"/>
      <c r="AB38" s="290"/>
      <c r="AC38" s="150"/>
      <c r="AH38" s="277"/>
    </row>
    <row r="39" spans="1:34" ht="16.5" customHeight="1">
      <c r="A39" s="150"/>
      <c r="B39" s="291"/>
      <c r="C39" s="291"/>
      <c r="D39" s="291"/>
      <c r="E39" s="292"/>
      <c r="F39" s="292"/>
      <c r="G39" s="292"/>
      <c r="H39" s="292"/>
      <c r="I39" s="291"/>
      <c r="J39" s="291"/>
      <c r="K39" s="293"/>
      <c r="L39" s="292"/>
      <c r="M39" s="292"/>
      <c r="N39" s="292"/>
      <c r="O39" s="292"/>
      <c r="P39" s="292"/>
      <c r="Q39" s="292"/>
      <c r="R39" s="292"/>
      <c r="S39" s="292"/>
      <c r="T39" s="292"/>
      <c r="U39" s="292"/>
      <c r="V39" s="292"/>
      <c r="W39" s="292"/>
      <c r="X39" s="292"/>
      <c r="Y39" s="292"/>
      <c r="Z39" s="292"/>
      <c r="AA39" s="292"/>
      <c r="AB39" s="291"/>
      <c r="AC39" s="150"/>
    </row>
    <row r="40" spans="1:34" ht="16.5" customHeight="1">
      <c r="C40" s="294"/>
      <c r="E40" s="297" t="s">
        <v>128</v>
      </c>
      <c r="F40" s="298"/>
      <c r="G40" s="298"/>
      <c r="H40" s="299"/>
      <c r="L40" s="340" t="s">
        <v>169</v>
      </c>
      <c r="M40" s="340"/>
      <c r="N40" s="340"/>
      <c r="O40" s="340"/>
      <c r="P40" s="150"/>
      <c r="Q40" s="339">
        <f ca="1">TODAY()</f>
        <v>45867</v>
      </c>
      <c r="R40" s="295" t="s">
        <v>129</v>
      </c>
      <c r="S40" s="295"/>
      <c r="T40" s="295"/>
      <c r="U40" s="285"/>
      <c r="V40" s="285"/>
      <c r="W40" s="296" t="s">
        <v>170</v>
      </c>
      <c r="X40" s="285"/>
      <c r="Y40" s="285"/>
      <c r="Z40" s="285"/>
      <c r="AA40" s="285"/>
      <c r="AB40" s="285"/>
      <c r="AC40" s="285"/>
      <c r="AD40" s="285"/>
      <c r="AE40" s="285"/>
      <c r="AF40" s="285"/>
    </row>
    <row r="41" spans="1:34" ht="19" thickBot="1">
      <c r="A41" s="150"/>
      <c r="B41" s="150"/>
      <c r="E41" s="302" t="s">
        <v>71</v>
      </c>
      <c r="F41" s="303"/>
      <c r="G41" s="304">
        <v>172</v>
      </c>
      <c r="H41" s="299"/>
      <c r="I41" s="299"/>
      <c r="J41" s="299"/>
      <c r="K41" s="299"/>
      <c r="L41" s="300" t="s">
        <v>126</v>
      </c>
      <c r="P41" s="299"/>
      <c r="Q41" s="301" t="s">
        <v>66</v>
      </c>
      <c r="V41" s="150"/>
      <c r="W41" s="241" t="s">
        <v>171</v>
      </c>
      <c r="X41" s="150"/>
      <c r="Y41" s="150"/>
      <c r="Z41" s="150"/>
      <c r="AA41" s="150"/>
      <c r="AB41" s="150"/>
      <c r="AC41" s="150"/>
      <c r="AD41" s="150"/>
      <c r="AE41" s="150"/>
      <c r="AF41" s="150"/>
    </row>
    <row r="42" spans="1:34" ht="16.5" customHeight="1">
      <c r="A42" s="150"/>
      <c r="B42" s="150"/>
      <c r="E42" s="310" t="s">
        <v>81</v>
      </c>
      <c r="F42" s="311"/>
      <c r="G42" s="312">
        <f>204.5-G41</f>
        <v>32.5</v>
      </c>
      <c r="H42" s="299"/>
      <c r="I42" s="299"/>
      <c r="J42" s="299"/>
      <c r="K42" s="299"/>
      <c r="L42" s="305" t="s">
        <v>68</v>
      </c>
      <c r="M42" s="306" t="s">
        <v>69</v>
      </c>
      <c r="N42" s="305" t="s">
        <v>70</v>
      </c>
      <c r="O42" s="305" t="s">
        <v>60</v>
      </c>
      <c r="P42" s="299"/>
      <c r="Q42" s="307" t="s">
        <v>68</v>
      </c>
      <c r="R42" s="308" t="s">
        <v>69</v>
      </c>
      <c r="S42" s="307" t="s">
        <v>70</v>
      </c>
      <c r="T42" s="307" t="s">
        <v>60</v>
      </c>
      <c r="U42" s="309" t="s">
        <v>80</v>
      </c>
      <c r="V42" s="150"/>
      <c r="W42" s="353" t="s">
        <v>125</v>
      </c>
      <c r="X42" s="354" t="s">
        <v>127</v>
      </c>
      <c r="Y42" s="355" t="s">
        <v>145</v>
      </c>
      <c r="Z42" s="150"/>
      <c r="AA42" s="150"/>
      <c r="AB42" s="150"/>
      <c r="AC42" s="150"/>
      <c r="AD42" s="150"/>
      <c r="AE42" s="150"/>
      <c r="AF42" s="150"/>
    </row>
    <row r="43" spans="1:34" ht="16.5" customHeight="1">
      <c r="E43" s="321" t="s">
        <v>73</v>
      </c>
      <c r="F43" s="322"/>
      <c r="G43" s="304">
        <v>204.5</v>
      </c>
      <c r="H43" s="299"/>
      <c r="I43" s="299"/>
      <c r="J43" s="299"/>
      <c r="K43" s="299"/>
      <c r="L43" s="423" t="s">
        <v>53</v>
      </c>
      <c r="M43" s="313" t="s">
        <v>51</v>
      </c>
      <c r="N43" s="314">
        <v>55</v>
      </c>
      <c r="O43" s="315">
        <f>SUM(N43:N45)</f>
        <v>99</v>
      </c>
      <c r="P43" s="299"/>
      <c r="Q43" s="316" t="s">
        <v>53</v>
      </c>
      <c r="R43" s="317" t="s">
        <v>51</v>
      </c>
      <c r="S43" s="318">
        <f>SUMIF($E$7:$E$21,"고급",$AA$7:$AA$21)</f>
        <v>76.5</v>
      </c>
      <c r="T43" s="319">
        <f>SUM(S43:S45)</f>
        <v>119.5</v>
      </c>
      <c r="U43" s="309">
        <f t="shared" ref="U43:U48" si="7">N43-S43</f>
        <v>-21.5</v>
      </c>
      <c r="V43" s="320" t="s">
        <v>131</v>
      </c>
      <c r="W43" s="356">
        <f>SUM(X43:Y43)</f>
        <v>21.5</v>
      </c>
      <c r="X43" s="357">
        <f>AE7+AE12</f>
        <v>-13.25</v>
      </c>
      <c r="Y43" s="358">
        <f>AE9+AE10+AE13+AE14+AE15+AE16</f>
        <v>34.75</v>
      </c>
      <c r="Z43" s="150" t="s">
        <v>148</v>
      </c>
      <c r="AA43" s="150"/>
      <c r="AB43" s="150"/>
      <c r="AC43" s="150"/>
      <c r="AD43" s="150"/>
      <c r="AE43" s="150"/>
      <c r="AF43" s="150"/>
    </row>
    <row r="44" spans="1:34" ht="16.5" customHeight="1">
      <c r="E44" s="294" t="s">
        <v>138</v>
      </c>
      <c r="F44" s="299"/>
      <c r="G44" s="299"/>
      <c r="H44" s="299"/>
      <c r="I44" s="299"/>
      <c r="J44" s="299"/>
      <c r="K44" s="299"/>
      <c r="L44" s="424"/>
      <c r="M44" s="313" t="s">
        <v>57</v>
      </c>
      <c r="N44" s="314">
        <v>25</v>
      </c>
      <c r="O44" s="323"/>
      <c r="P44" s="299"/>
      <c r="Q44" s="324"/>
      <c r="R44" s="317" t="s">
        <v>57</v>
      </c>
      <c r="S44" s="318">
        <f>SUMIF($E$7:$E$21,"중급",$AA$7:$AA$21)</f>
        <v>25</v>
      </c>
      <c r="T44" s="324"/>
      <c r="U44" s="309">
        <f t="shared" si="7"/>
        <v>0</v>
      </c>
      <c r="V44" s="320" t="s">
        <v>132</v>
      </c>
      <c r="W44" s="359">
        <f>SUM(X44:Y44)</f>
        <v>0</v>
      </c>
      <c r="X44" s="360">
        <f>AE17+AE18</f>
        <v>-4</v>
      </c>
      <c r="Y44" s="361">
        <f>AE19</f>
        <v>4</v>
      </c>
      <c r="Z44" s="374" t="s">
        <v>181</v>
      </c>
      <c r="AA44" s="150"/>
      <c r="AB44" s="150"/>
      <c r="AC44" s="150"/>
      <c r="AD44" s="150"/>
      <c r="AE44" s="150"/>
      <c r="AF44" s="150"/>
    </row>
    <row r="45" spans="1:34" ht="16.5" customHeight="1">
      <c r="E45" s="294" t="s">
        <v>172</v>
      </c>
      <c r="H45" s="299"/>
      <c r="I45" s="299"/>
      <c r="J45" s="299"/>
      <c r="K45" s="299"/>
      <c r="L45" s="425"/>
      <c r="M45" s="313" t="s">
        <v>59</v>
      </c>
      <c r="N45" s="314">
        <v>19</v>
      </c>
      <c r="O45" s="325"/>
      <c r="P45" s="299"/>
      <c r="Q45" s="326"/>
      <c r="R45" s="317" t="s">
        <v>59</v>
      </c>
      <c r="S45" s="318">
        <f>SUMIF($E$7:$E$21,"초급",$AA$7:$AA$21)</f>
        <v>18</v>
      </c>
      <c r="T45" s="326"/>
      <c r="U45" s="309">
        <f t="shared" si="7"/>
        <v>1</v>
      </c>
      <c r="V45" s="320" t="s">
        <v>133</v>
      </c>
      <c r="W45" s="362">
        <f>SUM(X45:Y45)</f>
        <v>-1</v>
      </c>
      <c r="X45" s="363">
        <f>AE20</f>
        <v>-3</v>
      </c>
      <c r="Y45" s="364">
        <f>AE21</f>
        <v>2</v>
      </c>
      <c r="Z45" s="150" t="s">
        <v>149</v>
      </c>
      <c r="AA45" s="150"/>
      <c r="AB45" s="150"/>
      <c r="AC45" s="150"/>
      <c r="AD45" s="150"/>
      <c r="AE45" s="150"/>
      <c r="AF45" s="150"/>
    </row>
    <row r="46" spans="1:34" ht="16.5" customHeight="1" thickBot="1">
      <c r="I46" s="299"/>
      <c r="J46" s="299"/>
      <c r="K46" s="299"/>
      <c r="L46" s="423" t="s">
        <v>62</v>
      </c>
      <c r="M46" s="313" t="s">
        <v>51</v>
      </c>
      <c r="N46" s="314">
        <v>0</v>
      </c>
      <c r="O46" s="315">
        <f>SUM(N46:N48)</f>
        <v>73</v>
      </c>
      <c r="P46" s="299"/>
      <c r="Q46" s="316" t="s">
        <v>62</v>
      </c>
      <c r="R46" s="317" t="s">
        <v>51</v>
      </c>
      <c r="S46" s="318">
        <f>SUMIF($E$22:$E$34,"고급",$AA$22:$AA$34)</f>
        <v>0</v>
      </c>
      <c r="T46" s="319">
        <f>SUM(S46:S48)</f>
        <v>77.5</v>
      </c>
      <c r="U46" s="309">
        <f t="shared" si="7"/>
        <v>0</v>
      </c>
      <c r="V46" s="320"/>
      <c r="W46" s="365">
        <f>SUM(X46:Y46)</f>
        <v>20.5</v>
      </c>
      <c r="X46" s="366">
        <f>SUM(X43:X45)</f>
        <v>-20.25</v>
      </c>
      <c r="Y46" s="367">
        <f>SUM(Y43:Y45)</f>
        <v>40.75</v>
      </c>
      <c r="Z46" s="150"/>
      <c r="AA46" s="150"/>
      <c r="AB46" s="150"/>
      <c r="AC46" s="150"/>
      <c r="AD46" s="150"/>
      <c r="AE46" s="150"/>
      <c r="AF46" s="150"/>
    </row>
    <row r="47" spans="1:34" ht="16.5" customHeight="1">
      <c r="H47" s="299"/>
      <c r="I47" s="299"/>
      <c r="J47" s="299"/>
      <c r="K47" s="299"/>
      <c r="L47" s="424"/>
      <c r="M47" s="313" t="s">
        <v>57</v>
      </c>
      <c r="N47" s="314">
        <v>37</v>
      </c>
      <c r="O47" s="323"/>
      <c r="P47" s="299"/>
      <c r="Q47" s="324"/>
      <c r="R47" s="317" t="s">
        <v>57</v>
      </c>
      <c r="S47" s="318">
        <f>SUMIF($E$22:$E$34,"중급",$AA$22:$AA$34)</f>
        <v>30.75</v>
      </c>
      <c r="T47" s="324"/>
      <c r="U47" s="309">
        <f t="shared" si="7"/>
        <v>6.25</v>
      </c>
      <c r="V47" s="320"/>
      <c r="W47" s="150"/>
      <c r="X47" s="150"/>
      <c r="Y47" s="150"/>
      <c r="Z47" s="150"/>
      <c r="AA47" s="150"/>
      <c r="AB47" s="150"/>
      <c r="AC47" s="150"/>
      <c r="AD47" s="150"/>
      <c r="AE47" s="150"/>
      <c r="AF47" s="150"/>
    </row>
    <row r="48" spans="1:34" ht="16.5" customHeight="1" thickBot="1">
      <c r="F48" s="299"/>
      <c r="G48" s="299"/>
      <c r="H48" s="299"/>
      <c r="I48" s="299"/>
      <c r="J48" s="299"/>
      <c r="K48" s="299"/>
      <c r="L48" s="425"/>
      <c r="M48" s="313" t="s">
        <v>59</v>
      </c>
      <c r="N48" s="314">
        <v>36</v>
      </c>
      <c r="O48" s="325"/>
      <c r="P48" s="299"/>
      <c r="Q48" s="326"/>
      <c r="R48" s="317" t="s">
        <v>59</v>
      </c>
      <c r="S48" s="318">
        <f>SUMIF($E$22:$E$34,"초급",$AA$22:$AA$34)</f>
        <v>46.75</v>
      </c>
      <c r="T48" s="326"/>
      <c r="U48" s="309">
        <f t="shared" si="7"/>
        <v>-10.75</v>
      </c>
      <c r="V48" s="320"/>
      <c r="W48" s="241" t="s">
        <v>173</v>
      </c>
      <c r="X48" s="150"/>
      <c r="Y48" s="150"/>
      <c r="Z48" s="150"/>
      <c r="AA48" s="150"/>
      <c r="AB48" s="150"/>
      <c r="AC48" s="150"/>
      <c r="AD48" s="150"/>
      <c r="AE48" s="150"/>
      <c r="AF48" s="150"/>
    </row>
    <row r="49" spans="6:32" ht="16.5" customHeight="1">
      <c r="F49" s="299"/>
      <c r="G49" s="299"/>
      <c r="H49" s="299"/>
      <c r="I49" s="299"/>
      <c r="J49" s="299"/>
      <c r="K49" s="299"/>
      <c r="L49" s="408" t="s">
        <v>74</v>
      </c>
      <c r="M49" s="409"/>
      <c r="N49" s="410"/>
      <c r="O49" s="304">
        <f>SUM(O43:O48)</f>
        <v>172</v>
      </c>
      <c r="P49" s="299"/>
      <c r="Q49" s="327" t="s">
        <v>74</v>
      </c>
      <c r="R49" s="328"/>
      <c r="S49" s="329"/>
      <c r="T49" s="330">
        <f t="shared" ref="T49:U49" si="8">SUM(T43:T48)</f>
        <v>197</v>
      </c>
      <c r="U49" s="309">
        <f t="shared" si="8"/>
        <v>-25</v>
      </c>
      <c r="V49" s="320"/>
      <c r="W49" s="353" t="s">
        <v>125</v>
      </c>
      <c r="X49" s="354" t="s">
        <v>127</v>
      </c>
      <c r="Y49" s="355" t="s">
        <v>146</v>
      </c>
      <c r="Z49" s="150"/>
      <c r="AA49" s="150"/>
      <c r="AB49" s="150"/>
      <c r="AC49" s="150"/>
      <c r="AD49" s="150"/>
      <c r="AE49" s="150"/>
      <c r="AF49" s="150"/>
    </row>
    <row r="50" spans="6:32" ht="16.5" customHeight="1">
      <c r="F50" s="299"/>
      <c r="G50" s="299"/>
      <c r="H50" s="299"/>
      <c r="I50" s="299"/>
      <c r="J50" s="299"/>
      <c r="K50" s="299"/>
      <c r="L50" s="299"/>
      <c r="M50" s="299"/>
      <c r="N50" s="299"/>
      <c r="O50" s="299"/>
      <c r="P50" s="299"/>
      <c r="Q50" s="331" t="s">
        <v>130</v>
      </c>
      <c r="R50" s="332"/>
      <c r="S50" s="333"/>
      <c r="T50" s="334">
        <f>T49-O49</f>
        <v>25</v>
      </c>
      <c r="U50" s="309"/>
      <c r="V50" s="320" t="s">
        <v>174</v>
      </c>
      <c r="W50" s="359">
        <f>SUM(X50:Y50)</f>
        <v>-6.25</v>
      </c>
      <c r="X50" s="360">
        <f>AE26</f>
        <v>-6.25</v>
      </c>
      <c r="Y50" s="361"/>
      <c r="Z50" s="150" t="s">
        <v>175</v>
      </c>
      <c r="AA50" s="150"/>
      <c r="AB50" s="150"/>
      <c r="AC50" s="150"/>
      <c r="AD50" s="150"/>
      <c r="AE50" s="150"/>
      <c r="AF50" s="150"/>
    </row>
    <row r="51" spans="6:32" ht="16.5" customHeight="1">
      <c r="F51" s="299"/>
      <c r="G51" s="299"/>
      <c r="H51" s="299"/>
      <c r="I51" s="299"/>
      <c r="J51" s="299"/>
      <c r="K51" s="299"/>
      <c r="L51" s="299"/>
      <c r="M51" s="299"/>
      <c r="N51" s="299"/>
      <c r="O51" s="299"/>
      <c r="P51" s="299"/>
      <c r="Q51" s="335"/>
      <c r="R51" s="336"/>
      <c r="S51" s="337" t="s">
        <v>144</v>
      </c>
      <c r="T51" s="312">
        <f>G43-T49</f>
        <v>7.5</v>
      </c>
      <c r="V51" s="320" t="s">
        <v>176</v>
      </c>
      <c r="W51" s="362">
        <f>SUM(X51:Y51)</f>
        <v>10.75</v>
      </c>
      <c r="X51" s="363">
        <f>AE27</f>
        <v>-8.25</v>
      </c>
      <c r="Y51" s="364">
        <f>AE31+AE29+AE30+AE32+AE28</f>
        <v>19</v>
      </c>
      <c r="Z51" s="150" t="s">
        <v>150</v>
      </c>
      <c r="AA51" s="150"/>
      <c r="AB51" s="150"/>
      <c r="AC51" s="150"/>
      <c r="AD51" s="150"/>
      <c r="AE51" s="150"/>
      <c r="AF51" s="150"/>
    </row>
    <row r="52" spans="6:32" ht="16.5" customHeight="1" thickBot="1">
      <c r="V52" s="320"/>
      <c r="W52" s="365">
        <f>SUM(X52:Y52)</f>
        <v>4.5</v>
      </c>
      <c r="X52" s="366">
        <f>SUM(X50:X51)</f>
        <v>-14.5</v>
      </c>
      <c r="Y52" s="367">
        <f>SUM(Y50:Y51)</f>
        <v>19</v>
      </c>
      <c r="Z52" s="150"/>
      <c r="AA52" s="150"/>
      <c r="AB52" s="150"/>
      <c r="AC52" s="150"/>
      <c r="AD52" s="150"/>
      <c r="AE52" s="150"/>
      <c r="AF52" s="150"/>
    </row>
    <row r="53" spans="6:32" ht="16.5" customHeight="1">
      <c r="V53" s="320"/>
      <c r="W53" s="150"/>
      <c r="X53" s="150"/>
      <c r="Y53" s="150"/>
      <c r="Z53" s="150"/>
      <c r="AA53" s="150"/>
      <c r="AB53" s="150"/>
      <c r="AC53" s="150"/>
      <c r="AD53" s="150"/>
      <c r="AE53" s="150"/>
      <c r="AF53" s="150"/>
    </row>
    <row r="54" spans="6:32" ht="16.5" customHeight="1" thickBot="1">
      <c r="V54" s="338"/>
      <c r="W54" s="368" t="s">
        <v>147</v>
      </c>
      <c r="X54" s="369"/>
      <c r="Y54" s="369"/>
      <c r="Z54" s="150"/>
      <c r="AA54" s="150"/>
      <c r="AB54" s="150"/>
      <c r="AC54" s="150"/>
      <c r="AD54" s="150"/>
      <c r="AE54" s="150"/>
      <c r="AF54" s="150"/>
    </row>
    <row r="55" spans="6:32" ht="16.5" customHeight="1">
      <c r="V55" s="338"/>
      <c r="W55" s="353" t="s">
        <v>125</v>
      </c>
      <c r="X55" s="354" t="s">
        <v>127</v>
      </c>
      <c r="Y55" s="355" t="s">
        <v>145</v>
      </c>
      <c r="Z55" s="150"/>
      <c r="AA55" s="150"/>
      <c r="AB55" s="150"/>
      <c r="AC55" s="150"/>
      <c r="AD55" s="150"/>
      <c r="AE55" s="150"/>
      <c r="AF55" s="150"/>
    </row>
    <row r="56" spans="6:32" ht="16.5" customHeight="1">
      <c r="V56" s="338" t="s">
        <v>131</v>
      </c>
      <c r="W56" s="356">
        <f>SUM(X56:Y56)</f>
        <v>21.5</v>
      </c>
      <c r="X56" s="357">
        <f>X43</f>
        <v>-13.25</v>
      </c>
      <c r="Y56" s="358">
        <f>Y43</f>
        <v>34.75</v>
      </c>
      <c r="Z56" s="150"/>
      <c r="AA56" s="150"/>
      <c r="AB56" s="150"/>
      <c r="AC56" s="150"/>
      <c r="AD56" s="150"/>
      <c r="AE56" s="150"/>
      <c r="AF56" s="150"/>
    </row>
    <row r="57" spans="6:32" ht="16.5" customHeight="1">
      <c r="V57" s="338" t="s">
        <v>132</v>
      </c>
      <c r="W57" s="359">
        <f>SUM(X57:Y57)</f>
        <v>-6.25</v>
      </c>
      <c r="X57" s="360">
        <f>X44+X50</f>
        <v>-10.25</v>
      </c>
      <c r="Y57" s="361">
        <f>Y44+Y50</f>
        <v>4</v>
      </c>
      <c r="Z57" s="150"/>
      <c r="AA57" s="150"/>
      <c r="AB57" s="150"/>
      <c r="AC57" s="150"/>
      <c r="AD57" s="150"/>
      <c r="AE57" s="150"/>
      <c r="AF57" s="150"/>
    </row>
    <row r="58" spans="6:32" ht="16.5" customHeight="1">
      <c r="V58" s="338" t="s">
        <v>133</v>
      </c>
      <c r="W58" s="362">
        <f>SUM(X58:Y58)</f>
        <v>9.75</v>
      </c>
      <c r="X58" s="363">
        <f>X45+X51</f>
        <v>-11.25</v>
      </c>
      <c r="Y58" s="364">
        <f>Y45+Y51</f>
        <v>21</v>
      </c>
      <c r="Z58" s="150"/>
      <c r="AA58" s="150"/>
      <c r="AB58" s="150"/>
      <c r="AC58" s="150"/>
      <c r="AD58" s="150"/>
      <c r="AE58" s="150"/>
      <c r="AF58" s="150"/>
    </row>
    <row r="59" spans="6:32" ht="16.5" customHeight="1" thickBot="1">
      <c r="V59" s="338"/>
      <c r="W59" s="370">
        <f>SUM(X59:Y59)</f>
        <v>25</v>
      </c>
      <c r="X59" s="366">
        <f>SUM(X56:X58)</f>
        <v>-34.75</v>
      </c>
      <c r="Y59" s="367">
        <f>SUM(Y56:Y58)</f>
        <v>59.75</v>
      </c>
      <c r="Z59" s="150"/>
      <c r="AA59" s="150"/>
      <c r="AB59" s="150"/>
      <c r="AC59" s="150"/>
      <c r="AD59" s="150"/>
      <c r="AE59" s="150"/>
      <c r="AF59" s="150"/>
    </row>
    <row r="60" spans="6:32" ht="16.5" customHeight="1"/>
    <row r="61" spans="6:32" ht="16.5" customHeight="1"/>
    <row r="62" spans="6:32" ht="16.5" customHeight="1"/>
    <row r="63" spans="6:32" ht="16.5" customHeight="1"/>
    <row r="64" spans="6:32" ht="16.5" customHeight="1"/>
    <row r="65" ht="16.5" customHeight="1"/>
    <row r="66" ht="16.5" customHeight="1"/>
    <row r="67" ht="16.5" customHeight="1"/>
    <row r="68" ht="16.5" customHeight="1"/>
    <row r="69" ht="16.5" customHeight="1"/>
    <row r="70" ht="16.5" customHeight="1"/>
    <row r="71" ht="16.5" customHeight="1"/>
    <row r="72" ht="16.5" customHeight="1"/>
    <row r="73" ht="16.5" customHeight="1"/>
    <row r="74" ht="16.5" customHeight="1"/>
    <row r="75" ht="16.5" customHeight="1"/>
    <row r="76" ht="16.5" customHeight="1"/>
    <row r="77" ht="16.5" customHeight="1"/>
    <row r="78" ht="16.5" customHeight="1"/>
    <row r="79" ht="16.5" customHeight="1"/>
    <row r="80" ht="16.5" customHeight="1"/>
    <row r="81" ht="16.5" customHeight="1"/>
    <row r="82" ht="16.5" customHeight="1"/>
    <row r="83" ht="16.5" customHeight="1"/>
    <row r="84" ht="16.5" customHeight="1"/>
    <row r="85" ht="16.5" customHeight="1"/>
    <row r="86" ht="16.5" customHeight="1"/>
    <row r="87" ht="16.5" customHeight="1"/>
    <row r="88" ht="16.5" customHeight="1"/>
    <row r="89" ht="16.5" customHeight="1"/>
    <row r="90" ht="16.5" customHeight="1"/>
    <row r="91" ht="16.5" customHeight="1"/>
    <row r="92" ht="16.5" customHeight="1"/>
    <row r="93" ht="16.5" customHeight="1"/>
    <row r="94" ht="16.5" customHeight="1"/>
    <row r="95" ht="16.5" customHeight="1"/>
    <row r="96" ht="16.5" customHeight="1"/>
    <row r="97" ht="16.5" customHeight="1"/>
    <row r="98" ht="16.5" customHeight="1"/>
    <row r="99" ht="16.5" customHeight="1"/>
    <row r="100" ht="16.5" customHeight="1"/>
    <row r="101" ht="16.5" customHeight="1"/>
    <row r="102" ht="16.5" customHeight="1"/>
    <row r="103" ht="16.5" customHeight="1"/>
    <row r="104" ht="16.5" customHeight="1"/>
    <row r="105" ht="16.5" customHeight="1"/>
    <row r="106" ht="16.5" customHeight="1"/>
    <row r="107" ht="16.5" customHeight="1"/>
    <row r="108" ht="16.5" customHeight="1"/>
    <row r="109" ht="16.5" customHeight="1"/>
    <row r="110" ht="16.5" customHeight="1"/>
    <row r="111" ht="16.5" customHeight="1"/>
    <row r="112" ht="16.5" customHeight="1"/>
    <row r="113" ht="16.5" customHeight="1"/>
    <row r="114" ht="16.5" customHeight="1"/>
    <row r="115" ht="16.5" customHeight="1"/>
    <row r="116" ht="16.5" customHeight="1"/>
    <row r="117" ht="16.5" customHeight="1"/>
    <row r="118" ht="16.5" customHeight="1"/>
    <row r="119" ht="16.5" customHeight="1"/>
    <row r="120" ht="16.5" customHeight="1"/>
    <row r="121" ht="16.5" customHeight="1"/>
    <row r="122" ht="16.5" customHeight="1"/>
    <row r="123" ht="16.5" customHeight="1"/>
    <row r="124" ht="16.5" customHeight="1"/>
    <row r="125" ht="16.5" customHeight="1"/>
    <row r="126" ht="16.5" customHeight="1"/>
    <row r="127" ht="16.5" customHeight="1"/>
    <row r="128" ht="16.5" customHeight="1"/>
    <row r="129" ht="16.5" customHeight="1"/>
    <row r="130" ht="16.5" customHeight="1"/>
    <row r="131" ht="16.5" customHeight="1"/>
    <row r="132" ht="16.5" customHeight="1"/>
    <row r="133" ht="16.5" customHeight="1"/>
    <row r="134" ht="16.5" customHeight="1"/>
    <row r="135" ht="16.5" customHeight="1"/>
    <row r="136" ht="16.5" customHeight="1"/>
    <row r="137" ht="16.5" customHeight="1"/>
    <row r="138" ht="16.5" customHeight="1"/>
    <row r="139" ht="16.5" customHeight="1"/>
    <row r="140" ht="16.5" customHeight="1"/>
    <row r="141" ht="16.5" customHeight="1"/>
    <row r="142" ht="16.5" customHeight="1"/>
    <row r="143" ht="16.5" customHeight="1"/>
    <row r="144" ht="16.5" customHeight="1"/>
    <row r="145" ht="16.5" customHeight="1"/>
    <row r="146" ht="16.5" customHeight="1"/>
    <row r="147" ht="16.5" customHeight="1"/>
    <row r="148" ht="16.5" customHeight="1"/>
    <row r="149" ht="16.5" customHeight="1"/>
    <row r="150" ht="16.5" customHeight="1"/>
    <row r="151" ht="16.5" customHeight="1"/>
    <row r="152" ht="16.5" customHeight="1"/>
    <row r="153" ht="16.5" customHeight="1"/>
    <row r="154" ht="16.5" customHeight="1"/>
    <row r="155" ht="16.5" customHeight="1"/>
    <row r="156" ht="16.5" customHeight="1"/>
    <row r="157" ht="16.5" customHeight="1"/>
    <row r="158" ht="16.5" customHeight="1"/>
    <row r="159" ht="16.5" customHeight="1"/>
    <row r="160" ht="16.5" customHeight="1"/>
    <row r="161" ht="16.5" customHeight="1"/>
    <row r="162" ht="16.5" customHeight="1"/>
    <row r="163" ht="16.5" customHeight="1"/>
    <row r="164" ht="16.5" customHeight="1"/>
    <row r="165" ht="16.5" customHeight="1"/>
    <row r="166" ht="16.5" customHeight="1"/>
    <row r="167" ht="16.5" customHeight="1"/>
    <row r="168" ht="16.5" customHeight="1"/>
    <row r="169" ht="16.5" customHeight="1"/>
    <row r="170" ht="16.5" customHeight="1"/>
    <row r="171" ht="16.5" customHeight="1"/>
    <row r="172" ht="16.5" customHeight="1"/>
    <row r="173" ht="16.5" customHeight="1"/>
    <row r="174" ht="16.5" customHeight="1"/>
    <row r="175" ht="16.5" customHeight="1"/>
    <row r="176" ht="16.5" customHeight="1"/>
    <row r="177" ht="16.5" customHeight="1"/>
    <row r="178" ht="16.5" customHeight="1"/>
    <row r="179" ht="16.5" customHeight="1"/>
    <row r="180" ht="16.5" customHeight="1"/>
    <row r="181" ht="16.5" customHeight="1"/>
    <row r="182" ht="16.5" customHeight="1"/>
    <row r="183" ht="16.5" customHeight="1"/>
    <row r="184" ht="16.5" customHeight="1"/>
    <row r="185" ht="16.5" customHeight="1"/>
    <row r="186" ht="16.5" customHeight="1"/>
    <row r="187" ht="16.5" customHeight="1"/>
    <row r="188" ht="16.5" customHeight="1"/>
    <row r="189" ht="16.5" customHeight="1"/>
    <row r="190" ht="16.5" customHeight="1"/>
    <row r="191" ht="16.5" customHeight="1"/>
    <row r="192" ht="16.5" customHeight="1"/>
    <row r="193" ht="16.5" customHeight="1"/>
    <row r="194" ht="16.5" customHeight="1"/>
    <row r="195" ht="16.5" customHeight="1"/>
    <row r="196" ht="16.5" customHeight="1"/>
    <row r="197" ht="16.5" customHeight="1"/>
    <row r="198" ht="16.5" customHeight="1"/>
    <row r="199" ht="16.5" customHeight="1"/>
    <row r="200" ht="16.5" customHeight="1"/>
    <row r="201" ht="16.5" customHeight="1"/>
    <row r="202" ht="16.5" customHeight="1"/>
    <row r="203" ht="16.5" customHeight="1"/>
    <row r="204" ht="16.5" customHeight="1"/>
    <row r="205" ht="16.5" customHeight="1"/>
    <row r="206" ht="16.5" customHeight="1"/>
    <row r="207" ht="16.5" customHeight="1"/>
    <row r="208" ht="16.5" customHeight="1"/>
    <row r="209" ht="16.5" customHeight="1"/>
    <row r="210" ht="16.5" customHeight="1"/>
    <row r="211" ht="16.5" customHeight="1"/>
    <row r="212" ht="16.5" customHeight="1"/>
    <row r="213" ht="16.5" customHeight="1"/>
    <row r="214" ht="16.5" customHeight="1"/>
    <row r="215" ht="16.5" customHeight="1"/>
    <row r="216" ht="16.5" customHeight="1"/>
    <row r="217" ht="16.5" customHeight="1"/>
    <row r="218" ht="16.5" customHeight="1"/>
    <row r="219" ht="16.5" customHeight="1"/>
    <row r="220" ht="16.5" customHeight="1"/>
    <row r="221" ht="16.5" customHeight="1"/>
    <row r="222" ht="16.5" customHeight="1"/>
    <row r="223" ht="16.5" customHeight="1"/>
    <row r="224" ht="16.5" customHeight="1"/>
    <row r="225" ht="16.5" customHeight="1"/>
    <row r="226" ht="16.5" customHeight="1"/>
    <row r="227" ht="16.5" customHeight="1"/>
    <row r="228" ht="16.5" customHeight="1"/>
    <row r="229" ht="16.5" customHeight="1"/>
    <row r="230" ht="16.5" customHeight="1"/>
    <row r="231" ht="16.5" customHeight="1"/>
    <row r="232" ht="16.5" customHeight="1"/>
    <row r="233" ht="16.5" customHeight="1"/>
    <row r="234" ht="16.5" customHeight="1"/>
    <row r="235" ht="16.5" customHeight="1"/>
    <row r="236" ht="16.5" customHeight="1"/>
    <row r="237" ht="16.5" customHeight="1"/>
    <row r="238" ht="16.5" customHeight="1"/>
    <row r="239" ht="16.5" customHeight="1"/>
    <row r="240" ht="16.5" customHeight="1"/>
    <row r="241" ht="16.5" customHeight="1"/>
    <row r="242" ht="16.5" customHeight="1"/>
    <row r="243" ht="16.5" customHeight="1"/>
    <row r="244" ht="16.5" customHeight="1"/>
    <row r="245" ht="16.5" customHeight="1"/>
    <row r="246" ht="16.5" customHeight="1"/>
    <row r="247" ht="16.5" customHeight="1"/>
    <row r="248" ht="16.5" customHeight="1"/>
    <row r="249" ht="16.5" customHeight="1"/>
    <row r="250" ht="16.5" customHeight="1"/>
    <row r="251" ht="16.5" customHeight="1"/>
    <row r="252" ht="16.5" customHeight="1"/>
    <row r="253" ht="16.5" customHeight="1"/>
    <row r="254" ht="16.5" customHeight="1"/>
    <row r="255" ht="16.5" customHeight="1"/>
    <row r="256" ht="16.5" customHeight="1"/>
    <row r="257" ht="16.5" customHeight="1"/>
    <row r="258" ht="16.5" customHeight="1"/>
    <row r="259" ht="16.5" customHeight="1"/>
    <row r="260" ht="16.5" customHeight="1"/>
    <row r="261" ht="16.5" customHeight="1"/>
    <row r="262" ht="16.5" customHeight="1"/>
    <row r="263" ht="16.5" customHeight="1"/>
    <row r="264" ht="16.5" customHeight="1"/>
    <row r="265" ht="16.5" customHeight="1"/>
    <row r="266" ht="16.5" customHeight="1"/>
    <row r="267" ht="16.5" customHeight="1"/>
    <row r="268" ht="16.5" customHeight="1"/>
    <row r="269" ht="16.5" customHeight="1"/>
    <row r="270" ht="16.5" customHeight="1"/>
    <row r="271" ht="16.5" customHeight="1"/>
    <row r="272" ht="16.5" customHeight="1"/>
    <row r="273" ht="16.5" customHeight="1"/>
    <row r="274" ht="16.5" customHeight="1"/>
    <row r="275" ht="16.5" customHeight="1"/>
    <row r="276" ht="16.5" customHeight="1"/>
    <row r="277" ht="16.5" customHeight="1"/>
    <row r="278" ht="16.5" customHeight="1"/>
    <row r="279" ht="16.5" customHeight="1"/>
    <row r="280" ht="16.5" customHeight="1"/>
    <row r="281" ht="16.5" customHeight="1"/>
    <row r="282" ht="16.5" customHeight="1"/>
    <row r="283" ht="16.5" customHeight="1"/>
    <row r="284" ht="16.5" customHeight="1"/>
    <row r="285" ht="16.5" customHeight="1"/>
    <row r="286" ht="16.5" customHeight="1"/>
    <row r="287" ht="16.5" customHeight="1"/>
    <row r="288" ht="16.5" customHeight="1"/>
    <row r="289" ht="16.5" customHeight="1"/>
    <row r="290" ht="16.5" customHeight="1"/>
    <row r="291" ht="16.5" customHeight="1"/>
    <row r="292" ht="16.5" customHeight="1"/>
    <row r="293" ht="16.5" customHeight="1"/>
    <row r="294" ht="16.5" customHeight="1"/>
    <row r="295" ht="16.5" customHeight="1"/>
    <row r="296" ht="16.5" customHeight="1"/>
    <row r="297" ht="16.5" customHeight="1"/>
    <row r="298" ht="16.5" customHeight="1"/>
    <row r="299" ht="16.5" customHeight="1"/>
    <row r="300" ht="16.5" customHeight="1"/>
    <row r="301" ht="16.5" customHeight="1"/>
    <row r="302" ht="16.5" customHeight="1"/>
    <row r="303" ht="16.5" customHeight="1"/>
    <row r="304" ht="16.5" customHeight="1"/>
    <row r="305" ht="16.5" customHeight="1"/>
    <row r="306" ht="16.5" customHeight="1"/>
    <row r="307" ht="16.5" customHeight="1"/>
    <row r="308" ht="16.5" customHeight="1"/>
    <row r="309" ht="16.5" customHeight="1"/>
    <row r="310" ht="16.5" customHeight="1"/>
    <row r="311" ht="16.5" customHeight="1"/>
    <row r="312" ht="16.5" customHeight="1"/>
    <row r="313" ht="16.5" customHeight="1"/>
    <row r="314" ht="16.5" customHeight="1"/>
    <row r="315" ht="16.5" customHeight="1"/>
    <row r="316" ht="16.5" customHeight="1"/>
    <row r="317" ht="16.5" customHeight="1"/>
    <row r="318" ht="16.5" customHeight="1"/>
    <row r="319" ht="16.5" customHeight="1"/>
    <row r="320" ht="16.5" customHeight="1"/>
    <row r="321" ht="16.5" customHeight="1"/>
    <row r="322" ht="16.5" customHeight="1"/>
    <row r="323" ht="16.5" customHeight="1"/>
    <row r="324" ht="16.5" customHeight="1"/>
    <row r="325" ht="16.5" customHeight="1"/>
    <row r="326" ht="16.5" customHeight="1"/>
    <row r="327" ht="16.5" customHeight="1"/>
    <row r="328" ht="16.5" customHeight="1"/>
    <row r="329" ht="16.5" customHeight="1"/>
    <row r="330" ht="16.5" customHeight="1"/>
    <row r="331" ht="16.5" customHeight="1"/>
    <row r="332" ht="16.5" customHeight="1"/>
    <row r="333" ht="16.5" customHeight="1"/>
    <row r="334" ht="16.5" customHeight="1"/>
    <row r="335" ht="16.5" customHeight="1"/>
    <row r="336" ht="16.5" customHeight="1"/>
    <row r="337" ht="16.5" customHeight="1"/>
    <row r="338" ht="16.5" customHeight="1"/>
    <row r="339" ht="16.5" customHeight="1"/>
    <row r="340" ht="16.5" customHeight="1"/>
    <row r="341" ht="16.5" customHeight="1"/>
    <row r="342" ht="16.5" customHeight="1"/>
    <row r="343" ht="16.5" customHeight="1"/>
    <row r="344" ht="16.5" customHeight="1"/>
    <row r="345" ht="16.5" customHeight="1"/>
    <row r="346" ht="16.5" customHeight="1"/>
    <row r="347" ht="16.5" customHeight="1"/>
    <row r="348" ht="16.5" customHeight="1"/>
    <row r="349" ht="16.5" customHeight="1"/>
    <row r="350" ht="16.5" customHeight="1"/>
    <row r="351" ht="16.5" customHeight="1"/>
    <row r="352" ht="16.5" customHeight="1"/>
    <row r="353" ht="16.5" customHeight="1"/>
    <row r="354" ht="16.5" customHeight="1"/>
    <row r="355" ht="16.5" customHeight="1"/>
    <row r="356" ht="16.5" customHeight="1"/>
    <row r="357" ht="16.5" customHeight="1"/>
    <row r="358" ht="16.5" customHeight="1"/>
    <row r="359" ht="16.5" customHeight="1"/>
    <row r="360" ht="16.5" customHeight="1"/>
    <row r="361" ht="16.5" customHeight="1"/>
    <row r="362" ht="16.5" customHeight="1"/>
    <row r="363" ht="16.5" customHeight="1"/>
    <row r="364" ht="16.5" customHeight="1"/>
    <row r="365" ht="16.5" customHeight="1"/>
    <row r="366" ht="16.5" customHeight="1"/>
    <row r="367" ht="16.5" customHeight="1"/>
    <row r="368" ht="16.5" customHeight="1"/>
    <row r="369" ht="16.5" customHeight="1"/>
    <row r="370" ht="16.5" customHeight="1"/>
    <row r="371" ht="16.5" customHeight="1"/>
    <row r="372" ht="16.5" customHeight="1"/>
    <row r="373" ht="16.5" customHeight="1"/>
    <row r="374" ht="16.5" customHeight="1"/>
    <row r="375" ht="16.5" customHeight="1"/>
    <row r="376" ht="16.5" customHeight="1"/>
    <row r="377" ht="16.5" customHeight="1"/>
    <row r="378" ht="16.5" customHeight="1"/>
    <row r="379" ht="16.5" customHeight="1"/>
    <row r="380" ht="16.5" customHeight="1"/>
    <row r="381" ht="16.5" customHeight="1"/>
    <row r="382" ht="16.5" customHeight="1"/>
    <row r="383" ht="16.5" customHeight="1"/>
    <row r="384" ht="16.5" customHeight="1"/>
    <row r="385" ht="16.5" customHeight="1"/>
    <row r="386" ht="16.5" customHeight="1"/>
    <row r="387" ht="16.5" customHeight="1"/>
    <row r="388" ht="16.5" customHeight="1"/>
    <row r="389" ht="16.5" customHeight="1"/>
    <row r="390" ht="16.5" customHeight="1"/>
    <row r="391" ht="16.5" customHeight="1"/>
    <row r="392" ht="16.5" customHeight="1"/>
    <row r="393" ht="16.5" customHeight="1"/>
    <row r="394" ht="16.5" customHeight="1"/>
    <row r="395" ht="16.5" customHeight="1"/>
    <row r="396" ht="16.5" customHeight="1"/>
    <row r="397" ht="16.5" customHeight="1"/>
    <row r="398" ht="16.5" customHeight="1"/>
    <row r="399" ht="16.5" customHeight="1"/>
    <row r="400" ht="16.5" customHeight="1"/>
    <row r="401" ht="16.5" customHeight="1"/>
    <row r="402" ht="16.5" customHeight="1"/>
    <row r="403" ht="16.5" customHeight="1"/>
    <row r="404" ht="16.5" customHeight="1"/>
    <row r="405" ht="16.5" customHeight="1"/>
    <row r="406" ht="16.5" customHeight="1"/>
    <row r="407" ht="16.5" customHeight="1"/>
    <row r="408" ht="16.5" customHeight="1"/>
    <row r="409" ht="16.5" customHeight="1"/>
    <row r="410" ht="16.5" customHeight="1"/>
    <row r="411" ht="16.5" customHeight="1"/>
    <row r="412" ht="16.5" customHeight="1"/>
    <row r="413" ht="16.5" customHeight="1"/>
    <row r="414" ht="16.5" customHeight="1"/>
    <row r="415" ht="16.5" customHeight="1"/>
    <row r="416" ht="16.5" customHeight="1"/>
    <row r="417" ht="16.5" customHeight="1"/>
    <row r="418" ht="16.5" customHeight="1"/>
    <row r="419" ht="16.5" customHeight="1"/>
    <row r="420" ht="16.5" customHeight="1"/>
    <row r="421" ht="16.5" customHeight="1"/>
    <row r="422" ht="16.5" customHeight="1"/>
    <row r="423" ht="16.5" customHeight="1"/>
    <row r="424" ht="16.5" customHeight="1"/>
    <row r="425" ht="16.5" customHeight="1"/>
    <row r="426" ht="16.5" customHeight="1"/>
    <row r="427" ht="16.5" customHeight="1"/>
    <row r="428" ht="16.5" customHeight="1"/>
    <row r="429" ht="16.5" customHeight="1"/>
    <row r="430" ht="16.5" customHeight="1"/>
    <row r="431" ht="16.5" customHeight="1"/>
    <row r="432" ht="16.5" customHeight="1"/>
    <row r="433" ht="16.5" customHeight="1"/>
    <row r="434" ht="16.5" customHeight="1"/>
    <row r="435" ht="16.5" customHeight="1"/>
    <row r="436" ht="16.5" customHeight="1"/>
    <row r="437" ht="16.5" customHeight="1"/>
    <row r="438" ht="16.5" customHeight="1"/>
    <row r="439" ht="16.5" customHeight="1"/>
    <row r="440" ht="16.5" customHeight="1"/>
    <row r="441" ht="16.5" customHeight="1"/>
    <row r="442" ht="16.5" customHeight="1"/>
    <row r="443" ht="16.5" customHeight="1"/>
    <row r="444" ht="16.5" customHeight="1"/>
    <row r="445" ht="16.5" customHeight="1"/>
    <row r="446" ht="16.5" customHeight="1"/>
    <row r="447" ht="16.5" customHeight="1"/>
    <row r="448" ht="16.5" customHeight="1"/>
    <row r="449" ht="16.5" customHeight="1"/>
    <row r="450" ht="16.5" customHeight="1"/>
    <row r="451" ht="16.5" customHeight="1"/>
    <row r="452" ht="16.5" customHeight="1"/>
    <row r="453" ht="16.5" customHeight="1"/>
    <row r="454" ht="16.5" customHeight="1"/>
    <row r="455" ht="16.5" customHeight="1"/>
    <row r="456" ht="16.5" customHeight="1"/>
    <row r="457" ht="16.5" customHeight="1"/>
    <row r="458" ht="16.5" customHeight="1"/>
    <row r="459" ht="16.5" customHeight="1"/>
    <row r="460" ht="16.5" customHeight="1"/>
    <row r="461" ht="16.5" customHeight="1"/>
    <row r="462" ht="16.5" customHeight="1"/>
    <row r="463" ht="16.5" customHeight="1"/>
    <row r="464" ht="16.5" customHeight="1"/>
    <row r="465" ht="16.5" customHeight="1"/>
    <row r="466" ht="16.5" customHeight="1"/>
    <row r="467" ht="16.5" customHeight="1"/>
    <row r="468" ht="16.5" customHeight="1"/>
    <row r="469" ht="16.5" customHeight="1"/>
    <row r="470" ht="16.5" customHeight="1"/>
    <row r="471" ht="16.5" customHeight="1"/>
    <row r="472" ht="16.5" customHeight="1"/>
    <row r="473" ht="16.5" customHeight="1"/>
    <row r="474" ht="16.5" customHeight="1"/>
    <row r="475" ht="16.5" customHeight="1"/>
    <row r="476" ht="16.5" customHeight="1"/>
    <row r="477" ht="16.5" customHeight="1"/>
    <row r="478" ht="16.5" customHeight="1"/>
    <row r="479" ht="16.5" customHeight="1"/>
    <row r="480" ht="16.5" customHeight="1"/>
    <row r="481" ht="16.5" customHeight="1"/>
    <row r="482" ht="16.5" customHeight="1"/>
    <row r="483" ht="16.5" customHeight="1"/>
    <row r="484" ht="16.5" customHeight="1"/>
    <row r="485" ht="16.5" customHeight="1"/>
    <row r="486" ht="16.5" customHeight="1"/>
    <row r="487" ht="16.5" customHeight="1"/>
    <row r="488" ht="16.5" customHeight="1"/>
    <row r="489" ht="16.5" customHeight="1"/>
    <row r="490" ht="16.5" customHeight="1"/>
    <row r="491" ht="16.5" customHeight="1"/>
    <row r="492" ht="16.5" customHeight="1"/>
    <row r="493" ht="16.5" customHeight="1"/>
    <row r="494" ht="16.5" customHeight="1"/>
    <row r="495" ht="16.5" customHeight="1"/>
    <row r="496" ht="16.5" customHeight="1"/>
    <row r="497" ht="16.5" customHeight="1"/>
    <row r="498" ht="16.5" customHeight="1"/>
    <row r="499" ht="16.5" customHeight="1"/>
    <row r="500" ht="16.5" customHeight="1"/>
    <row r="501" ht="16.5" customHeight="1"/>
    <row r="502" ht="16.5" customHeight="1"/>
    <row r="503" ht="16.5" customHeight="1"/>
    <row r="504" ht="16.5" customHeight="1"/>
    <row r="505" ht="16.5" customHeight="1"/>
    <row r="506" ht="16.5" customHeight="1"/>
    <row r="507" ht="16.5" customHeight="1"/>
    <row r="508" ht="16.5" customHeight="1"/>
    <row r="509" ht="16.5" customHeight="1"/>
    <row r="510" ht="16.5" customHeight="1"/>
    <row r="511" ht="16.5" customHeight="1"/>
    <row r="512" ht="16.5" customHeight="1"/>
    <row r="513" ht="16.5" customHeight="1"/>
    <row r="514" ht="16.5" customHeight="1"/>
    <row r="515" ht="16.5" customHeight="1"/>
    <row r="516" ht="16.5" customHeight="1"/>
    <row r="517" ht="16.5" customHeight="1"/>
    <row r="518" ht="16.5" customHeight="1"/>
    <row r="519" ht="16.5" customHeight="1"/>
    <row r="520" ht="16.5" customHeight="1"/>
    <row r="521" ht="16.5" customHeight="1"/>
    <row r="522" ht="16.5" customHeight="1"/>
    <row r="523" ht="16.5" customHeight="1"/>
    <row r="524" ht="16.5" customHeight="1"/>
    <row r="525" ht="16.5" customHeight="1"/>
    <row r="526" ht="16.5" customHeight="1"/>
    <row r="527" ht="16.5" customHeight="1"/>
    <row r="528" ht="16.5" customHeight="1"/>
    <row r="529" ht="16.5" customHeight="1"/>
    <row r="530" ht="16.5" customHeight="1"/>
    <row r="531" ht="16.5" customHeight="1"/>
    <row r="532" ht="16.5" customHeight="1"/>
    <row r="533" ht="16.5" customHeight="1"/>
    <row r="534" ht="16.5" customHeight="1"/>
    <row r="535" ht="16.5" customHeight="1"/>
    <row r="536" ht="16.5" customHeight="1"/>
    <row r="537" ht="16.5" customHeight="1"/>
    <row r="538" ht="16.5" customHeight="1"/>
    <row r="539" ht="16.5" customHeight="1"/>
    <row r="540" ht="16.5" customHeight="1"/>
    <row r="541" ht="16.5" customHeight="1"/>
    <row r="542" ht="16.5" customHeight="1"/>
    <row r="543" ht="16.5" customHeight="1"/>
    <row r="544" ht="16.5" customHeight="1"/>
    <row r="545" ht="16.5" customHeight="1"/>
    <row r="546" ht="16.5" customHeight="1"/>
    <row r="547" ht="16.5" customHeight="1"/>
    <row r="548" ht="16.5" customHeight="1"/>
    <row r="549" ht="16.5" customHeight="1"/>
    <row r="550" ht="16.5" customHeight="1"/>
    <row r="551" ht="16.5" customHeight="1"/>
    <row r="552" ht="16.5" customHeight="1"/>
    <row r="553" ht="16.5" customHeight="1"/>
    <row r="554" ht="16.5" customHeight="1"/>
    <row r="555" ht="16.5" customHeight="1"/>
    <row r="556" ht="16.5" customHeight="1"/>
    <row r="557" ht="16.5" customHeight="1"/>
    <row r="558" ht="16.5" customHeight="1"/>
    <row r="559" ht="16.5" customHeight="1"/>
    <row r="560" ht="16.5" customHeight="1"/>
    <row r="561" ht="16.5" customHeight="1"/>
    <row r="562" ht="16.5" customHeight="1"/>
    <row r="563" ht="16.5" customHeight="1"/>
    <row r="564" ht="16.5" customHeight="1"/>
    <row r="565" ht="16.5" customHeight="1"/>
    <row r="566" ht="16.5" customHeight="1"/>
    <row r="567" ht="16.5" customHeight="1"/>
    <row r="568" ht="16.5" customHeight="1"/>
    <row r="569" ht="16.5" customHeight="1"/>
    <row r="570" ht="16.5" customHeight="1"/>
    <row r="571" ht="16.5" customHeight="1"/>
    <row r="572" ht="16.5" customHeight="1"/>
    <row r="573" ht="16.5" customHeight="1"/>
    <row r="574" ht="16.5" customHeight="1"/>
    <row r="575" ht="16.5" customHeight="1"/>
    <row r="576" ht="16.5" customHeight="1"/>
    <row r="577" ht="16.5" customHeight="1"/>
    <row r="578" ht="16.5" customHeight="1"/>
    <row r="579" ht="16.5" customHeight="1"/>
    <row r="580" ht="16.5" customHeight="1"/>
    <row r="581" ht="16.5" customHeight="1"/>
    <row r="582" ht="16.5" customHeight="1"/>
    <row r="583" ht="16.5" customHeight="1"/>
    <row r="584" ht="16.5" customHeight="1"/>
    <row r="585" ht="16.5" customHeight="1"/>
    <row r="586" ht="16.5" customHeight="1"/>
    <row r="587" ht="16.5" customHeight="1"/>
    <row r="588" ht="16.5" customHeight="1"/>
    <row r="589" ht="16.5" customHeight="1"/>
    <row r="590" ht="16.5" customHeight="1"/>
    <row r="591" ht="16.5" customHeight="1"/>
    <row r="592" ht="16.5" customHeight="1"/>
    <row r="593" ht="16.5" customHeight="1"/>
    <row r="594" ht="16.5" customHeight="1"/>
    <row r="595" ht="16.5" customHeight="1"/>
    <row r="596" ht="16.5" customHeight="1"/>
    <row r="597" ht="16.5" customHeight="1"/>
    <row r="598" ht="16.5" customHeight="1"/>
    <row r="599" ht="16.5" customHeight="1"/>
    <row r="600" ht="16.5" customHeight="1"/>
    <row r="601" ht="16.5" customHeight="1"/>
    <row r="602" ht="16.5" customHeight="1"/>
    <row r="603" ht="16.5" customHeight="1"/>
    <row r="604" ht="16.5" customHeight="1"/>
    <row r="605" ht="16.5" customHeight="1"/>
    <row r="606" ht="16.5" customHeight="1"/>
    <row r="607" ht="16.5" customHeight="1"/>
    <row r="608" ht="16.5" customHeight="1"/>
    <row r="609" ht="16.5" customHeight="1"/>
    <row r="610" ht="16.5" customHeight="1"/>
    <row r="611" ht="16.5" customHeight="1"/>
    <row r="612" ht="16.5" customHeight="1"/>
    <row r="613" ht="16.5" customHeight="1"/>
    <row r="614" ht="16.5" customHeight="1"/>
    <row r="615" ht="16.5" customHeight="1"/>
    <row r="616" ht="16.5" customHeight="1"/>
    <row r="617" ht="16.5" customHeight="1"/>
    <row r="618" ht="16.5" customHeight="1"/>
    <row r="619" ht="16.5" customHeight="1"/>
    <row r="620" ht="16.5" customHeight="1"/>
    <row r="621" ht="16.5" customHeight="1"/>
    <row r="622" ht="16.5" customHeight="1"/>
    <row r="623" ht="16.5" customHeight="1"/>
    <row r="624" ht="16.5" customHeight="1"/>
    <row r="625" ht="16.5" customHeight="1"/>
    <row r="626" ht="16.5" customHeight="1"/>
    <row r="627" ht="16.5" customHeight="1"/>
    <row r="628" ht="16.5" customHeight="1"/>
    <row r="629" ht="16.5" customHeight="1"/>
    <row r="630" ht="16.5" customHeight="1"/>
    <row r="631" ht="16.5" customHeight="1"/>
    <row r="632" ht="16.5" customHeight="1"/>
    <row r="633" ht="16.5" customHeight="1"/>
    <row r="634" ht="16.5" customHeight="1"/>
    <row r="635" ht="16.5" customHeight="1"/>
    <row r="636" ht="16.5" customHeight="1"/>
    <row r="637" ht="16.5" customHeight="1"/>
    <row r="638" ht="16.5" customHeight="1"/>
    <row r="639" ht="16.5" customHeight="1"/>
    <row r="640" ht="16.5" customHeight="1"/>
    <row r="641" ht="16.5" customHeight="1"/>
    <row r="642" ht="16.5" customHeight="1"/>
    <row r="643" ht="16.5" customHeight="1"/>
    <row r="644" ht="16.5" customHeight="1"/>
    <row r="645" ht="16.5" customHeight="1"/>
    <row r="646" ht="16.5" customHeight="1"/>
    <row r="647" ht="16.5" customHeight="1"/>
    <row r="648" ht="16.5" customHeight="1"/>
    <row r="649" ht="16.5" customHeight="1"/>
    <row r="650" ht="16.5" customHeight="1"/>
    <row r="651" ht="16.5" customHeight="1"/>
    <row r="652" ht="16.5" customHeight="1"/>
    <row r="653" ht="16.5" customHeight="1"/>
    <row r="654" ht="16.5" customHeight="1"/>
    <row r="655" ht="16.5" customHeight="1"/>
    <row r="656" ht="16.5" customHeight="1"/>
    <row r="657" ht="16.5" customHeight="1"/>
    <row r="658" ht="16.5" customHeight="1"/>
    <row r="659" ht="16.5" customHeight="1"/>
    <row r="660" ht="16.5" customHeight="1"/>
    <row r="661" ht="16.5" customHeight="1"/>
    <row r="662" ht="16.5" customHeight="1"/>
    <row r="663" ht="16.5" customHeight="1"/>
    <row r="664" ht="16.5" customHeight="1"/>
    <row r="665" ht="16.5" customHeight="1"/>
    <row r="666" ht="16.5" customHeight="1"/>
    <row r="667" ht="16.5" customHeight="1"/>
    <row r="668" ht="16.5" customHeight="1"/>
    <row r="669" ht="16.5" customHeight="1"/>
    <row r="670" ht="16.5" customHeight="1"/>
    <row r="671" ht="16.5" customHeight="1"/>
    <row r="672" ht="16.5" customHeight="1"/>
    <row r="673" ht="16.5" customHeight="1"/>
    <row r="674" ht="16.5" customHeight="1"/>
    <row r="675" ht="16.5" customHeight="1"/>
    <row r="676" ht="16.5" customHeight="1"/>
    <row r="677" ht="16.5" customHeight="1"/>
    <row r="678" ht="16.5" customHeight="1"/>
    <row r="679" ht="16.5" customHeight="1"/>
    <row r="680" ht="16.5" customHeight="1"/>
    <row r="681" ht="16.5" customHeight="1"/>
    <row r="682" ht="16.5" customHeight="1"/>
    <row r="683" ht="16.5" customHeight="1"/>
    <row r="684" ht="16.5" customHeight="1"/>
    <row r="685" ht="16.5" customHeight="1"/>
    <row r="686" ht="16.5" customHeight="1"/>
    <row r="687" ht="16.5" customHeight="1"/>
    <row r="688" ht="16.5" customHeight="1"/>
    <row r="689" ht="16.5" customHeight="1"/>
    <row r="690" ht="16.5" customHeight="1"/>
    <row r="691" ht="16.5" customHeight="1"/>
    <row r="692" ht="16.5" customHeight="1"/>
    <row r="693" ht="16.5" customHeight="1"/>
    <row r="694" ht="16.5" customHeight="1"/>
    <row r="695" ht="16.5" customHeight="1"/>
    <row r="696" ht="16.5" customHeight="1"/>
    <row r="697" ht="16.5" customHeight="1"/>
    <row r="698" ht="16.5" customHeight="1"/>
    <row r="699" ht="16.5" customHeight="1"/>
    <row r="700" ht="16.5" customHeight="1"/>
    <row r="701" ht="16.5" customHeight="1"/>
    <row r="702" ht="16.5" customHeight="1"/>
    <row r="703" ht="16.5" customHeight="1"/>
    <row r="704" ht="16.5" customHeight="1"/>
    <row r="705" ht="16.5" customHeight="1"/>
    <row r="706" ht="16.5" customHeight="1"/>
    <row r="707" ht="16.5" customHeight="1"/>
    <row r="708" ht="16.5" customHeight="1"/>
    <row r="709" ht="16.5" customHeight="1"/>
    <row r="710" ht="16.5" customHeight="1"/>
    <row r="711" ht="16.5" customHeight="1"/>
    <row r="712" ht="16.5" customHeight="1"/>
    <row r="713" ht="16.5" customHeight="1"/>
    <row r="714" ht="16.5" customHeight="1"/>
    <row r="715" ht="16.5" customHeight="1"/>
    <row r="716" ht="16.5" customHeight="1"/>
    <row r="717" ht="16.5" customHeight="1"/>
    <row r="718" ht="16.5" customHeight="1"/>
    <row r="719" ht="16.5" customHeight="1"/>
    <row r="720" ht="16.5" customHeight="1"/>
    <row r="721" ht="16.5" customHeight="1"/>
    <row r="722" ht="16.5" customHeight="1"/>
    <row r="723" ht="16.5" customHeight="1"/>
    <row r="724" ht="16.5" customHeight="1"/>
    <row r="725" ht="16.5" customHeight="1"/>
    <row r="726" ht="16.5" customHeight="1"/>
    <row r="727" ht="16.5" customHeight="1"/>
    <row r="728" ht="16.5" customHeight="1"/>
    <row r="729" ht="16.5" customHeight="1"/>
    <row r="730" ht="16.5" customHeight="1"/>
    <row r="731" ht="16.5" customHeight="1"/>
    <row r="732" ht="16.5" customHeight="1"/>
    <row r="733" ht="16.5" customHeight="1"/>
    <row r="734" ht="16.5" customHeight="1"/>
    <row r="735" ht="16.5" customHeight="1"/>
    <row r="736" ht="16.5" customHeight="1"/>
    <row r="737" ht="16.5" customHeight="1"/>
    <row r="738" ht="16.5" customHeight="1"/>
    <row r="739" ht="16.5" customHeight="1"/>
    <row r="740" ht="16.5" customHeight="1"/>
    <row r="741" ht="16.5" customHeight="1"/>
    <row r="742" ht="16.5" customHeight="1"/>
    <row r="743" ht="16.5" customHeight="1"/>
    <row r="744" ht="16.5" customHeight="1"/>
    <row r="745" ht="16.5" customHeight="1"/>
    <row r="746" ht="16.5" customHeight="1"/>
    <row r="747" ht="16.5" customHeight="1"/>
    <row r="748" ht="16.5" customHeight="1"/>
    <row r="749" ht="16.5" customHeight="1"/>
    <row r="750" ht="16.5" customHeight="1"/>
    <row r="751" ht="16.5" customHeight="1"/>
    <row r="752" ht="16.5" customHeight="1"/>
    <row r="753" ht="16.5" customHeight="1"/>
    <row r="754" ht="16.5" customHeight="1"/>
    <row r="755" ht="16.5" customHeight="1"/>
    <row r="756" ht="16.5" customHeight="1"/>
    <row r="757" ht="16.5" customHeight="1"/>
    <row r="758" ht="16.5" customHeight="1"/>
    <row r="759" ht="16.5" customHeight="1"/>
    <row r="760" ht="16.5" customHeight="1"/>
    <row r="761" ht="16.5" customHeight="1"/>
    <row r="762" ht="16.5" customHeight="1"/>
    <row r="763" ht="16.5" customHeight="1"/>
    <row r="764" ht="16.5" customHeight="1"/>
    <row r="765" ht="16.5" customHeight="1"/>
    <row r="766" ht="16.5" customHeight="1"/>
    <row r="767" ht="16.5" customHeight="1"/>
    <row r="768" ht="16.5" customHeight="1"/>
    <row r="769" ht="16.5" customHeight="1"/>
    <row r="770" ht="16.5" customHeight="1"/>
    <row r="771" ht="16.5" customHeight="1"/>
    <row r="772" ht="16.5" customHeight="1"/>
    <row r="773" ht="16.5" customHeight="1"/>
    <row r="774" ht="16.5" customHeight="1"/>
    <row r="775" ht="16.5" customHeight="1"/>
    <row r="776" ht="16.5" customHeight="1"/>
    <row r="777" ht="16.5" customHeight="1"/>
    <row r="778" ht="16.5" customHeight="1"/>
    <row r="779" ht="16.5" customHeight="1"/>
    <row r="780" ht="16.5" customHeight="1"/>
    <row r="781" ht="16.5" customHeight="1"/>
    <row r="782" ht="16.5" customHeight="1"/>
    <row r="783" ht="16.5" customHeight="1"/>
    <row r="784" ht="16.5" customHeight="1"/>
    <row r="785" ht="16.5" customHeight="1"/>
    <row r="786" ht="16.5" customHeight="1"/>
    <row r="787" ht="16.5" customHeight="1"/>
    <row r="788" ht="16.5" customHeight="1"/>
    <row r="789" ht="16.5" customHeight="1"/>
    <row r="790" ht="16.5" customHeight="1"/>
    <row r="791" ht="16.5" customHeight="1"/>
    <row r="792" ht="16.5" customHeight="1"/>
    <row r="793" ht="16.5" customHeight="1"/>
    <row r="794" ht="16.5" customHeight="1"/>
    <row r="795" ht="16.5" customHeight="1"/>
    <row r="796" ht="16.5" customHeight="1"/>
    <row r="797" ht="16.5" customHeight="1"/>
    <row r="798" ht="16.5" customHeight="1"/>
    <row r="799" ht="16.5" customHeight="1"/>
    <row r="800" ht="16.5" customHeight="1"/>
    <row r="801" ht="16.5" customHeight="1"/>
    <row r="802" ht="16.5" customHeight="1"/>
    <row r="803" ht="16.5" customHeight="1"/>
    <row r="804" ht="16.5" customHeight="1"/>
    <row r="805" ht="16.5" customHeight="1"/>
    <row r="806" ht="16.5" customHeight="1"/>
    <row r="807" ht="16.5" customHeight="1"/>
    <row r="808" ht="16.5" customHeight="1"/>
    <row r="809" ht="16.5" customHeight="1"/>
    <row r="810" ht="16.5" customHeight="1"/>
    <row r="811" ht="16.5" customHeight="1"/>
    <row r="812" ht="16.5" customHeight="1"/>
    <row r="813" ht="16.5" customHeight="1"/>
    <row r="814" ht="16.5" customHeight="1"/>
    <row r="815" ht="16.5" customHeight="1"/>
    <row r="816" ht="16.5" customHeight="1"/>
    <row r="817" ht="16.5" customHeight="1"/>
    <row r="818" ht="16.5" customHeight="1"/>
    <row r="819" ht="16.5" customHeight="1"/>
    <row r="820" ht="16.5" customHeight="1"/>
    <row r="821" ht="16.5" customHeight="1"/>
    <row r="822" ht="16.5" customHeight="1"/>
    <row r="823" ht="16.5" customHeight="1"/>
    <row r="824" ht="16.5" customHeight="1"/>
    <row r="825" ht="16.5" customHeight="1"/>
    <row r="826" ht="16.5" customHeight="1"/>
    <row r="827" ht="16.5" customHeight="1"/>
    <row r="828" ht="16.5" customHeight="1"/>
    <row r="829" ht="16.5" customHeight="1"/>
    <row r="830" ht="16.5" customHeight="1"/>
    <row r="831" ht="16.5" customHeight="1"/>
    <row r="832" ht="16.5" customHeight="1"/>
    <row r="833" ht="16.5" customHeight="1"/>
    <row r="834" ht="16.5" customHeight="1"/>
    <row r="835" ht="16.5" customHeight="1"/>
    <row r="836" ht="16.5" customHeight="1"/>
    <row r="837" ht="16.5" customHeight="1"/>
    <row r="838" ht="16.5" customHeight="1"/>
    <row r="839" ht="16.5" customHeight="1"/>
    <row r="840" ht="16.5" customHeight="1"/>
    <row r="841" ht="16.5" customHeight="1"/>
    <row r="842" ht="16.5" customHeight="1"/>
    <row r="843" ht="16.5" customHeight="1"/>
    <row r="844" ht="16.5" customHeight="1"/>
    <row r="845" ht="16.5" customHeight="1"/>
    <row r="846" ht="16.5" customHeight="1"/>
    <row r="847" ht="16.5" customHeight="1"/>
    <row r="848" ht="16.5" customHeight="1"/>
    <row r="849" ht="16.5" customHeight="1"/>
    <row r="850" ht="16.5" customHeight="1"/>
    <row r="851" ht="16.5" customHeight="1"/>
    <row r="852" ht="16.5" customHeight="1"/>
    <row r="853" ht="16.5" customHeight="1"/>
    <row r="854" ht="16.5" customHeight="1"/>
    <row r="855" ht="16.5" customHeight="1"/>
    <row r="856" ht="16.5" customHeight="1"/>
    <row r="857" ht="16.5" customHeight="1"/>
    <row r="858" ht="16.5" customHeight="1"/>
    <row r="859" ht="16.5" customHeight="1"/>
    <row r="860" ht="16.5" customHeight="1"/>
    <row r="861" ht="16.5" customHeight="1"/>
    <row r="862" ht="16.5" customHeight="1"/>
    <row r="863" ht="16.5" customHeight="1"/>
    <row r="864" ht="16.5" customHeight="1"/>
    <row r="865" ht="16.5" customHeight="1"/>
    <row r="866" ht="16.5" customHeight="1"/>
    <row r="867" ht="16.5" customHeight="1"/>
    <row r="868" ht="16.5" customHeight="1"/>
    <row r="869" ht="16.5" customHeight="1"/>
    <row r="870" ht="16.5" customHeight="1"/>
    <row r="871" ht="16.5" customHeight="1"/>
    <row r="872" ht="16.5" customHeight="1"/>
    <row r="873" ht="16.5" customHeight="1"/>
    <row r="874" ht="16.5" customHeight="1"/>
    <row r="875" ht="16.5" customHeight="1"/>
    <row r="876" ht="16.5" customHeight="1"/>
    <row r="877" ht="16.5" customHeight="1"/>
    <row r="878" ht="16.5" customHeight="1"/>
    <row r="879" ht="16.5" customHeight="1"/>
    <row r="880" ht="16.5" customHeight="1"/>
    <row r="881" ht="16.5" customHeight="1"/>
    <row r="882" ht="16.5" customHeight="1"/>
    <row r="883" ht="16.5" customHeight="1"/>
    <row r="884" ht="16.5" customHeight="1"/>
    <row r="885" ht="16.5" customHeight="1"/>
    <row r="886" ht="16.5" customHeight="1"/>
    <row r="887" ht="16.5" customHeight="1"/>
    <row r="888" ht="16.5" customHeight="1"/>
    <row r="889" ht="16.5" customHeight="1"/>
    <row r="890" ht="16.5" customHeight="1"/>
    <row r="891" ht="16.5" customHeight="1"/>
    <row r="892" ht="16.5" customHeight="1"/>
    <row r="893" ht="16.5" customHeight="1"/>
    <row r="894" ht="16.5" customHeight="1"/>
    <row r="895" ht="16.5" customHeight="1"/>
    <row r="896" ht="16.5" customHeight="1"/>
    <row r="897" ht="16.5" customHeight="1"/>
    <row r="898" ht="16.5" customHeight="1"/>
    <row r="899" ht="16.5" customHeight="1"/>
    <row r="900" ht="16.5" customHeight="1"/>
    <row r="901" ht="16.5" customHeight="1"/>
    <row r="902" ht="16.5" customHeight="1"/>
    <row r="903" ht="16.5" customHeight="1"/>
    <row r="904" ht="16.5" customHeight="1"/>
    <row r="905" ht="16.5" customHeight="1"/>
    <row r="906" ht="16.5" customHeight="1"/>
    <row r="907" ht="16.5" customHeight="1"/>
    <row r="908" ht="16.5" customHeight="1"/>
    <row r="909" ht="16.5" customHeight="1"/>
    <row r="910" ht="16.5" customHeight="1"/>
    <row r="911" ht="16.5" customHeight="1"/>
    <row r="912" ht="16.5" customHeight="1"/>
    <row r="913" ht="16.5" customHeight="1"/>
    <row r="914" ht="16.5" customHeight="1"/>
    <row r="915" ht="16.5" customHeight="1"/>
    <row r="916" ht="16.5" customHeight="1"/>
    <row r="917" ht="16.5" customHeight="1"/>
    <row r="918" ht="16.5" customHeight="1"/>
    <row r="919" ht="16.5" customHeight="1"/>
    <row r="920" ht="16.5" customHeight="1"/>
    <row r="921" ht="16.5" customHeight="1"/>
    <row r="922" ht="16.5" customHeight="1"/>
    <row r="923" ht="16.5" customHeight="1"/>
    <row r="924" ht="16.5" customHeight="1"/>
    <row r="925" ht="16.5" customHeight="1"/>
    <row r="926" ht="16.5" customHeight="1"/>
    <row r="927" ht="16.5" customHeight="1"/>
    <row r="928" ht="16.5" customHeight="1"/>
    <row r="929" ht="16.5" customHeight="1"/>
    <row r="930" ht="16.5" customHeight="1"/>
    <row r="931" ht="16.5" customHeight="1"/>
    <row r="932" ht="16.5" customHeight="1"/>
    <row r="933" ht="16.5" customHeight="1"/>
    <row r="934" ht="16.5" customHeight="1"/>
    <row r="935" ht="16.5" customHeight="1"/>
    <row r="936" ht="16.5" customHeight="1"/>
    <row r="937" ht="16.5" customHeight="1"/>
    <row r="938" ht="16.5" customHeight="1"/>
    <row r="939" ht="16.5" customHeight="1"/>
    <row r="940" ht="16.5" customHeight="1"/>
    <row r="941" ht="16.5" customHeight="1"/>
    <row r="942" ht="16.5" customHeight="1"/>
    <row r="943" ht="16.5" customHeight="1"/>
    <row r="944" ht="16.5" customHeight="1"/>
    <row r="945" ht="16.5" customHeight="1"/>
    <row r="946" ht="16.5" customHeight="1"/>
    <row r="947" ht="16.5" customHeight="1"/>
    <row r="948" ht="16.5" customHeight="1"/>
    <row r="949" ht="16.5" customHeight="1"/>
    <row r="950" ht="16.5" customHeight="1"/>
    <row r="951" ht="16.5" customHeight="1"/>
    <row r="952" ht="16.5" customHeight="1"/>
    <row r="953" ht="16.5" customHeight="1"/>
    <row r="954" ht="16.5" customHeight="1"/>
    <row r="955" ht="16.5" customHeight="1"/>
    <row r="956" ht="16.5" customHeight="1"/>
    <row r="957" ht="16.5" customHeight="1"/>
    <row r="958" ht="16.5" customHeight="1"/>
    <row r="959" ht="16.5" customHeight="1"/>
    <row r="960" ht="16.5" customHeight="1"/>
    <row r="961" ht="16.5" customHeight="1"/>
    <row r="962" ht="16.5" customHeight="1"/>
    <row r="963" ht="16.5" customHeight="1"/>
    <row r="964" ht="16.5" customHeight="1"/>
    <row r="965" ht="16.5" customHeight="1"/>
  </sheetData>
  <mergeCells count="12">
    <mergeCell ref="AH7:AH10"/>
    <mergeCell ref="AH11:AH12"/>
    <mergeCell ref="AH13:AH14"/>
    <mergeCell ref="L46:L48"/>
    <mergeCell ref="L49:N49"/>
    <mergeCell ref="C37:E37"/>
    <mergeCell ref="L43:L45"/>
    <mergeCell ref="C3:AA3"/>
    <mergeCell ref="C4:D4"/>
    <mergeCell ref="L5:M5"/>
    <mergeCell ref="N5:W5"/>
    <mergeCell ref="C7:C8"/>
  </mergeCells>
  <phoneticPr fontId="22" type="noConversion"/>
  <pageMargins left="0.70866141732283472" right="0.70866141732283472" top="0.74803149606299213" bottom="0.74803149606299213" header="0" footer="0"/>
  <pageSetup paperSize="9" scale="40" orientation="landscape" r:id="rId1"/>
  <ignoredErrors>
    <ignoredError sqref="AD5" twoDigitTextYear="1"/>
  </ignoredErrors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L999"/>
  <sheetViews>
    <sheetView showGridLines="0" zoomScale="80" zoomScaleNormal="80" workbookViewId="0">
      <pane xSplit="11" ySplit="6" topLeftCell="L7" activePane="bottomRight" state="frozen"/>
      <selection pane="topRight" activeCell="L1" sqref="L1"/>
      <selection pane="bottomLeft" activeCell="A7" sqref="A7"/>
      <selection pane="bottomRight"/>
    </sheetView>
  </sheetViews>
  <sheetFormatPr baseColWidth="10" defaultColWidth="14.5" defaultRowHeight="15" customHeight="1"/>
  <cols>
    <col min="1" max="1" width="3.1640625" customWidth="1"/>
    <col min="2" max="2" width="2.1640625" customWidth="1"/>
    <col min="3" max="3" width="8.83203125" customWidth="1"/>
    <col min="4" max="4" width="27.83203125" customWidth="1"/>
    <col min="5" max="5" width="7.83203125" customWidth="1"/>
    <col min="6" max="6" width="11" customWidth="1"/>
    <col min="7" max="7" width="8.1640625" customWidth="1"/>
    <col min="8" max="9" width="8.83203125" customWidth="1"/>
    <col min="10" max="11" width="8.83203125" hidden="1" customWidth="1"/>
    <col min="12" max="26" width="9.83203125" customWidth="1"/>
    <col min="27" max="34" width="8.83203125" hidden="1" customWidth="1"/>
    <col min="35" max="35" width="8.83203125" customWidth="1"/>
    <col min="36" max="36" width="3.1640625" customWidth="1"/>
    <col min="37" max="37" width="2" customWidth="1"/>
    <col min="38" max="38" width="8.83203125" customWidth="1"/>
  </cols>
  <sheetData>
    <row r="1" spans="1:38" ht="16.5" customHeight="1">
      <c r="A1" s="19"/>
      <c r="B1" s="19"/>
      <c r="C1" s="19"/>
      <c r="D1" s="19"/>
      <c r="E1" s="20"/>
      <c r="F1" s="20"/>
      <c r="G1" s="20"/>
      <c r="H1" s="20"/>
      <c r="I1" s="19"/>
      <c r="J1" s="19"/>
      <c r="K1" s="19"/>
      <c r="L1" s="20"/>
      <c r="M1" s="20"/>
      <c r="N1" s="20"/>
      <c r="O1" s="20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19"/>
      <c r="AK1" s="19"/>
    </row>
    <row r="2" spans="1:38" ht="16.5" customHeight="1">
      <c r="A2" s="19"/>
      <c r="B2" s="21"/>
      <c r="C2" s="22"/>
      <c r="D2" s="22"/>
      <c r="E2" s="23"/>
      <c r="F2" s="23"/>
      <c r="G2" s="23"/>
      <c r="H2" s="23"/>
      <c r="I2" s="22"/>
      <c r="J2" s="22"/>
      <c r="K2" s="22"/>
      <c r="L2" s="23"/>
      <c r="M2" s="23"/>
      <c r="N2" s="23"/>
      <c r="O2" s="23"/>
      <c r="P2" s="23"/>
      <c r="Q2" s="23"/>
      <c r="R2" s="23"/>
      <c r="S2" s="23"/>
      <c r="T2" s="23"/>
      <c r="U2" s="23"/>
      <c r="V2" s="23"/>
      <c r="W2" s="23"/>
      <c r="X2" s="23"/>
      <c r="Y2" s="23"/>
      <c r="Z2" s="23"/>
      <c r="AA2" s="23"/>
      <c r="AB2" s="23"/>
      <c r="AC2" s="23"/>
      <c r="AD2" s="23"/>
      <c r="AE2" s="23"/>
      <c r="AF2" s="23"/>
      <c r="AG2" s="23"/>
      <c r="AH2" s="23"/>
      <c r="AI2" s="23"/>
      <c r="AJ2" s="24"/>
      <c r="AK2" s="19"/>
    </row>
    <row r="3" spans="1:38" ht="32">
      <c r="A3" s="19"/>
      <c r="B3" s="25"/>
      <c r="C3" s="392" t="s">
        <v>23</v>
      </c>
      <c r="D3" s="393"/>
      <c r="E3" s="393"/>
      <c r="F3" s="393"/>
      <c r="G3" s="393"/>
      <c r="H3" s="393"/>
      <c r="I3" s="393"/>
      <c r="J3" s="393"/>
      <c r="K3" s="393"/>
      <c r="L3" s="393"/>
      <c r="M3" s="393"/>
      <c r="N3" s="393"/>
      <c r="O3" s="393"/>
      <c r="P3" s="393"/>
      <c r="Q3" s="393"/>
      <c r="R3" s="393"/>
      <c r="S3" s="393"/>
      <c r="T3" s="393"/>
      <c r="U3" s="393"/>
      <c r="V3" s="393"/>
      <c r="W3" s="393"/>
      <c r="X3" s="393"/>
      <c r="Y3" s="393"/>
      <c r="Z3" s="393"/>
      <c r="AA3" s="393"/>
      <c r="AB3" s="393"/>
      <c r="AC3" s="393"/>
      <c r="AD3" s="393"/>
      <c r="AE3" s="393"/>
      <c r="AF3" s="393"/>
      <c r="AG3" s="393"/>
      <c r="AH3" s="393"/>
      <c r="AI3" s="394"/>
      <c r="AJ3" s="26"/>
      <c r="AK3" s="19"/>
    </row>
    <row r="4" spans="1:38" ht="80.25" customHeight="1">
      <c r="A4" s="19"/>
      <c r="B4" s="25"/>
      <c r="C4" s="404">
        <v>45742</v>
      </c>
      <c r="D4" s="396"/>
      <c r="E4" s="27"/>
      <c r="F4" s="27"/>
      <c r="G4" s="27"/>
      <c r="H4" s="27"/>
      <c r="I4" s="27"/>
      <c r="J4" s="27"/>
      <c r="K4" s="27"/>
      <c r="L4" s="28"/>
      <c r="M4" s="28"/>
      <c r="N4" s="28"/>
      <c r="O4" s="28"/>
      <c r="P4" s="28"/>
      <c r="Q4" s="28"/>
      <c r="R4" s="28"/>
      <c r="S4" s="28"/>
      <c r="T4" s="28"/>
      <c r="U4" s="28"/>
      <c r="V4" s="28"/>
      <c r="W4" s="28"/>
      <c r="X4" s="28"/>
      <c r="Y4" s="28"/>
      <c r="Z4" s="28"/>
      <c r="AA4" s="28"/>
      <c r="AB4" s="28"/>
      <c r="AC4" s="28"/>
      <c r="AD4" s="28"/>
      <c r="AE4" s="28"/>
      <c r="AF4" s="28"/>
      <c r="AG4" s="28"/>
      <c r="AH4" s="28"/>
      <c r="AI4" s="28"/>
      <c r="AJ4" s="26"/>
      <c r="AK4" s="19"/>
    </row>
    <row r="5" spans="1:38" ht="16.5" customHeight="1">
      <c r="A5" s="19"/>
      <c r="B5" s="25"/>
      <c r="C5" s="29" t="s">
        <v>75</v>
      </c>
      <c r="D5" s="29"/>
      <c r="E5" s="30"/>
      <c r="F5" s="30"/>
      <c r="G5" s="30"/>
      <c r="H5" s="30"/>
      <c r="I5" s="30"/>
      <c r="J5" s="30"/>
      <c r="K5" s="31"/>
      <c r="L5" s="397"/>
      <c r="M5" s="398"/>
      <c r="N5" s="397"/>
      <c r="O5" s="398"/>
      <c r="P5" s="398"/>
      <c r="Q5" s="398"/>
      <c r="R5" s="398"/>
      <c r="S5" s="398"/>
      <c r="T5" s="398"/>
      <c r="U5" s="398"/>
      <c r="V5" s="398"/>
      <c r="W5" s="398"/>
      <c r="X5" s="32"/>
      <c r="Y5" s="32"/>
      <c r="Z5" s="32"/>
      <c r="AA5" s="32"/>
      <c r="AB5" s="32"/>
      <c r="AC5" s="32"/>
      <c r="AD5" s="32"/>
      <c r="AE5" s="32"/>
      <c r="AF5" s="32"/>
      <c r="AG5" s="32"/>
      <c r="AH5" s="32"/>
      <c r="AI5" s="32"/>
      <c r="AJ5" s="26"/>
      <c r="AK5" s="19"/>
    </row>
    <row r="6" spans="1:38" ht="30">
      <c r="A6" s="19"/>
      <c r="B6" s="25"/>
      <c r="C6" s="98" t="s">
        <v>24</v>
      </c>
      <c r="D6" s="98" t="s">
        <v>25</v>
      </c>
      <c r="E6" s="99" t="s">
        <v>26</v>
      </c>
      <c r="F6" s="99" t="s">
        <v>27</v>
      </c>
      <c r="G6" s="99" t="s">
        <v>28</v>
      </c>
      <c r="H6" s="99" t="s">
        <v>29</v>
      </c>
      <c r="I6" s="99" t="s">
        <v>30</v>
      </c>
      <c r="J6" s="99" t="s">
        <v>31</v>
      </c>
      <c r="K6" s="99" t="s">
        <v>32</v>
      </c>
      <c r="L6" s="100" t="s">
        <v>33</v>
      </c>
      <c r="M6" s="100" t="s">
        <v>34</v>
      </c>
      <c r="N6" s="100" t="s">
        <v>35</v>
      </c>
      <c r="O6" s="100" t="s">
        <v>36</v>
      </c>
      <c r="P6" s="100" t="s">
        <v>37</v>
      </c>
      <c r="Q6" s="100" t="s">
        <v>38</v>
      </c>
      <c r="R6" s="100" t="s">
        <v>39</v>
      </c>
      <c r="S6" s="100" t="s">
        <v>40</v>
      </c>
      <c r="T6" s="100" t="s">
        <v>41</v>
      </c>
      <c r="U6" s="100" t="s">
        <v>42</v>
      </c>
      <c r="V6" s="100" t="s">
        <v>43</v>
      </c>
      <c r="W6" s="100" t="s">
        <v>44</v>
      </c>
      <c r="X6" s="100" t="s">
        <v>45</v>
      </c>
      <c r="Y6" s="100" t="s">
        <v>46</v>
      </c>
      <c r="Z6" s="100" t="s">
        <v>47</v>
      </c>
      <c r="AA6" s="100"/>
      <c r="AB6" s="100"/>
      <c r="AC6" s="100"/>
      <c r="AD6" s="100"/>
      <c r="AE6" s="100"/>
      <c r="AF6" s="100"/>
      <c r="AG6" s="100"/>
      <c r="AH6" s="100"/>
      <c r="AI6" s="101" t="s">
        <v>48</v>
      </c>
      <c r="AJ6" s="26"/>
      <c r="AK6" s="19"/>
    </row>
    <row r="7" spans="1:38" ht="16.5" customHeight="1">
      <c r="A7" s="19"/>
      <c r="B7" s="25"/>
      <c r="C7" s="38" t="s">
        <v>49</v>
      </c>
      <c r="D7" s="39" t="s">
        <v>50</v>
      </c>
      <c r="E7" s="40" t="s">
        <v>51</v>
      </c>
      <c r="F7" s="40" t="s">
        <v>5</v>
      </c>
      <c r="G7" s="40" t="s">
        <v>52</v>
      </c>
      <c r="H7" s="42">
        <v>45691</v>
      </c>
      <c r="I7" s="42">
        <v>46127</v>
      </c>
      <c r="J7" s="42"/>
      <c r="K7" s="42"/>
      <c r="L7" s="43">
        <v>1</v>
      </c>
      <c r="M7" s="43">
        <v>1</v>
      </c>
      <c r="N7" s="43">
        <v>1</v>
      </c>
      <c r="O7" s="43">
        <v>1</v>
      </c>
      <c r="P7" s="43">
        <v>1</v>
      </c>
      <c r="Q7" s="43">
        <v>1</v>
      </c>
      <c r="R7" s="43">
        <v>1</v>
      </c>
      <c r="S7" s="43">
        <v>1</v>
      </c>
      <c r="T7" s="43">
        <v>1</v>
      </c>
      <c r="U7" s="43">
        <v>1</v>
      </c>
      <c r="V7" s="43">
        <v>1</v>
      </c>
      <c r="W7" s="43">
        <v>1</v>
      </c>
      <c r="X7" s="43">
        <v>1</v>
      </c>
      <c r="Y7" s="43">
        <v>1</v>
      </c>
      <c r="Z7" s="43">
        <v>0.5</v>
      </c>
      <c r="AA7" s="44"/>
      <c r="AB7" s="44"/>
      <c r="AC7" s="44"/>
      <c r="AD7" s="44"/>
      <c r="AE7" s="44"/>
      <c r="AF7" s="44"/>
      <c r="AG7" s="44"/>
      <c r="AH7" s="44"/>
      <c r="AI7" s="45">
        <f t="shared" ref="AI7:AI17" si="0">SUM(L7:AH7)</f>
        <v>14.5</v>
      </c>
      <c r="AJ7" s="26"/>
      <c r="AK7" s="19"/>
    </row>
    <row r="8" spans="1:38" ht="16.5" customHeight="1">
      <c r="A8" s="19"/>
      <c r="B8" s="25"/>
      <c r="C8" s="38" t="s">
        <v>53</v>
      </c>
      <c r="D8" s="39" t="s">
        <v>54</v>
      </c>
      <c r="E8" s="40" t="s">
        <v>51</v>
      </c>
      <c r="F8" s="40" t="s">
        <v>4</v>
      </c>
      <c r="G8" s="40" t="s">
        <v>52</v>
      </c>
      <c r="H8" s="42">
        <v>45705</v>
      </c>
      <c r="I8" s="42">
        <v>46127</v>
      </c>
      <c r="J8" s="42"/>
      <c r="K8" s="42"/>
      <c r="L8" s="43">
        <v>0.5</v>
      </c>
      <c r="M8" s="43">
        <v>1</v>
      </c>
      <c r="N8" s="43">
        <v>1</v>
      </c>
      <c r="O8" s="43">
        <v>1</v>
      </c>
      <c r="P8" s="43">
        <v>1</v>
      </c>
      <c r="Q8" s="43">
        <v>1</v>
      </c>
      <c r="R8" s="43">
        <v>1</v>
      </c>
      <c r="S8" s="43">
        <v>1</v>
      </c>
      <c r="T8" s="43">
        <v>1</v>
      </c>
      <c r="U8" s="43">
        <v>1</v>
      </c>
      <c r="V8" s="43">
        <v>1</v>
      </c>
      <c r="W8" s="43">
        <v>1</v>
      </c>
      <c r="X8" s="43">
        <v>1</v>
      </c>
      <c r="Y8" s="43">
        <v>1</v>
      </c>
      <c r="Z8" s="43">
        <v>0.5</v>
      </c>
      <c r="AA8" s="44"/>
      <c r="AB8" s="44"/>
      <c r="AC8" s="44"/>
      <c r="AD8" s="44"/>
      <c r="AE8" s="44"/>
      <c r="AF8" s="44"/>
      <c r="AG8" s="44"/>
      <c r="AH8" s="44"/>
      <c r="AI8" s="45">
        <f t="shared" si="0"/>
        <v>14</v>
      </c>
      <c r="AJ8" s="26"/>
      <c r="AK8" s="19"/>
    </row>
    <row r="9" spans="1:38" ht="16.5" customHeight="1">
      <c r="A9" s="19"/>
      <c r="B9" s="25"/>
      <c r="C9" s="47"/>
      <c r="D9" s="403" t="s">
        <v>55</v>
      </c>
      <c r="E9" s="40" t="s">
        <v>51</v>
      </c>
      <c r="F9" s="40" t="s">
        <v>9</v>
      </c>
      <c r="G9" s="40" t="s">
        <v>52</v>
      </c>
      <c r="H9" s="42">
        <v>45691</v>
      </c>
      <c r="I9" s="42">
        <v>46096</v>
      </c>
      <c r="J9" s="42"/>
      <c r="K9" s="42"/>
      <c r="L9" s="43">
        <v>1</v>
      </c>
      <c r="M9" s="43">
        <v>1</v>
      </c>
      <c r="N9" s="43">
        <v>1</v>
      </c>
      <c r="O9" s="43">
        <v>1</v>
      </c>
      <c r="P9" s="43">
        <v>1</v>
      </c>
      <c r="Q9" s="43">
        <v>1</v>
      </c>
      <c r="R9" s="43">
        <v>1</v>
      </c>
      <c r="S9" s="43">
        <v>1</v>
      </c>
      <c r="T9" s="43">
        <v>1</v>
      </c>
      <c r="U9" s="43">
        <v>1</v>
      </c>
      <c r="V9" s="43">
        <v>0.5</v>
      </c>
      <c r="W9" s="43"/>
      <c r="X9" s="43"/>
      <c r="Y9" s="43"/>
      <c r="Z9" s="43"/>
      <c r="AA9" s="44"/>
      <c r="AB9" s="44"/>
      <c r="AC9" s="44"/>
      <c r="AD9" s="44"/>
      <c r="AE9" s="44"/>
      <c r="AF9" s="44"/>
      <c r="AG9" s="44"/>
      <c r="AH9" s="44"/>
      <c r="AI9" s="45">
        <f t="shared" si="0"/>
        <v>10.5</v>
      </c>
      <c r="AJ9" s="26"/>
      <c r="AK9" s="19"/>
    </row>
    <row r="10" spans="1:38" ht="16.5" customHeight="1">
      <c r="A10" s="19"/>
      <c r="B10" s="25"/>
      <c r="C10" s="47"/>
      <c r="D10" s="383"/>
      <c r="E10" s="40" t="s">
        <v>51</v>
      </c>
      <c r="F10" s="40" t="s">
        <v>8</v>
      </c>
      <c r="G10" s="102" t="s">
        <v>52</v>
      </c>
      <c r="H10" s="42">
        <v>45691</v>
      </c>
      <c r="I10" s="42">
        <v>45989</v>
      </c>
      <c r="J10" s="42"/>
      <c r="K10" s="42"/>
      <c r="L10" s="43">
        <v>1</v>
      </c>
      <c r="M10" s="43">
        <v>1</v>
      </c>
      <c r="N10" s="43">
        <v>1</v>
      </c>
      <c r="O10" s="43">
        <v>1</v>
      </c>
      <c r="P10" s="43">
        <v>1</v>
      </c>
      <c r="Q10" s="43">
        <v>1</v>
      </c>
      <c r="R10" s="43">
        <v>1</v>
      </c>
      <c r="S10" s="43">
        <v>1</v>
      </c>
      <c r="T10" s="43">
        <v>1</v>
      </c>
      <c r="U10" s="43">
        <v>1</v>
      </c>
      <c r="V10" s="43"/>
      <c r="W10" s="43"/>
      <c r="X10" s="43"/>
      <c r="Y10" s="43"/>
      <c r="Z10" s="43"/>
      <c r="AA10" s="44"/>
      <c r="AB10" s="44"/>
      <c r="AC10" s="44"/>
      <c r="AD10" s="44"/>
      <c r="AE10" s="44"/>
      <c r="AF10" s="44"/>
      <c r="AG10" s="44"/>
      <c r="AH10" s="44"/>
      <c r="AI10" s="45">
        <f t="shared" si="0"/>
        <v>10</v>
      </c>
      <c r="AJ10" s="26"/>
      <c r="AK10" s="19"/>
    </row>
    <row r="11" spans="1:38" ht="16.5" customHeight="1">
      <c r="A11" s="19"/>
      <c r="B11" s="25"/>
      <c r="C11" s="50" t="s">
        <v>49</v>
      </c>
      <c r="D11" s="383"/>
      <c r="E11" s="40" t="s">
        <v>51</v>
      </c>
      <c r="F11" s="40" t="s">
        <v>21</v>
      </c>
      <c r="G11" s="102" t="s">
        <v>51</v>
      </c>
      <c r="H11" s="42">
        <v>45733</v>
      </c>
      <c r="I11" s="42">
        <v>45916</v>
      </c>
      <c r="J11" s="42"/>
      <c r="K11" s="42"/>
      <c r="L11" s="43"/>
      <c r="M11" s="43">
        <v>0.5</v>
      </c>
      <c r="N11" s="43">
        <v>1</v>
      </c>
      <c r="O11" s="43">
        <v>1</v>
      </c>
      <c r="P11" s="43">
        <v>1</v>
      </c>
      <c r="Q11" s="43">
        <v>1</v>
      </c>
      <c r="R11" s="43">
        <v>1</v>
      </c>
      <c r="S11" s="43">
        <v>0.5</v>
      </c>
      <c r="T11" s="43"/>
      <c r="U11" s="43"/>
      <c r="V11" s="43"/>
      <c r="W11" s="43"/>
      <c r="X11" s="46"/>
      <c r="Y11" s="46"/>
      <c r="Z11" s="46"/>
      <c r="AA11" s="44"/>
      <c r="AB11" s="44"/>
      <c r="AC11" s="44"/>
      <c r="AD11" s="44"/>
      <c r="AE11" s="44"/>
      <c r="AF11" s="44"/>
      <c r="AG11" s="44"/>
      <c r="AH11" s="44"/>
      <c r="AI11" s="45">
        <f t="shared" si="0"/>
        <v>6</v>
      </c>
      <c r="AJ11" s="26"/>
      <c r="AK11" s="19"/>
    </row>
    <row r="12" spans="1:38" ht="16.5" customHeight="1">
      <c r="A12" s="19"/>
      <c r="B12" s="25"/>
      <c r="C12" s="50" t="s">
        <v>49</v>
      </c>
      <c r="D12" s="383"/>
      <c r="E12" s="122" t="s">
        <v>51</v>
      </c>
      <c r="F12" s="123" t="s">
        <v>15</v>
      </c>
      <c r="G12" s="124" t="s">
        <v>52</v>
      </c>
      <c r="H12" s="49">
        <v>45748</v>
      </c>
      <c r="I12" s="49">
        <v>45961</v>
      </c>
      <c r="J12" s="42"/>
      <c r="K12" s="42"/>
      <c r="L12" s="43"/>
      <c r="M12" s="43"/>
      <c r="N12" s="46">
        <v>1</v>
      </c>
      <c r="O12" s="46">
        <v>1</v>
      </c>
      <c r="P12" s="46">
        <v>1</v>
      </c>
      <c r="Q12" s="46">
        <v>1</v>
      </c>
      <c r="R12" s="46">
        <v>1</v>
      </c>
      <c r="S12" s="46">
        <v>1</v>
      </c>
      <c r="T12" s="46">
        <v>1</v>
      </c>
      <c r="U12" s="43"/>
      <c r="V12" s="43"/>
      <c r="W12" s="43"/>
      <c r="X12" s="46"/>
      <c r="Y12" s="46"/>
      <c r="Z12" s="46"/>
      <c r="AA12" s="44"/>
      <c r="AB12" s="44"/>
      <c r="AC12" s="44"/>
      <c r="AD12" s="44"/>
      <c r="AE12" s="44"/>
      <c r="AF12" s="44"/>
      <c r="AG12" s="44"/>
      <c r="AH12" s="44"/>
      <c r="AI12" s="45">
        <f t="shared" si="0"/>
        <v>7</v>
      </c>
      <c r="AJ12" s="26"/>
      <c r="AK12" s="19"/>
    </row>
    <row r="13" spans="1:38" ht="16.5" customHeight="1">
      <c r="A13" s="19"/>
      <c r="B13" s="25"/>
      <c r="C13" s="50" t="s">
        <v>49</v>
      </c>
      <c r="D13" s="383"/>
      <c r="E13" s="123" t="s">
        <v>51</v>
      </c>
      <c r="F13" s="123" t="s">
        <v>19</v>
      </c>
      <c r="G13" s="124" t="s">
        <v>52</v>
      </c>
      <c r="H13" s="49">
        <v>45748</v>
      </c>
      <c r="I13" s="49">
        <v>45961</v>
      </c>
      <c r="J13" s="42"/>
      <c r="K13" s="42"/>
      <c r="L13" s="43"/>
      <c r="M13" s="43"/>
      <c r="N13" s="46">
        <v>1</v>
      </c>
      <c r="O13" s="46">
        <v>1</v>
      </c>
      <c r="P13" s="46">
        <v>1</v>
      </c>
      <c r="Q13" s="46">
        <v>1</v>
      </c>
      <c r="R13" s="46">
        <v>1</v>
      </c>
      <c r="S13" s="46">
        <v>1</v>
      </c>
      <c r="T13" s="46">
        <v>1</v>
      </c>
      <c r="U13" s="43"/>
      <c r="V13" s="43"/>
      <c r="W13" s="43"/>
      <c r="X13" s="46"/>
      <c r="Y13" s="46"/>
      <c r="Z13" s="46"/>
      <c r="AA13" s="44"/>
      <c r="AB13" s="44"/>
      <c r="AC13" s="44"/>
      <c r="AD13" s="44"/>
      <c r="AE13" s="44"/>
      <c r="AF13" s="44"/>
      <c r="AG13" s="44"/>
      <c r="AH13" s="44"/>
      <c r="AI13" s="45">
        <f t="shared" si="0"/>
        <v>7</v>
      </c>
      <c r="AJ13" s="26"/>
      <c r="AK13" s="19"/>
    </row>
    <row r="14" spans="1:38" ht="16.5" customHeight="1">
      <c r="A14" s="19"/>
      <c r="B14" s="25"/>
      <c r="C14" s="50" t="s">
        <v>49</v>
      </c>
      <c r="D14" s="383"/>
      <c r="E14" s="51" t="s">
        <v>57</v>
      </c>
      <c r="F14" s="51" t="s">
        <v>12</v>
      </c>
      <c r="G14" s="51" t="s">
        <v>51</v>
      </c>
      <c r="H14" s="53">
        <v>45691</v>
      </c>
      <c r="I14" s="53">
        <v>45960</v>
      </c>
      <c r="J14" s="53"/>
      <c r="K14" s="53"/>
      <c r="L14" s="55">
        <v>1</v>
      </c>
      <c r="M14" s="55">
        <v>1</v>
      </c>
      <c r="N14" s="55">
        <v>1</v>
      </c>
      <c r="O14" s="55">
        <v>1</v>
      </c>
      <c r="P14" s="55">
        <v>1</v>
      </c>
      <c r="Q14" s="55">
        <v>1</v>
      </c>
      <c r="R14" s="55">
        <v>1</v>
      </c>
      <c r="S14" s="55">
        <v>1</v>
      </c>
      <c r="T14" s="55">
        <v>1</v>
      </c>
      <c r="U14" s="55"/>
      <c r="V14" s="55"/>
      <c r="W14" s="55"/>
      <c r="X14" s="55"/>
      <c r="Y14" s="55"/>
      <c r="Z14" s="55"/>
      <c r="AA14" s="44"/>
      <c r="AB14" s="44"/>
      <c r="AC14" s="44"/>
      <c r="AD14" s="44"/>
      <c r="AE14" s="44"/>
      <c r="AF14" s="44"/>
      <c r="AG14" s="44"/>
      <c r="AH14" s="44"/>
      <c r="AI14" s="45">
        <f t="shared" si="0"/>
        <v>9</v>
      </c>
      <c r="AJ14" s="26"/>
      <c r="AK14" s="19"/>
    </row>
    <row r="15" spans="1:38" ht="16.5" customHeight="1">
      <c r="A15" s="19"/>
      <c r="B15" s="25"/>
      <c r="C15" s="50" t="s">
        <v>49</v>
      </c>
      <c r="D15" s="383"/>
      <c r="E15" s="51" t="s">
        <v>57</v>
      </c>
      <c r="F15" s="51" t="s">
        <v>16</v>
      </c>
      <c r="G15" s="51" t="s">
        <v>51</v>
      </c>
      <c r="H15" s="53">
        <v>45720</v>
      </c>
      <c r="I15" s="53">
        <v>46022</v>
      </c>
      <c r="J15" s="53"/>
      <c r="K15" s="53"/>
      <c r="L15" s="55"/>
      <c r="M15" s="55">
        <v>1</v>
      </c>
      <c r="N15" s="55">
        <v>1</v>
      </c>
      <c r="O15" s="55">
        <v>1</v>
      </c>
      <c r="P15" s="55">
        <v>1</v>
      </c>
      <c r="Q15" s="55">
        <v>1</v>
      </c>
      <c r="R15" s="55">
        <v>1</v>
      </c>
      <c r="S15" s="55">
        <v>1</v>
      </c>
      <c r="T15" s="55">
        <v>1</v>
      </c>
      <c r="U15" s="55">
        <v>1</v>
      </c>
      <c r="V15" s="55">
        <v>1</v>
      </c>
      <c r="W15" s="55"/>
      <c r="X15" s="55"/>
      <c r="Y15" s="55"/>
      <c r="Z15" s="55"/>
      <c r="AA15" s="44"/>
      <c r="AB15" s="44"/>
      <c r="AC15" s="44"/>
      <c r="AD15" s="44"/>
      <c r="AE15" s="44"/>
      <c r="AF15" s="44"/>
      <c r="AG15" s="44"/>
      <c r="AH15" s="44"/>
      <c r="AI15" s="45">
        <f t="shared" si="0"/>
        <v>10</v>
      </c>
      <c r="AJ15" s="26"/>
      <c r="AK15" s="19"/>
    </row>
    <row r="16" spans="1:38" ht="16.5" customHeight="1">
      <c r="A16" s="19"/>
      <c r="B16" s="25"/>
      <c r="C16" s="50" t="s">
        <v>49</v>
      </c>
      <c r="D16" s="383"/>
      <c r="E16" s="51" t="s">
        <v>57</v>
      </c>
      <c r="F16" s="51" t="s">
        <v>20</v>
      </c>
      <c r="G16" s="51" t="s">
        <v>51</v>
      </c>
      <c r="H16" s="53">
        <v>45720</v>
      </c>
      <c r="I16" s="53">
        <v>45900</v>
      </c>
      <c r="J16" s="53"/>
      <c r="K16" s="53"/>
      <c r="L16" s="55"/>
      <c r="M16" s="55">
        <v>1</v>
      </c>
      <c r="N16" s="55">
        <v>1</v>
      </c>
      <c r="O16" s="55">
        <v>1</v>
      </c>
      <c r="P16" s="55">
        <v>1</v>
      </c>
      <c r="Q16" s="55">
        <v>1</v>
      </c>
      <c r="R16" s="55">
        <v>1</v>
      </c>
      <c r="S16" s="55"/>
      <c r="T16" s="55"/>
      <c r="U16" s="55"/>
      <c r="V16" s="55"/>
      <c r="W16" s="55"/>
      <c r="X16" s="55"/>
      <c r="Y16" s="55"/>
      <c r="Z16" s="55"/>
      <c r="AA16" s="44"/>
      <c r="AB16" s="44"/>
      <c r="AC16" s="44"/>
      <c r="AD16" s="44"/>
      <c r="AE16" s="44"/>
      <c r="AF16" s="44"/>
      <c r="AG16" s="44"/>
      <c r="AH16" s="44"/>
      <c r="AI16" s="45">
        <f t="shared" si="0"/>
        <v>6</v>
      </c>
      <c r="AJ16" s="26"/>
      <c r="AK16" s="19"/>
      <c r="AL16" s="19"/>
    </row>
    <row r="17" spans="1:38" ht="16.5" customHeight="1">
      <c r="A17" s="19"/>
      <c r="B17" s="25"/>
      <c r="C17" s="50" t="s">
        <v>49</v>
      </c>
      <c r="D17" s="383"/>
      <c r="E17" s="57" t="s">
        <v>59</v>
      </c>
      <c r="F17" s="57" t="s">
        <v>13</v>
      </c>
      <c r="G17" s="57" t="s">
        <v>59</v>
      </c>
      <c r="H17" s="59">
        <v>45691</v>
      </c>
      <c r="I17" s="59">
        <v>45991</v>
      </c>
      <c r="J17" s="59"/>
      <c r="K17" s="59"/>
      <c r="L17" s="44">
        <v>1</v>
      </c>
      <c r="M17" s="44">
        <v>1</v>
      </c>
      <c r="N17" s="44">
        <v>1</v>
      </c>
      <c r="O17" s="44">
        <v>1</v>
      </c>
      <c r="P17" s="44">
        <v>1</v>
      </c>
      <c r="Q17" s="44">
        <v>1</v>
      </c>
      <c r="R17" s="44">
        <v>1</v>
      </c>
      <c r="S17" s="44">
        <v>1</v>
      </c>
      <c r="T17" s="44">
        <v>1</v>
      </c>
      <c r="U17" s="44">
        <v>1</v>
      </c>
      <c r="V17" s="44"/>
      <c r="W17" s="44"/>
      <c r="X17" s="44"/>
      <c r="Y17" s="44"/>
      <c r="Z17" s="44"/>
      <c r="AA17" s="44"/>
      <c r="AB17" s="44"/>
      <c r="AC17" s="44"/>
      <c r="AD17" s="44"/>
      <c r="AE17" s="44"/>
      <c r="AF17" s="44"/>
      <c r="AG17" s="44"/>
      <c r="AH17" s="44"/>
      <c r="AI17" s="45">
        <f t="shared" si="0"/>
        <v>10</v>
      </c>
      <c r="AJ17" s="26"/>
      <c r="AK17" s="19"/>
      <c r="AL17" s="19"/>
    </row>
    <row r="18" spans="1:38" ht="16.5" customHeight="1">
      <c r="A18" s="19"/>
      <c r="B18" s="25"/>
      <c r="C18" s="50" t="s">
        <v>49</v>
      </c>
      <c r="D18" s="383"/>
      <c r="E18" s="57" t="s">
        <v>59</v>
      </c>
      <c r="F18" s="57" t="s">
        <v>17</v>
      </c>
      <c r="G18" s="103" t="s">
        <v>59</v>
      </c>
      <c r="H18" s="59">
        <v>45691</v>
      </c>
      <c r="I18" s="59">
        <v>45961</v>
      </c>
      <c r="J18" s="59"/>
      <c r="K18" s="59"/>
      <c r="L18" s="44">
        <v>1</v>
      </c>
      <c r="M18" s="44">
        <v>1</v>
      </c>
      <c r="N18" s="44">
        <v>1</v>
      </c>
      <c r="O18" s="44">
        <v>1</v>
      </c>
      <c r="P18" s="44">
        <v>1</v>
      </c>
      <c r="Q18" s="44">
        <v>1</v>
      </c>
      <c r="R18" s="44">
        <v>1</v>
      </c>
      <c r="S18" s="44">
        <v>1</v>
      </c>
      <c r="T18" s="44">
        <v>1</v>
      </c>
      <c r="U18" s="44"/>
      <c r="V18" s="44"/>
      <c r="W18" s="44"/>
      <c r="X18" s="44"/>
      <c r="Y18" s="44"/>
      <c r="Z18" s="44"/>
      <c r="AA18" s="44"/>
      <c r="AB18" s="44"/>
      <c r="AC18" s="44"/>
      <c r="AD18" s="44"/>
      <c r="AE18" s="44"/>
      <c r="AF18" s="44"/>
      <c r="AG18" s="44"/>
      <c r="AH18" s="44"/>
      <c r="AI18" s="45">
        <f t="shared" ref="AI18:AI19" si="1">SUM(L18:Z18)</f>
        <v>9</v>
      </c>
      <c r="AJ18" s="26"/>
      <c r="AK18" s="19"/>
      <c r="AL18" s="19"/>
    </row>
    <row r="19" spans="1:38" ht="16.5" hidden="1" customHeight="1">
      <c r="A19" s="19"/>
      <c r="B19" s="25"/>
      <c r="C19" s="50" t="s">
        <v>49</v>
      </c>
      <c r="D19" s="383"/>
      <c r="E19" s="57"/>
      <c r="F19" s="57"/>
      <c r="G19" s="57"/>
      <c r="H19" s="59"/>
      <c r="I19" s="59"/>
      <c r="J19" s="59"/>
      <c r="K19" s="59"/>
      <c r="L19" s="44"/>
      <c r="M19" s="44"/>
      <c r="N19" s="44"/>
      <c r="O19" s="44"/>
      <c r="P19" s="44"/>
      <c r="Q19" s="44"/>
      <c r="R19" s="44"/>
      <c r="S19" s="44"/>
      <c r="T19" s="44"/>
      <c r="U19" s="44"/>
      <c r="V19" s="44"/>
      <c r="W19" s="44"/>
      <c r="X19" s="44"/>
      <c r="Y19" s="44"/>
      <c r="Z19" s="44"/>
      <c r="AA19" s="44"/>
      <c r="AB19" s="44"/>
      <c r="AC19" s="44"/>
      <c r="AD19" s="44"/>
      <c r="AE19" s="44"/>
      <c r="AF19" s="44"/>
      <c r="AG19" s="44"/>
      <c r="AH19" s="44"/>
      <c r="AI19" s="45">
        <f t="shared" si="1"/>
        <v>0</v>
      </c>
      <c r="AJ19" s="26"/>
      <c r="AK19" s="19"/>
      <c r="AL19" s="19"/>
    </row>
    <row r="20" spans="1:38" ht="16.5" hidden="1" customHeight="1">
      <c r="A20" s="19"/>
      <c r="B20" s="25"/>
      <c r="C20" s="50" t="s">
        <v>49</v>
      </c>
      <c r="D20" s="383"/>
      <c r="E20" s="57"/>
      <c r="F20" s="57"/>
      <c r="G20" s="57"/>
      <c r="H20" s="59"/>
      <c r="I20" s="59"/>
      <c r="J20" s="59"/>
      <c r="K20" s="59"/>
      <c r="L20" s="44"/>
      <c r="M20" s="44"/>
      <c r="N20" s="44"/>
      <c r="O20" s="44"/>
      <c r="P20" s="44"/>
      <c r="Q20" s="44"/>
      <c r="R20" s="44"/>
      <c r="S20" s="44"/>
      <c r="T20" s="44"/>
      <c r="U20" s="44"/>
      <c r="V20" s="44"/>
      <c r="W20" s="44"/>
      <c r="X20" s="44"/>
      <c r="Y20" s="44"/>
      <c r="Z20" s="44"/>
      <c r="AA20" s="44"/>
      <c r="AB20" s="44"/>
      <c r="AC20" s="44"/>
      <c r="AD20" s="44"/>
      <c r="AE20" s="44"/>
      <c r="AF20" s="44"/>
      <c r="AG20" s="44"/>
      <c r="AH20" s="44"/>
      <c r="AI20" s="45">
        <f t="shared" ref="AI20:AI24" si="2">SUM(L20:AH20)</f>
        <v>0</v>
      </c>
      <c r="AJ20" s="26"/>
      <c r="AK20" s="19"/>
      <c r="AL20" s="19"/>
    </row>
    <row r="21" spans="1:38" ht="16.5" hidden="1" customHeight="1">
      <c r="A21" s="19"/>
      <c r="B21" s="25"/>
      <c r="C21" s="50" t="s">
        <v>49</v>
      </c>
      <c r="D21" s="384"/>
      <c r="E21" s="57"/>
      <c r="F21" s="57"/>
      <c r="G21" s="57"/>
      <c r="H21" s="59"/>
      <c r="I21" s="59"/>
      <c r="J21" s="59"/>
      <c r="K21" s="59"/>
      <c r="L21" s="44"/>
      <c r="M21" s="44"/>
      <c r="N21" s="44"/>
      <c r="O21" s="44"/>
      <c r="P21" s="44"/>
      <c r="Q21" s="44"/>
      <c r="R21" s="44"/>
      <c r="S21" s="44"/>
      <c r="T21" s="44"/>
      <c r="U21" s="44"/>
      <c r="V21" s="44"/>
      <c r="W21" s="44"/>
      <c r="X21" s="44"/>
      <c r="Y21" s="44"/>
      <c r="Z21" s="44"/>
      <c r="AA21" s="44"/>
      <c r="AB21" s="44"/>
      <c r="AC21" s="44"/>
      <c r="AD21" s="44"/>
      <c r="AE21" s="44"/>
      <c r="AF21" s="44"/>
      <c r="AG21" s="44"/>
      <c r="AH21" s="44"/>
      <c r="AI21" s="45">
        <f t="shared" si="2"/>
        <v>0</v>
      </c>
      <c r="AJ21" s="26"/>
      <c r="AK21" s="19"/>
      <c r="AL21" s="19"/>
    </row>
    <row r="22" spans="1:38" ht="16.5" hidden="1" customHeight="1">
      <c r="A22" s="19"/>
      <c r="B22" s="25"/>
      <c r="C22" s="50" t="s">
        <v>49</v>
      </c>
      <c r="D22" s="385"/>
      <c r="E22" s="57"/>
      <c r="F22" s="57"/>
      <c r="G22" s="57"/>
      <c r="H22" s="59"/>
      <c r="I22" s="59"/>
      <c r="J22" s="59"/>
      <c r="K22" s="59"/>
      <c r="L22" s="44"/>
      <c r="M22" s="44"/>
      <c r="N22" s="44"/>
      <c r="O22" s="44"/>
      <c r="P22" s="44"/>
      <c r="Q22" s="44"/>
      <c r="R22" s="44"/>
      <c r="S22" s="44"/>
      <c r="T22" s="44"/>
      <c r="U22" s="44"/>
      <c r="V22" s="44"/>
      <c r="W22" s="44"/>
      <c r="X22" s="44"/>
      <c r="Y22" s="44"/>
      <c r="Z22" s="44"/>
      <c r="AA22" s="44"/>
      <c r="AB22" s="44"/>
      <c r="AC22" s="44"/>
      <c r="AD22" s="44"/>
      <c r="AE22" s="44"/>
      <c r="AF22" s="44"/>
      <c r="AG22" s="44"/>
      <c r="AH22" s="44"/>
      <c r="AI22" s="45">
        <f t="shared" si="2"/>
        <v>0</v>
      </c>
      <c r="AJ22" s="26"/>
      <c r="AK22" s="19"/>
    </row>
    <row r="23" spans="1:38" ht="16.5" hidden="1" customHeight="1">
      <c r="A23" s="19"/>
      <c r="B23" s="25"/>
      <c r="C23" s="50" t="s">
        <v>49</v>
      </c>
      <c r="D23" s="383"/>
      <c r="E23" s="57"/>
      <c r="F23" s="57"/>
      <c r="G23" s="57"/>
      <c r="H23" s="59"/>
      <c r="I23" s="59"/>
      <c r="J23" s="59"/>
      <c r="K23" s="59"/>
      <c r="L23" s="44"/>
      <c r="M23" s="44"/>
      <c r="N23" s="44"/>
      <c r="O23" s="44"/>
      <c r="P23" s="44"/>
      <c r="Q23" s="44"/>
      <c r="R23" s="44"/>
      <c r="S23" s="44"/>
      <c r="T23" s="44"/>
      <c r="U23" s="44"/>
      <c r="V23" s="44"/>
      <c r="W23" s="44"/>
      <c r="X23" s="44"/>
      <c r="Y23" s="44"/>
      <c r="Z23" s="44"/>
      <c r="AA23" s="44"/>
      <c r="AB23" s="44"/>
      <c r="AC23" s="44"/>
      <c r="AD23" s="44"/>
      <c r="AE23" s="44"/>
      <c r="AF23" s="44"/>
      <c r="AG23" s="44"/>
      <c r="AH23" s="44"/>
      <c r="AI23" s="45">
        <f t="shared" si="2"/>
        <v>0</v>
      </c>
      <c r="AJ23" s="26"/>
      <c r="AK23" s="19"/>
    </row>
    <row r="24" spans="1:38" ht="16.5" hidden="1" customHeight="1">
      <c r="A24" s="19"/>
      <c r="B24" s="25"/>
      <c r="C24" s="50" t="s">
        <v>49</v>
      </c>
      <c r="D24" s="384"/>
      <c r="E24" s="57"/>
      <c r="F24" s="57"/>
      <c r="G24" s="57"/>
      <c r="H24" s="59"/>
      <c r="I24" s="59"/>
      <c r="J24" s="59"/>
      <c r="K24" s="59"/>
      <c r="L24" s="44"/>
      <c r="M24" s="44"/>
      <c r="N24" s="44"/>
      <c r="O24" s="44"/>
      <c r="P24" s="44"/>
      <c r="Q24" s="44"/>
      <c r="R24" s="44"/>
      <c r="S24" s="44"/>
      <c r="T24" s="44"/>
      <c r="U24" s="44"/>
      <c r="V24" s="44"/>
      <c r="W24" s="44"/>
      <c r="X24" s="44"/>
      <c r="Y24" s="44"/>
      <c r="Z24" s="44"/>
      <c r="AA24" s="44"/>
      <c r="AB24" s="44"/>
      <c r="AC24" s="44"/>
      <c r="AD24" s="44"/>
      <c r="AE24" s="44"/>
      <c r="AF24" s="44"/>
      <c r="AG24" s="44"/>
      <c r="AH24" s="44"/>
      <c r="AI24" s="45">
        <f t="shared" si="2"/>
        <v>0</v>
      </c>
      <c r="AJ24" s="26"/>
      <c r="AK24" s="19"/>
    </row>
    <row r="25" spans="1:38" ht="16.5" customHeight="1">
      <c r="A25" s="19"/>
      <c r="B25" s="25"/>
      <c r="C25" s="61" t="s">
        <v>49</v>
      </c>
      <c r="D25" s="104" t="s">
        <v>60</v>
      </c>
      <c r="E25" s="66"/>
      <c r="F25" s="66"/>
      <c r="G25" s="66"/>
      <c r="H25" s="66"/>
      <c r="I25" s="66" t="s">
        <v>61</v>
      </c>
      <c r="J25" s="67"/>
      <c r="K25" s="67"/>
      <c r="L25" s="68">
        <f t="shared" ref="L25:Z25" si="3">SUM(L7:L24)</f>
        <v>6.5</v>
      </c>
      <c r="M25" s="68">
        <f t="shared" si="3"/>
        <v>9.5</v>
      </c>
      <c r="N25" s="68">
        <f t="shared" si="3"/>
        <v>12</v>
      </c>
      <c r="O25" s="68">
        <f t="shared" si="3"/>
        <v>12</v>
      </c>
      <c r="P25" s="68">
        <f t="shared" si="3"/>
        <v>12</v>
      </c>
      <c r="Q25" s="68">
        <f t="shared" si="3"/>
        <v>12</v>
      </c>
      <c r="R25" s="68">
        <f t="shared" si="3"/>
        <v>12</v>
      </c>
      <c r="S25" s="68">
        <f t="shared" si="3"/>
        <v>10.5</v>
      </c>
      <c r="T25" s="68">
        <f t="shared" si="3"/>
        <v>10</v>
      </c>
      <c r="U25" s="68">
        <f t="shared" si="3"/>
        <v>6</v>
      </c>
      <c r="V25" s="68">
        <f t="shared" si="3"/>
        <v>3.5</v>
      </c>
      <c r="W25" s="68">
        <f t="shared" si="3"/>
        <v>2</v>
      </c>
      <c r="X25" s="68">
        <f t="shared" si="3"/>
        <v>2</v>
      </c>
      <c r="Y25" s="68">
        <f t="shared" si="3"/>
        <v>2</v>
      </c>
      <c r="Z25" s="68">
        <f t="shared" si="3"/>
        <v>1</v>
      </c>
      <c r="AA25" s="68"/>
      <c r="AB25" s="68"/>
      <c r="AC25" s="68"/>
      <c r="AD25" s="68"/>
      <c r="AE25" s="68"/>
      <c r="AF25" s="68"/>
      <c r="AG25" s="68"/>
      <c r="AH25" s="68"/>
      <c r="AI25" s="69">
        <f>SUM(AI7:AI24)</f>
        <v>113</v>
      </c>
      <c r="AJ25" s="26"/>
      <c r="AK25" s="19"/>
    </row>
    <row r="26" spans="1:38" ht="4.5" customHeight="1">
      <c r="A26" s="70"/>
      <c r="B26" s="71"/>
      <c r="C26" s="72"/>
      <c r="D26" s="73"/>
      <c r="E26" s="74"/>
      <c r="F26" s="74"/>
      <c r="G26" s="74"/>
      <c r="H26" s="76"/>
      <c r="I26" s="76"/>
      <c r="J26" s="76"/>
      <c r="K26" s="76"/>
      <c r="L26" s="74"/>
      <c r="M26" s="74"/>
      <c r="N26" s="74"/>
      <c r="O26" s="74"/>
      <c r="P26" s="74"/>
      <c r="Q26" s="74"/>
      <c r="R26" s="74"/>
      <c r="S26" s="74"/>
      <c r="T26" s="74"/>
      <c r="U26" s="74"/>
      <c r="V26" s="74"/>
      <c r="W26" s="74"/>
      <c r="X26" s="74"/>
      <c r="Y26" s="74"/>
      <c r="Z26" s="74"/>
      <c r="AA26" s="74"/>
      <c r="AB26" s="74"/>
      <c r="AC26" s="74"/>
      <c r="AD26" s="74"/>
      <c r="AE26" s="74"/>
      <c r="AF26" s="74"/>
      <c r="AG26" s="74"/>
      <c r="AH26" s="74"/>
      <c r="AI26" s="74"/>
      <c r="AJ26" s="78"/>
      <c r="AK26" s="70"/>
    </row>
    <row r="27" spans="1:38" ht="16.5" customHeight="1">
      <c r="A27" s="19"/>
      <c r="B27" s="25"/>
      <c r="C27" s="38" t="s">
        <v>62</v>
      </c>
      <c r="D27" s="79" t="s">
        <v>54</v>
      </c>
      <c r="E27" s="51" t="s">
        <v>57</v>
      </c>
      <c r="F27" s="51" t="s">
        <v>6</v>
      </c>
      <c r="G27" s="105" t="s">
        <v>56</v>
      </c>
      <c r="H27" s="53">
        <v>45726</v>
      </c>
      <c r="I27" s="53">
        <v>46127</v>
      </c>
      <c r="J27" s="53"/>
      <c r="K27" s="53"/>
      <c r="L27" s="55"/>
      <c r="M27" s="55">
        <v>0.75</v>
      </c>
      <c r="N27" s="55">
        <v>1</v>
      </c>
      <c r="O27" s="55">
        <v>1</v>
      </c>
      <c r="P27" s="55">
        <v>1</v>
      </c>
      <c r="Q27" s="55">
        <v>1</v>
      </c>
      <c r="R27" s="55">
        <v>1</v>
      </c>
      <c r="S27" s="55">
        <v>1</v>
      </c>
      <c r="T27" s="55">
        <v>1</v>
      </c>
      <c r="U27" s="55">
        <v>1</v>
      </c>
      <c r="V27" s="55">
        <v>1</v>
      </c>
      <c r="W27" s="55">
        <v>1</v>
      </c>
      <c r="X27" s="55">
        <v>1</v>
      </c>
      <c r="Y27" s="55">
        <v>1</v>
      </c>
      <c r="Z27" s="55">
        <v>0.5</v>
      </c>
      <c r="AA27" s="44"/>
      <c r="AB27" s="44"/>
      <c r="AC27" s="44"/>
      <c r="AD27" s="44"/>
      <c r="AE27" s="44"/>
      <c r="AF27" s="44"/>
      <c r="AG27" s="44"/>
      <c r="AH27" s="44"/>
      <c r="AI27" s="45">
        <f t="shared" ref="AI27:AI33" si="4">SUM(L27:AH27)</f>
        <v>13.25</v>
      </c>
      <c r="AJ27" s="26"/>
      <c r="AK27" s="19"/>
    </row>
    <row r="28" spans="1:38" ht="16.5" customHeight="1">
      <c r="A28" s="19"/>
      <c r="B28" s="25"/>
      <c r="C28" s="47"/>
      <c r="D28" s="382" t="s">
        <v>63</v>
      </c>
      <c r="E28" s="51" t="s">
        <v>57</v>
      </c>
      <c r="F28" s="51" t="s">
        <v>10</v>
      </c>
      <c r="G28" s="105" t="s">
        <v>56</v>
      </c>
      <c r="H28" s="53">
        <v>45726</v>
      </c>
      <c r="I28" s="53">
        <v>46127</v>
      </c>
      <c r="J28" s="53"/>
      <c r="K28" s="53"/>
      <c r="L28" s="55"/>
      <c r="M28" s="55">
        <v>0.75</v>
      </c>
      <c r="N28" s="55">
        <v>1</v>
      </c>
      <c r="O28" s="55">
        <v>1</v>
      </c>
      <c r="P28" s="55">
        <v>1</v>
      </c>
      <c r="Q28" s="55">
        <v>1</v>
      </c>
      <c r="R28" s="55">
        <v>1</v>
      </c>
      <c r="S28" s="55">
        <v>1</v>
      </c>
      <c r="T28" s="55">
        <v>1</v>
      </c>
      <c r="U28" s="55">
        <v>1</v>
      </c>
      <c r="V28" s="55">
        <v>1</v>
      </c>
      <c r="W28" s="55">
        <v>1</v>
      </c>
      <c r="X28" s="55">
        <v>1</v>
      </c>
      <c r="Y28" s="55">
        <v>1</v>
      </c>
      <c r="Z28" s="55">
        <v>0.5</v>
      </c>
      <c r="AA28" s="44"/>
      <c r="AB28" s="44"/>
      <c r="AC28" s="44"/>
      <c r="AD28" s="44"/>
      <c r="AE28" s="44"/>
      <c r="AF28" s="44"/>
      <c r="AG28" s="44"/>
      <c r="AH28" s="44"/>
      <c r="AI28" s="45">
        <f t="shared" si="4"/>
        <v>13.25</v>
      </c>
      <c r="AJ28" s="26"/>
      <c r="AK28" s="19"/>
    </row>
    <row r="29" spans="1:38" ht="16.5" customHeight="1">
      <c r="A29" s="19"/>
      <c r="B29" s="25"/>
      <c r="C29" s="47"/>
      <c r="D29" s="383"/>
      <c r="E29" s="51" t="s">
        <v>57</v>
      </c>
      <c r="F29" s="51" t="s">
        <v>22</v>
      </c>
      <c r="G29" s="51" t="s">
        <v>51</v>
      </c>
      <c r="H29" s="53">
        <v>45748</v>
      </c>
      <c r="I29" s="53">
        <v>46066</v>
      </c>
      <c r="J29" s="53"/>
      <c r="K29" s="53"/>
      <c r="L29" s="55"/>
      <c r="M29" s="55"/>
      <c r="N29" s="55">
        <v>1</v>
      </c>
      <c r="O29" s="55">
        <v>1</v>
      </c>
      <c r="P29" s="55">
        <v>1</v>
      </c>
      <c r="Q29" s="55">
        <v>1</v>
      </c>
      <c r="R29" s="55">
        <v>1</v>
      </c>
      <c r="S29" s="55">
        <v>1</v>
      </c>
      <c r="T29" s="55">
        <v>1</v>
      </c>
      <c r="U29" s="55">
        <v>1</v>
      </c>
      <c r="V29" s="55">
        <v>1</v>
      </c>
      <c r="W29" s="55">
        <v>1</v>
      </c>
      <c r="X29" s="55">
        <v>0.5</v>
      </c>
      <c r="Y29" s="55"/>
      <c r="Z29" s="55"/>
      <c r="AA29" s="44"/>
      <c r="AB29" s="44"/>
      <c r="AC29" s="44"/>
      <c r="AD29" s="44"/>
      <c r="AE29" s="44"/>
      <c r="AF29" s="44"/>
      <c r="AG29" s="44"/>
      <c r="AH29" s="44"/>
      <c r="AI29" s="45">
        <f t="shared" si="4"/>
        <v>10.5</v>
      </c>
      <c r="AJ29" s="26"/>
      <c r="AK29" s="19"/>
    </row>
    <row r="30" spans="1:38" ht="16.5" customHeight="1">
      <c r="A30" s="19"/>
      <c r="B30" s="25"/>
      <c r="C30" s="50" t="s">
        <v>62</v>
      </c>
      <c r="D30" s="383"/>
      <c r="E30" s="57" t="s">
        <v>59</v>
      </c>
      <c r="F30" s="57" t="s">
        <v>14</v>
      </c>
      <c r="G30" s="103" t="s">
        <v>56</v>
      </c>
      <c r="H30" s="59">
        <v>45726</v>
      </c>
      <c r="I30" s="59">
        <v>46127</v>
      </c>
      <c r="J30" s="59"/>
      <c r="K30" s="59"/>
      <c r="L30" s="44"/>
      <c r="M30" s="44">
        <v>0.75</v>
      </c>
      <c r="N30" s="44">
        <v>1</v>
      </c>
      <c r="O30" s="44">
        <v>1</v>
      </c>
      <c r="P30" s="44">
        <v>1</v>
      </c>
      <c r="Q30" s="44">
        <v>1</v>
      </c>
      <c r="R30" s="44">
        <v>1</v>
      </c>
      <c r="S30" s="44">
        <v>1</v>
      </c>
      <c r="T30" s="44">
        <v>1</v>
      </c>
      <c r="U30" s="44">
        <v>1</v>
      </c>
      <c r="V30" s="44">
        <v>1</v>
      </c>
      <c r="W30" s="44">
        <v>1</v>
      </c>
      <c r="X30" s="44">
        <v>1</v>
      </c>
      <c r="Y30" s="44">
        <v>1</v>
      </c>
      <c r="Z30" s="44">
        <v>0.5</v>
      </c>
      <c r="AA30" s="44"/>
      <c r="AB30" s="44"/>
      <c r="AC30" s="44"/>
      <c r="AD30" s="44"/>
      <c r="AE30" s="44"/>
      <c r="AF30" s="44"/>
      <c r="AG30" s="44"/>
      <c r="AH30" s="44"/>
      <c r="AI30" s="45">
        <f t="shared" si="4"/>
        <v>13.25</v>
      </c>
      <c r="AJ30" s="26"/>
      <c r="AK30" s="19"/>
    </row>
    <row r="31" spans="1:38" ht="16.5" customHeight="1">
      <c r="A31" s="19"/>
      <c r="B31" s="25"/>
      <c r="C31" s="50" t="s">
        <v>62</v>
      </c>
      <c r="D31" s="383"/>
      <c r="E31" s="57" t="s">
        <v>59</v>
      </c>
      <c r="F31" s="57" t="s">
        <v>7</v>
      </c>
      <c r="G31" s="103" t="s">
        <v>56</v>
      </c>
      <c r="H31" s="59">
        <v>45748</v>
      </c>
      <c r="I31" s="59">
        <v>45961</v>
      </c>
      <c r="J31" s="59"/>
      <c r="K31" s="59"/>
      <c r="L31" s="44"/>
      <c r="M31" s="44"/>
      <c r="N31" s="44">
        <v>1</v>
      </c>
      <c r="O31" s="44">
        <v>1</v>
      </c>
      <c r="P31" s="44">
        <v>1</v>
      </c>
      <c r="Q31" s="44">
        <v>1</v>
      </c>
      <c r="R31" s="44">
        <v>1</v>
      </c>
      <c r="S31" s="44">
        <v>1</v>
      </c>
      <c r="T31" s="44">
        <v>1</v>
      </c>
      <c r="U31" s="44"/>
      <c r="V31" s="44"/>
      <c r="W31" s="44"/>
      <c r="X31" s="44"/>
      <c r="Y31" s="44"/>
      <c r="Z31" s="44"/>
      <c r="AA31" s="44"/>
      <c r="AB31" s="44"/>
      <c r="AC31" s="44"/>
      <c r="AD31" s="44"/>
      <c r="AE31" s="44"/>
      <c r="AF31" s="44"/>
      <c r="AG31" s="44"/>
      <c r="AH31" s="44"/>
      <c r="AI31" s="45">
        <f t="shared" si="4"/>
        <v>7</v>
      </c>
      <c r="AJ31" s="26"/>
      <c r="AK31" s="19"/>
    </row>
    <row r="32" spans="1:38" ht="16.5" customHeight="1">
      <c r="A32" s="19"/>
      <c r="B32" s="25"/>
      <c r="C32" s="50" t="s">
        <v>62</v>
      </c>
      <c r="D32" s="383"/>
      <c r="E32" s="57" t="s">
        <v>59</v>
      </c>
      <c r="F32" s="57" t="s">
        <v>18</v>
      </c>
      <c r="G32" s="103" t="s">
        <v>56</v>
      </c>
      <c r="H32" s="59">
        <v>45726</v>
      </c>
      <c r="I32" s="59">
        <v>45989</v>
      </c>
      <c r="J32" s="59"/>
      <c r="K32" s="59"/>
      <c r="L32" s="44"/>
      <c r="M32" s="44">
        <v>0.75</v>
      </c>
      <c r="N32" s="44">
        <v>1</v>
      </c>
      <c r="O32" s="44">
        <v>1</v>
      </c>
      <c r="P32" s="44">
        <v>1</v>
      </c>
      <c r="Q32" s="44">
        <v>1</v>
      </c>
      <c r="R32" s="44">
        <v>1</v>
      </c>
      <c r="S32" s="44">
        <v>1</v>
      </c>
      <c r="T32" s="44">
        <v>1</v>
      </c>
      <c r="U32" s="44">
        <v>1</v>
      </c>
      <c r="V32" s="44"/>
      <c r="W32" s="44"/>
      <c r="X32" s="44"/>
      <c r="Y32" s="44"/>
      <c r="Z32" s="44"/>
      <c r="AA32" s="44"/>
      <c r="AB32" s="44"/>
      <c r="AC32" s="44"/>
      <c r="AD32" s="44"/>
      <c r="AE32" s="44"/>
      <c r="AF32" s="44"/>
      <c r="AG32" s="44"/>
      <c r="AH32" s="44"/>
      <c r="AI32" s="45">
        <f t="shared" si="4"/>
        <v>8.75</v>
      </c>
      <c r="AJ32" s="26"/>
      <c r="AK32" s="19"/>
    </row>
    <row r="33" spans="1:37" ht="16.5" customHeight="1">
      <c r="A33" s="19"/>
      <c r="B33" s="25"/>
      <c r="C33" s="50" t="s">
        <v>62</v>
      </c>
      <c r="D33" s="384"/>
      <c r="E33" s="57" t="s">
        <v>59</v>
      </c>
      <c r="F33" s="57" t="s">
        <v>11</v>
      </c>
      <c r="G33" s="103" t="s">
        <v>56</v>
      </c>
      <c r="H33" s="59">
        <v>45748</v>
      </c>
      <c r="I33" s="59">
        <v>45961</v>
      </c>
      <c r="J33" s="59"/>
      <c r="K33" s="59"/>
      <c r="L33" s="44"/>
      <c r="M33" s="44"/>
      <c r="N33" s="44">
        <v>1</v>
      </c>
      <c r="O33" s="44">
        <v>1</v>
      </c>
      <c r="P33" s="44">
        <v>1</v>
      </c>
      <c r="Q33" s="44">
        <v>1</v>
      </c>
      <c r="R33" s="44">
        <v>1</v>
      </c>
      <c r="S33" s="44">
        <v>1</v>
      </c>
      <c r="T33" s="44">
        <v>1</v>
      </c>
      <c r="U33" s="81"/>
      <c r="V33" s="44"/>
      <c r="W33" s="44"/>
      <c r="X33" s="44"/>
      <c r="Y33" s="44"/>
      <c r="Z33" s="44"/>
      <c r="AA33" s="44"/>
      <c r="AB33" s="44"/>
      <c r="AC33" s="44"/>
      <c r="AD33" s="44"/>
      <c r="AE33" s="44"/>
      <c r="AF33" s="44"/>
      <c r="AG33" s="44"/>
      <c r="AH33" s="44"/>
      <c r="AI33" s="45">
        <f t="shared" si="4"/>
        <v>7</v>
      </c>
      <c r="AJ33" s="26"/>
      <c r="AK33" s="19"/>
    </row>
    <row r="34" spans="1:37" ht="16.5" hidden="1" customHeight="1">
      <c r="A34" s="19"/>
      <c r="B34" s="25"/>
      <c r="C34" s="50" t="s">
        <v>62</v>
      </c>
      <c r="D34" s="385"/>
      <c r="E34" s="57" t="s">
        <v>51</v>
      </c>
      <c r="F34" s="57"/>
      <c r="G34" s="60"/>
      <c r="H34" s="59"/>
      <c r="I34" s="59"/>
      <c r="J34" s="59"/>
      <c r="K34" s="59"/>
      <c r="L34" s="44"/>
      <c r="M34" s="44"/>
      <c r="N34" s="44"/>
      <c r="O34" s="44"/>
      <c r="P34" s="44"/>
      <c r="Q34" s="44"/>
      <c r="R34" s="44"/>
      <c r="S34" s="44"/>
      <c r="T34" s="44"/>
      <c r="U34" s="44"/>
      <c r="V34" s="44"/>
      <c r="W34" s="44"/>
      <c r="X34" s="44"/>
      <c r="Y34" s="44"/>
      <c r="Z34" s="44"/>
      <c r="AA34" s="44"/>
      <c r="AB34" s="44"/>
      <c r="AC34" s="44"/>
      <c r="AD34" s="44"/>
      <c r="AE34" s="44"/>
      <c r="AF34" s="44"/>
      <c r="AG34" s="44"/>
      <c r="AH34" s="44"/>
      <c r="AI34" s="45">
        <v>0</v>
      </c>
      <c r="AJ34" s="26"/>
      <c r="AK34" s="19"/>
    </row>
    <row r="35" spans="1:37" ht="16.5" hidden="1" customHeight="1">
      <c r="A35" s="19"/>
      <c r="B35" s="25"/>
      <c r="C35" s="50" t="s">
        <v>62</v>
      </c>
      <c r="D35" s="383"/>
      <c r="E35" s="57" t="s">
        <v>57</v>
      </c>
      <c r="F35" s="57"/>
      <c r="G35" s="60"/>
      <c r="H35" s="59"/>
      <c r="I35" s="59"/>
      <c r="J35" s="59"/>
      <c r="K35" s="59"/>
      <c r="L35" s="44"/>
      <c r="M35" s="44"/>
      <c r="N35" s="44"/>
      <c r="O35" s="44"/>
      <c r="P35" s="44"/>
      <c r="Q35" s="44"/>
      <c r="R35" s="44"/>
      <c r="S35" s="44"/>
      <c r="T35" s="44"/>
      <c r="U35" s="44"/>
      <c r="V35" s="44"/>
      <c r="W35" s="44"/>
      <c r="X35" s="44"/>
      <c r="Y35" s="44"/>
      <c r="Z35" s="44"/>
      <c r="AA35" s="44"/>
      <c r="AB35" s="44"/>
      <c r="AC35" s="44"/>
      <c r="AD35" s="44"/>
      <c r="AE35" s="44"/>
      <c r="AF35" s="44"/>
      <c r="AG35" s="44"/>
      <c r="AH35" s="44"/>
      <c r="AI35" s="45">
        <v>0</v>
      </c>
      <c r="AJ35" s="26"/>
      <c r="AK35" s="19"/>
    </row>
    <row r="36" spans="1:37" ht="16.5" hidden="1" customHeight="1">
      <c r="A36" s="19"/>
      <c r="B36" s="25"/>
      <c r="C36" s="50" t="s">
        <v>62</v>
      </c>
      <c r="D36" s="384"/>
      <c r="E36" s="57" t="s">
        <v>59</v>
      </c>
      <c r="F36" s="57"/>
      <c r="G36" s="60"/>
      <c r="H36" s="59"/>
      <c r="I36" s="59"/>
      <c r="J36" s="59"/>
      <c r="K36" s="59"/>
      <c r="L36" s="44"/>
      <c r="M36" s="44"/>
      <c r="N36" s="44"/>
      <c r="O36" s="44"/>
      <c r="P36" s="44"/>
      <c r="Q36" s="44"/>
      <c r="R36" s="44"/>
      <c r="S36" s="44"/>
      <c r="T36" s="44"/>
      <c r="U36" s="44"/>
      <c r="V36" s="44"/>
      <c r="W36" s="44"/>
      <c r="X36" s="44"/>
      <c r="Y36" s="44"/>
      <c r="Z36" s="44"/>
      <c r="AA36" s="44"/>
      <c r="AB36" s="44"/>
      <c r="AC36" s="44"/>
      <c r="AD36" s="44"/>
      <c r="AE36" s="44"/>
      <c r="AF36" s="44"/>
      <c r="AG36" s="44"/>
      <c r="AH36" s="44"/>
      <c r="AI36" s="45">
        <v>0</v>
      </c>
      <c r="AJ36" s="26"/>
      <c r="AK36" s="19"/>
    </row>
    <row r="37" spans="1:37" ht="16.5" hidden="1" customHeight="1">
      <c r="A37" s="19"/>
      <c r="B37" s="25"/>
      <c r="C37" s="50" t="s">
        <v>62</v>
      </c>
      <c r="D37" s="385"/>
      <c r="E37" s="57" t="s">
        <v>51</v>
      </c>
      <c r="F37" s="57"/>
      <c r="G37" s="60"/>
      <c r="H37" s="59"/>
      <c r="I37" s="59"/>
      <c r="J37" s="59"/>
      <c r="K37" s="59"/>
      <c r="L37" s="44"/>
      <c r="M37" s="44"/>
      <c r="N37" s="44"/>
      <c r="O37" s="44"/>
      <c r="P37" s="44"/>
      <c r="Q37" s="44"/>
      <c r="R37" s="44"/>
      <c r="S37" s="44"/>
      <c r="T37" s="44"/>
      <c r="U37" s="44"/>
      <c r="V37" s="44"/>
      <c r="W37" s="44"/>
      <c r="X37" s="44"/>
      <c r="Y37" s="44"/>
      <c r="Z37" s="44"/>
      <c r="AA37" s="44"/>
      <c r="AB37" s="44"/>
      <c r="AC37" s="44"/>
      <c r="AD37" s="44"/>
      <c r="AE37" s="44"/>
      <c r="AF37" s="44"/>
      <c r="AG37" s="44"/>
      <c r="AH37" s="44"/>
      <c r="AI37" s="45">
        <v>0</v>
      </c>
      <c r="AJ37" s="26"/>
      <c r="AK37" s="19"/>
    </row>
    <row r="38" spans="1:37" ht="16.5" hidden="1" customHeight="1">
      <c r="A38" s="19"/>
      <c r="B38" s="25"/>
      <c r="C38" s="50" t="s">
        <v>62</v>
      </c>
      <c r="D38" s="383"/>
      <c r="E38" s="57" t="s">
        <v>57</v>
      </c>
      <c r="F38" s="57"/>
      <c r="G38" s="60"/>
      <c r="H38" s="59"/>
      <c r="I38" s="59"/>
      <c r="J38" s="59"/>
      <c r="K38" s="59"/>
      <c r="L38" s="44"/>
      <c r="M38" s="44"/>
      <c r="N38" s="44"/>
      <c r="O38" s="44"/>
      <c r="P38" s="44"/>
      <c r="Q38" s="44"/>
      <c r="R38" s="44"/>
      <c r="S38" s="44"/>
      <c r="T38" s="44"/>
      <c r="U38" s="44"/>
      <c r="V38" s="44"/>
      <c r="W38" s="44"/>
      <c r="X38" s="44"/>
      <c r="Y38" s="44"/>
      <c r="Z38" s="44"/>
      <c r="AA38" s="44"/>
      <c r="AB38" s="44"/>
      <c r="AC38" s="44"/>
      <c r="AD38" s="44"/>
      <c r="AE38" s="44"/>
      <c r="AF38" s="44"/>
      <c r="AG38" s="44"/>
      <c r="AH38" s="44"/>
      <c r="AI38" s="45">
        <v>0</v>
      </c>
      <c r="AJ38" s="26"/>
      <c r="AK38" s="19"/>
    </row>
    <row r="39" spans="1:37" ht="16.5" hidden="1" customHeight="1">
      <c r="A39" s="19"/>
      <c r="B39" s="25"/>
      <c r="C39" s="50" t="s">
        <v>62</v>
      </c>
      <c r="D39" s="384"/>
      <c r="E39" s="57" t="s">
        <v>59</v>
      </c>
      <c r="F39" s="57"/>
      <c r="G39" s="60"/>
      <c r="H39" s="59"/>
      <c r="I39" s="59"/>
      <c r="J39" s="59"/>
      <c r="K39" s="59"/>
      <c r="L39" s="44"/>
      <c r="M39" s="44"/>
      <c r="N39" s="44"/>
      <c r="O39" s="44"/>
      <c r="P39" s="44"/>
      <c r="Q39" s="44"/>
      <c r="R39" s="44"/>
      <c r="S39" s="44"/>
      <c r="T39" s="44"/>
      <c r="U39" s="44"/>
      <c r="V39" s="44"/>
      <c r="W39" s="44"/>
      <c r="X39" s="44"/>
      <c r="Y39" s="44"/>
      <c r="Z39" s="44"/>
      <c r="AA39" s="44"/>
      <c r="AB39" s="44"/>
      <c r="AC39" s="44"/>
      <c r="AD39" s="44"/>
      <c r="AE39" s="44"/>
      <c r="AF39" s="44"/>
      <c r="AG39" s="44"/>
      <c r="AH39" s="44"/>
      <c r="AI39" s="45">
        <v>0</v>
      </c>
      <c r="AJ39" s="26"/>
      <c r="AK39" s="19"/>
    </row>
    <row r="40" spans="1:37" ht="16.5" hidden="1" customHeight="1">
      <c r="A40" s="19"/>
      <c r="B40" s="25"/>
      <c r="C40" s="50" t="s">
        <v>62</v>
      </c>
      <c r="D40" s="386" t="s">
        <v>64</v>
      </c>
      <c r="E40" s="57" t="s">
        <v>51</v>
      </c>
      <c r="F40" s="57"/>
      <c r="G40" s="60"/>
      <c r="H40" s="59"/>
      <c r="I40" s="59"/>
      <c r="J40" s="59"/>
      <c r="K40" s="59"/>
      <c r="L40" s="44"/>
      <c r="M40" s="44"/>
      <c r="N40" s="44"/>
      <c r="O40" s="44"/>
      <c r="P40" s="44"/>
      <c r="Q40" s="44"/>
      <c r="R40" s="44"/>
      <c r="S40" s="44"/>
      <c r="T40" s="44"/>
      <c r="U40" s="44"/>
      <c r="V40" s="44"/>
      <c r="W40" s="44"/>
      <c r="X40" s="44"/>
      <c r="Y40" s="44"/>
      <c r="Z40" s="44"/>
      <c r="AA40" s="44"/>
      <c r="AB40" s="44"/>
      <c r="AC40" s="44"/>
      <c r="AD40" s="44"/>
      <c r="AE40" s="44"/>
      <c r="AF40" s="44"/>
      <c r="AG40" s="44"/>
      <c r="AH40" s="44"/>
      <c r="AI40" s="45">
        <v>0</v>
      </c>
      <c r="AJ40" s="26"/>
      <c r="AK40" s="19"/>
    </row>
    <row r="41" spans="1:37" ht="16.5" hidden="1" customHeight="1">
      <c r="A41" s="19"/>
      <c r="B41" s="25"/>
      <c r="C41" s="50" t="s">
        <v>62</v>
      </c>
      <c r="D41" s="383"/>
      <c r="E41" s="57" t="s">
        <v>57</v>
      </c>
      <c r="F41" s="57"/>
      <c r="G41" s="60"/>
      <c r="H41" s="59"/>
      <c r="I41" s="59"/>
      <c r="J41" s="59"/>
      <c r="K41" s="59"/>
      <c r="L41" s="44"/>
      <c r="M41" s="44"/>
      <c r="N41" s="44"/>
      <c r="O41" s="44"/>
      <c r="P41" s="44"/>
      <c r="Q41" s="44"/>
      <c r="R41" s="44"/>
      <c r="S41" s="44"/>
      <c r="T41" s="44"/>
      <c r="U41" s="44"/>
      <c r="V41" s="44"/>
      <c r="W41" s="44"/>
      <c r="X41" s="44"/>
      <c r="Y41" s="44"/>
      <c r="Z41" s="44"/>
      <c r="AA41" s="44"/>
      <c r="AB41" s="44"/>
      <c r="AC41" s="44"/>
      <c r="AD41" s="44"/>
      <c r="AE41" s="44"/>
      <c r="AF41" s="44"/>
      <c r="AG41" s="44"/>
      <c r="AH41" s="44"/>
      <c r="AI41" s="45">
        <v>0</v>
      </c>
      <c r="AJ41" s="26"/>
      <c r="AK41" s="19"/>
    </row>
    <row r="42" spans="1:37" ht="16.5" hidden="1" customHeight="1">
      <c r="A42" s="19"/>
      <c r="B42" s="25"/>
      <c r="C42" s="50" t="s">
        <v>62</v>
      </c>
      <c r="D42" s="384"/>
      <c r="E42" s="57" t="s">
        <v>59</v>
      </c>
      <c r="F42" s="57"/>
      <c r="G42" s="60"/>
      <c r="H42" s="59"/>
      <c r="I42" s="59"/>
      <c r="J42" s="59"/>
      <c r="K42" s="59"/>
      <c r="L42" s="44"/>
      <c r="M42" s="44"/>
      <c r="N42" s="44"/>
      <c r="O42" s="44"/>
      <c r="P42" s="44"/>
      <c r="Q42" s="44"/>
      <c r="R42" s="44"/>
      <c r="S42" s="44"/>
      <c r="T42" s="44"/>
      <c r="U42" s="44"/>
      <c r="V42" s="44"/>
      <c r="W42" s="44"/>
      <c r="X42" s="44"/>
      <c r="Y42" s="44"/>
      <c r="Z42" s="44"/>
      <c r="AA42" s="44"/>
      <c r="AB42" s="44"/>
      <c r="AC42" s="44"/>
      <c r="AD42" s="44"/>
      <c r="AE42" s="44"/>
      <c r="AF42" s="44"/>
      <c r="AG42" s="44"/>
      <c r="AH42" s="44"/>
      <c r="AI42" s="45">
        <v>0</v>
      </c>
      <c r="AJ42" s="26"/>
      <c r="AK42" s="19"/>
    </row>
    <row r="43" spans="1:37" ht="16.5" customHeight="1">
      <c r="A43" s="19"/>
      <c r="B43" s="25"/>
      <c r="C43" s="61" t="s">
        <v>62</v>
      </c>
      <c r="D43" s="104" t="s">
        <v>60</v>
      </c>
      <c r="E43" s="66"/>
      <c r="F43" s="66"/>
      <c r="G43" s="66" t="s">
        <v>77</v>
      </c>
      <c r="H43" s="66"/>
      <c r="I43" s="66" t="s">
        <v>61</v>
      </c>
      <c r="J43" s="67"/>
      <c r="K43" s="67"/>
      <c r="L43" s="68">
        <f t="shared" ref="L43:Z43" si="5">SUM(L27:L42)</f>
        <v>0</v>
      </c>
      <c r="M43" s="68">
        <f t="shared" si="5"/>
        <v>3</v>
      </c>
      <c r="N43" s="68">
        <f t="shared" si="5"/>
        <v>7</v>
      </c>
      <c r="O43" s="68">
        <f t="shared" si="5"/>
        <v>7</v>
      </c>
      <c r="P43" s="68">
        <f t="shared" si="5"/>
        <v>7</v>
      </c>
      <c r="Q43" s="68">
        <f t="shared" si="5"/>
        <v>7</v>
      </c>
      <c r="R43" s="68">
        <f t="shared" si="5"/>
        <v>7</v>
      </c>
      <c r="S43" s="68">
        <f t="shared" si="5"/>
        <v>7</v>
      </c>
      <c r="T43" s="68">
        <f t="shared" si="5"/>
        <v>7</v>
      </c>
      <c r="U43" s="68">
        <f t="shared" si="5"/>
        <v>5</v>
      </c>
      <c r="V43" s="68">
        <f t="shared" si="5"/>
        <v>4</v>
      </c>
      <c r="W43" s="68">
        <f t="shared" si="5"/>
        <v>4</v>
      </c>
      <c r="X43" s="68">
        <f t="shared" si="5"/>
        <v>3.5</v>
      </c>
      <c r="Y43" s="68">
        <f t="shared" si="5"/>
        <v>3</v>
      </c>
      <c r="Z43" s="68">
        <f t="shared" si="5"/>
        <v>1.5</v>
      </c>
      <c r="AA43" s="68"/>
      <c r="AB43" s="68"/>
      <c r="AC43" s="68"/>
      <c r="AD43" s="68"/>
      <c r="AE43" s="68"/>
      <c r="AF43" s="68"/>
      <c r="AG43" s="68"/>
      <c r="AH43" s="68"/>
      <c r="AI43" s="69">
        <f>SUM(AI27:AI42)</f>
        <v>73</v>
      </c>
      <c r="AJ43" s="26"/>
      <c r="AK43" s="19"/>
    </row>
    <row r="44" spans="1:37" ht="4.5" customHeight="1">
      <c r="A44" s="70"/>
      <c r="B44" s="71"/>
      <c r="C44" s="72"/>
      <c r="D44" s="73"/>
      <c r="E44" s="74"/>
      <c r="F44" s="74"/>
      <c r="G44" s="74"/>
      <c r="H44" s="74"/>
      <c r="I44" s="74"/>
      <c r="J44" s="74"/>
      <c r="K44" s="74"/>
      <c r="L44" s="74"/>
      <c r="M44" s="74"/>
      <c r="N44" s="74"/>
      <c r="O44" s="74"/>
      <c r="P44" s="74"/>
      <c r="Q44" s="74"/>
      <c r="R44" s="74"/>
      <c r="S44" s="74"/>
      <c r="T44" s="74"/>
      <c r="U44" s="74"/>
      <c r="V44" s="74"/>
      <c r="W44" s="74"/>
      <c r="X44" s="74"/>
      <c r="Y44" s="74"/>
      <c r="Z44" s="74"/>
      <c r="AA44" s="74"/>
      <c r="AB44" s="74"/>
      <c r="AC44" s="74"/>
      <c r="AD44" s="74"/>
      <c r="AE44" s="74"/>
      <c r="AF44" s="74"/>
      <c r="AG44" s="74"/>
      <c r="AH44" s="74"/>
      <c r="AI44" s="74"/>
      <c r="AJ44" s="78"/>
      <c r="AK44" s="70"/>
    </row>
    <row r="45" spans="1:37" ht="16.5" customHeight="1">
      <c r="A45" s="19"/>
      <c r="B45" s="25"/>
      <c r="C45" s="387" t="s">
        <v>60</v>
      </c>
      <c r="D45" s="388"/>
      <c r="E45" s="389"/>
      <c r="F45" s="84"/>
      <c r="G45" s="85"/>
      <c r="H45" s="85"/>
      <c r="I45" s="85" t="s">
        <v>65</v>
      </c>
      <c r="J45" s="86"/>
      <c r="K45" s="86"/>
      <c r="L45" s="68">
        <f t="shared" ref="L45:Z45" si="6">L25+L43</f>
        <v>6.5</v>
      </c>
      <c r="M45" s="68">
        <f t="shared" si="6"/>
        <v>12.5</v>
      </c>
      <c r="N45" s="68">
        <f t="shared" si="6"/>
        <v>19</v>
      </c>
      <c r="O45" s="68">
        <f t="shared" si="6"/>
        <v>19</v>
      </c>
      <c r="P45" s="68">
        <f t="shared" si="6"/>
        <v>19</v>
      </c>
      <c r="Q45" s="68">
        <f t="shared" si="6"/>
        <v>19</v>
      </c>
      <c r="R45" s="68">
        <f t="shared" si="6"/>
        <v>19</v>
      </c>
      <c r="S45" s="68">
        <f t="shared" si="6"/>
        <v>17.5</v>
      </c>
      <c r="T45" s="68">
        <f t="shared" si="6"/>
        <v>17</v>
      </c>
      <c r="U45" s="68">
        <f t="shared" si="6"/>
        <v>11</v>
      </c>
      <c r="V45" s="68">
        <f t="shared" si="6"/>
        <v>7.5</v>
      </c>
      <c r="W45" s="68">
        <f t="shared" si="6"/>
        <v>6</v>
      </c>
      <c r="X45" s="68">
        <f t="shared" si="6"/>
        <v>5.5</v>
      </c>
      <c r="Y45" s="68">
        <f t="shared" si="6"/>
        <v>5</v>
      </c>
      <c r="Z45" s="68">
        <f t="shared" si="6"/>
        <v>2.5</v>
      </c>
      <c r="AA45" s="68"/>
      <c r="AB45" s="68"/>
      <c r="AC45" s="68"/>
      <c r="AD45" s="68"/>
      <c r="AE45" s="68"/>
      <c r="AF45" s="68"/>
      <c r="AG45" s="68"/>
      <c r="AH45" s="68"/>
      <c r="AI45" s="69">
        <f>AI25+AI43</f>
        <v>186</v>
      </c>
      <c r="AJ45" s="26"/>
      <c r="AK45" s="19"/>
    </row>
    <row r="46" spans="1:37" ht="16.5" customHeight="1">
      <c r="A46" s="19"/>
      <c r="B46" s="87"/>
      <c r="C46" s="88"/>
      <c r="D46" s="88"/>
      <c r="E46" s="89"/>
      <c r="F46" s="89"/>
      <c r="G46" s="89"/>
      <c r="H46" s="89"/>
      <c r="I46" s="88"/>
      <c r="J46" s="88"/>
      <c r="K46" s="90"/>
      <c r="L46" s="89"/>
      <c r="M46" s="89"/>
      <c r="N46" s="89"/>
      <c r="O46" s="89"/>
      <c r="P46" s="89"/>
      <c r="Q46" s="89"/>
      <c r="R46" s="89"/>
      <c r="S46" s="89"/>
      <c r="T46" s="89"/>
      <c r="U46" s="89"/>
      <c r="V46" s="89"/>
      <c r="W46" s="89"/>
      <c r="X46" s="89"/>
      <c r="Y46" s="89"/>
      <c r="Z46" s="89"/>
      <c r="AA46" s="89"/>
      <c r="AB46" s="89"/>
      <c r="AC46" s="89"/>
      <c r="AD46" s="89"/>
      <c r="AE46" s="89"/>
      <c r="AF46" s="89"/>
      <c r="AG46" s="89"/>
      <c r="AH46" s="89"/>
      <c r="AI46" s="89"/>
      <c r="AJ46" s="91"/>
      <c r="AK46" s="19"/>
    </row>
    <row r="47" spans="1:37" ht="16.5" customHeight="1">
      <c r="C47" s="106"/>
    </row>
    <row r="48" spans="1:37" ht="27.75" customHeight="1">
      <c r="A48" s="19"/>
      <c r="B48" s="19"/>
      <c r="C48" s="149" t="s">
        <v>103</v>
      </c>
      <c r="D48" s="147"/>
      <c r="E48" s="148"/>
      <c r="F48" s="146"/>
      <c r="G48" s="146"/>
      <c r="H48" s="146"/>
      <c r="I48" s="146"/>
      <c r="J48" s="146"/>
      <c r="K48" s="146"/>
      <c r="L48" s="146"/>
      <c r="M48" s="146"/>
      <c r="N48" s="146"/>
      <c r="O48" s="146"/>
      <c r="P48" s="146"/>
      <c r="Q48" s="146"/>
      <c r="R48" s="20"/>
      <c r="S48" s="92" t="s">
        <v>66</v>
      </c>
      <c r="X48" s="92" t="s">
        <v>67</v>
      </c>
      <c r="AJ48" s="19"/>
      <c r="AK48" s="19"/>
    </row>
    <row r="49" spans="1:37" ht="16.5" customHeight="1">
      <c r="A49" s="19"/>
      <c r="B49" s="19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20"/>
      <c r="R49" s="20"/>
      <c r="S49" s="93" t="s">
        <v>68</v>
      </c>
      <c r="T49" s="94" t="s">
        <v>69</v>
      </c>
      <c r="U49" s="93" t="s">
        <v>70</v>
      </c>
      <c r="V49" s="93" t="s">
        <v>60</v>
      </c>
      <c r="W49" s="107" t="s">
        <v>80</v>
      </c>
      <c r="X49" s="400" t="s">
        <v>71</v>
      </c>
      <c r="Y49" s="381"/>
      <c r="Z49" s="95">
        <v>172</v>
      </c>
      <c r="AA49" s="108"/>
      <c r="AB49" s="108"/>
      <c r="AC49" s="108"/>
      <c r="AD49" s="108"/>
      <c r="AE49" s="108"/>
      <c r="AF49" s="108"/>
      <c r="AG49" s="108"/>
      <c r="AH49" s="108"/>
      <c r="AJ49" s="19"/>
      <c r="AK49" s="19"/>
    </row>
    <row r="50" spans="1:37" ht="16.5" customHeight="1"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S50" s="375" t="s">
        <v>53</v>
      </c>
      <c r="T50" s="96" t="s">
        <v>51</v>
      </c>
      <c r="U50" s="95">
        <f>SUMIF($E$7:$E$21,"고급",$AI$7:$AI$21)</f>
        <v>69</v>
      </c>
      <c r="V50" s="378">
        <f>SUM(U50:U52)</f>
        <v>113</v>
      </c>
      <c r="W50" s="115">
        <f>'250117 (제출본-최초)'!$U$46-U50</f>
        <v>-14</v>
      </c>
      <c r="X50" s="399" t="s">
        <v>81</v>
      </c>
      <c r="Y50" s="381"/>
      <c r="Z50" s="95">
        <f>204.5-Z49</f>
        <v>32.5</v>
      </c>
      <c r="AA50" s="109"/>
      <c r="AB50" s="109"/>
      <c r="AC50" s="109"/>
      <c r="AD50" s="109"/>
      <c r="AE50" s="109"/>
      <c r="AF50" s="109"/>
      <c r="AG50" s="109"/>
      <c r="AH50" s="109"/>
    </row>
    <row r="51" spans="1:37" ht="16.5" customHeight="1"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S51" s="376"/>
      <c r="T51" s="96" t="s">
        <v>57</v>
      </c>
      <c r="U51" s="95">
        <f>SUMIF($E$7:$E$21,"중급",$AI$7:$AI$21)</f>
        <v>25</v>
      </c>
      <c r="V51" s="376"/>
      <c r="W51" s="107">
        <f>'250117 (제출본-최초)'!$U$47-U51</f>
        <v>0</v>
      </c>
      <c r="X51" s="399" t="s">
        <v>73</v>
      </c>
      <c r="Y51" s="381"/>
      <c r="Z51" s="95">
        <v>204.5</v>
      </c>
      <c r="AA51" s="109"/>
      <c r="AB51" s="109"/>
      <c r="AC51" s="109"/>
      <c r="AD51" s="109"/>
      <c r="AE51" s="109"/>
      <c r="AF51" s="109"/>
      <c r="AG51" s="109"/>
      <c r="AH51" s="109"/>
    </row>
    <row r="52" spans="1:37" ht="16.5" customHeight="1"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S52" s="377"/>
      <c r="T52" s="96" t="s">
        <v>59</v>
      </c>
      <c r="U52" s="95">
        <f>SUMIF($E$7:$E$21,"초급",$AI$7:$AI$21)</f>
        <v>19</v>
      </c>
      <c r="V52" s="377"/>
      <c r="W52" s="107">
        <f>'250117 (제출본-최초)'!$U$48-U52</f>
        <v>0</v>
      </c>
      <c r="AA52" s="109"/>
      <c r="AB52" s="109"/>
      <c r="AC52" s="109"/>
      <c r="AD52" s="109"/>
      <c r="AE52" s="109"/>
      <c r="AF52" s="109"/>
      <c r="AG52" s="109"/>
      <c r="AH52" s="109"/>
    </row>
    <row r="53" spans="1:37" ht="16.5" customHeight="1"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S53" s="375" t="s">
        <v>62</v>
      </c>
      <c r="T53" s="96" t="s">
        <v>51</v>
      </c>
      <c r="U53" s="95">
        <f>SUMIF($E$25:$E$33,"고급",$AI$25:$AI$33)</f>
        <v>0</v>
      </c>
      <c r="V53" s="378">
        <f>SUM(U53:U55)</f>
        <v>73</v>
      </c>
      <c r="W53" s="107">
        <f>'250117 (제출본-최초)'!$U$49-U53</f>
        <v>0</v>
      </c>
    </row>
    <row r="54" spans="1:37" ht="16.5" customHeight="1"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S54" s="376"/>
      <c r="T54" s="96" t="s">
        <v>57</v>
      </c>
      <c r="U54" s="95">
        <f>SUMIF($E$25:$E$33,"중급",$AI$25:$AI$33)</f>
        <v>37</v>
      </c>
      <c r="V54" s="376"/>
      <c r="W54" s="107">
        <f>'250117 (제출본-최초)'!$U$50-U54</f>
        <v>0</v>
      </c>
    </row>
    <row r="55" spans="1:37" ht="16.5" customHeight="1"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S55" s="377"/>
      <c r="T55" s="96" t="s">
        <v>59</v>
      </c>
      <c r="U55" s="95">
        <f>SUMIF($E$25:$E$33,"초급",$AI$25:$AI$33)</f>
        <v>36</v>
      </c>
      <c r="V55" s="377"/>
      <c r="W55" s="107">
        <f>'250117 (제출본-최초)'!$U$51-U55</f>
        <v>0</v>
      </c>
    </row>
    <row r="56" spans="1:37" ht="16.5" customHeight="1"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S56" s="379" t="s">
        <v>74</v>
      </c>
      <c r="T56" s="380"/>
      <c r="U56" s="381"/>
      <c r="V56" s="97">
        <f t="shared" ref="V56:W56" si="7">SUM(V50:V55)</f>
        <v>186</v>
      </c>
      <c r="W56" s="107">
        <f t="shared" si="7"/>
        <v>-14</v>
      </c>
    </row>
    <row r="57" spans="1:37" ht="16.5" customHeight="1"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S57" s="379" t="s">
        <v>82</v>
      </c>
      <c r="T57" s="380"/>
      <c r="U57" s="381"/>
      <c r="V57" s="97">
        <f>Z51-V56</f>
        <v>18.5</v>
      </c>
    </row>
    <row r="58" spans="1:37" ht="16.5" customHeight="1"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</row>
    <row r="59" spans="1:37" ht="16.5" customHeight="1">
      <c r="I59" s="120" t="s">
        <v>101</v>
      </c>
      <c r="L59" s="138">
        <v>250326</v>
      </c>
      <c r="M59" s="139" t="s">
        <v>97</v>
      </c>
      <c r="N59" s="140"/>
      <c r="O59" s="140"/>
      <c r="P59" s="140"/>
      <c r="Q59" s="142"/>
      <c r="R59" s="140"/>
      <c r="S59" s="140"/>
    </row>
    <row r="60" spans="1:37" ht="16.5" customHeight="1">
      <c r="L60" s="119"/>
      <c r="M60" s="118" t="s">
        <v>98</v>
      </c>
      <c r="N60" s="1"/>
    </row>
    <row r="61" spans="1:37" ht="16.5" customHeight="1">
      <c r="L61" s="119"/>
      <c r="M61" s="46">
        <v>1</v>
      </c>
      <c r="N61" s="46">
        <v>1</v>
      </c>
      <c r="O61" s="46">
        <v>1</v>
      </c>
      <c r="P61" s="46">
        <v>1</v>
      </c>
      <c r="Q61" s="46">
        <v>1</v>
      </c>
      <c r="R61" s="46">
        <v>1</v>
      </c>
      <c r="S61" s="46">
        <v>1</v>
      </c>
    </row>
    <row r="62" spans="1:37" ht="16.5" customHeight="1">
      <c r="L62" s="119"/>
      <c r="M62" s="46">
        <v>1</v>
      </c>
      <c r="N62" s="46">
        <v>1</v>
      </c>
      <c r="O62" s="46">
        <v>1</v>
      </c>
      <c r="P62" s="46">
        <v>1</v>
      </c>
      <c r="Q62" s="46">
        <v>1</v>
      </c>
      <c r="R62" s="46">
        <v>1</v>
      </c>
      <c r="S62" s="46">
        <v>1</v>
      </c>
    </row>
    <row r="63" spans="1:37" ht="16.5" customHeight="1"/>
    <row r="64" spans="1:37" ht="16.5" customHeight="1"/>
    <row r="65" ht="16.5" customHeight="1"/>
    <row r="66" ht="16.5" customHeight="1"/>
    <row r="67" ht="16.5" customHeight="1"/>
    <row r="68" ht="16.5" customHeight="1"/>
    <row r="69" ht="16.5" customHeight="1"/>
    <row r="70" ht="16.5" customHeight="1"/>
    <row r="71" ht="16.5" customHeight="1"/>
    <row r="72" ht="16.5" customHeight="1"/>
    <row r="73" ht="16.5" customHeight="1"/>
    <row r="74" ht="16.5" customHeight="1"/>
    <row r="75" ht="16.5" customHeight="1"/>
    <row r="76" ht="16.5" customHeight="1"/>
    <row r="77" ht="16.5" customHeight="1"/>
    <row r="78" ht="16.5" customHeight="1"/>
    <row r="79" ht="16.5" customHeight="1"/>
    <row r="80" ht="16.5" customHeight="1"/>
    <row r="81" ht="16.5" customHeight="1"/>
    <row r="82" ht="16.5" customHeight="1"/>
    <row r="83" ht="16.5" customHeight="1"/>
    <row r="84" ht="16.5" customHeight="1"/>
    <row r="85" ht="16.5" customHeight="1"/>
    <row r="86" ht="16.5" customHeight="1"/>
    <row r="87" ht="16.5" customHeight="1"/>
    <row r="88" ht="16.5" customHeight="1"/>
    <row r="89" ht="16.5" customHeight="1"/>
    <row r="90" ht="16.5" customHeight="1"/>
    <row r="91" ht="16.5" customHeight="1"/>
    <row r="92" ht="16.5" customHeight="1"/>
    <row r="93" ht="16.5" customHeight="1"/>
    <row r="94" ht="16.5" customHeight="1"/>
    <row r="95" ht="16.5" customHeight="1"/>
    <row r="96" ht="16.5" customHeight="1"/>
    <row r="97" ht="16.5" customHeight="1"/>
    <row r="98" ht="16.5" customHeight="1"/>
    <row r="99" ht="16.5" customHeight="1"/>
    <row r="100" ht="16.5" customHeight="1"/>
    <row r="101" ht="16.5" customHeight="1"/>
    <row r="102" ht="16.5" customHeight="1"/>
    <row r="103" ht="16.5" customHeight="1"/>
    <row r="104" ht="16.5" customHeight="1"/>
    <row r="105" ht="16.5" customHeight="1"/>
    <row r="106" ht="16.5" customHeight="1"/>
    <row r="107" ht="16.5" customHeight="1"/>
    <row r="108" ht="16.5" customHeight="1"/>
    <row r="109" ht="16.5" customHeight="1"/>
    <row r="110" ht="16.5" customHeight="1"/>
    <row r="111" ht="16.5" customHeight="1"/>
    <row r="112" ht="16.5" customHeight="1"/>
    <row r="113" ht="16.5" customHeight="1"/>
    <row r="114" ht="16.5" customHeight="1"/>
    <row r="115" ht="16.5" customHeight="1"/>
    <row r="116" ht="16.5" customHeight="1"/>
    <row r="117" ht="16.5" customHeight="1"/>
    <row r="118" ht="16.5" customHeight="1"/>
    <row r="119" ht="16.5" customHeight="1"/>
    <row r="120" ht="16.5" customHeight="1"/>
    <row r="121" ht="16.5" customHeight="1"/>
    <row r="122" ht="16.5" customHeight="1"/>
    <row r="123" ht="16.5" customHeight="1"/>
    <row r="124" ht="16.5" customHeight="1"/>
    <row r="125" ht="16.5" customHeight="1"/>
    <row r="126" ht="16.5" customHeight="1"/>
    <row r="127" ht="16.5" customHeight="1"/>
    <row r="128" ht="16.5" customHeight="1"/>
    <row r="129" ht="16.5" customHeight="1"/>
    <row r="130" ht="16.5" customHeight="1"/>
    <row r="131" ht="16.5" customHeight="1"/>
    <row r="132" ht="16.5" customHeight="1"/>
    <row r="133" ht="16.5" customHeight="1"/>
    <row r="134" ht="16.5" customHeight="1"/>
    <row r="135" ht="16.5" customHeight="1"/>
    <row r="136" ht="16.5" customHeight="1"/>
    <row r="137" ht="16.5" customHeight="1"/>
    <row r="138" ht="16.5" customHeight="1"/>
    <row r="139" ht="16.5" customHeight="1"/>
    <row r="140" ht="16.5" customHeight="1"/>
    <row r="141" ht="16.5" customHeight="1"/>
    <row r="142" ht="16.5" customHeight="1"/>
    <row r="143" ht="16.5" customHeight="1"/>
    <row r="144" ht="16.5" customHeight="1"/>
    <row r="145" ht="16.5" customHeight="1"/>
    <row r="146" ht="16.5" customHeight="1"/>
    <row r="147" ht="16.5" customHeight="1"/>
    <row r="148" ht="16.5" customHeight="1"/>
    <row r="149" ht="16.5" customHeight="1"/>
    <row r="150" ht="16.5" customHeight="1"/>
    <row r="151" ht="16.5" customHeight="1"/>
    <row r="152" ht="16.5" customHeight="1"/>
    <row r="153" ht="16.5" customHeight="1"/>
    <row r="154" ht="16.5" customHeight="1"/>
    <row r="155" ht="16.5" customHeight="1"/>
    <row r="156" ht="16.5" customHeight="1"/>
    <row r="157" ht="16.5" customHeight="1"/>
    <row r="158" ht="16.5" customHeight="1"/>
    <row r="159" ht="16.5" customHeight="1"/>
    <row r="160" ht="16.5" customHeight="1"/>
    <row r="161" ht="16.5" customHeight="1"/>
    <row r="162" ht="16.5" customHeight="1"/>
    <row r="163" ht="16.5" customHeight="1"/>
    <row r="164" ht="16.5" customHeight="1"/>
    <row r="165" ht="16.5" customHeight="1"/>
    <row r="166" ht="16.5" customHeight="1"/>
    <row r="167" ht="16.5" customHeight="1"/>
    <row r="168" ht="16.5" customHeight="1"/>
    <row r="169" ht="16.5" customHeight="1"/>
    <row r="170" ht="16.5" customHeight="1"/>
    <row r="171" ht="16.5" customHeight="1"/>
    <row r="172" ht="16.5" customHeight="1"/>
    <row r="173" ht="16.5" customHeight="1"/>
    <row r="174" ht="16.5" customHeight="1"/>
    <row r="175" ht="16.5" customHeight="1"/>
    <row r="176" ht="16.5" customHeight="1"/>
    <row r="177" ht="16.5" customHeight="1"/>
    <row r="178" ht="16.5" customHeight="1"/>
    <row r="179" ht="16.5" customHeight="1"/>
    <row r="180" ht="16.5" customHeight="1"/>
    <row r="181" ht="16.5" customHeight="1"/>
    <row r="182" ht="16.5" customHeight="1"/>
    <row r="183" ht="16.5" customHeight="1"/>
    <row r="184" ht="16.5" customHeight="1"/>
    <row r="185" ht="16.5" customHeight="1"/>
    <row r="186" ht="16.5" customHeight="1"/>
    <row r="187" ht="16.5" customHeight="1"/>
    <row r="188" ht="16.5" customHeight="1"/>
    <row r="189" ht="16.5" customHeight="1"/>
    <row r="190" ht="16.5" customHeight="1"/>
    <row r="191" ht="16.5" customHeight="1"/>
    <row r="192" ht="16.5" customHeight="1"/>
    <row r="193" ht="16.5" customHeight="1"/>
    <row r="194" ht="16.5" customHeight="1"/>
    <row r="195" ht="16.5" customHeight="1"/>
    <row r="196" ht="16.5" customHeight="1"/>
    <row r="197" ht="16.5" customHeight="1"/>
    <row r="198" ht="16.5" customHeight="1"/>
    <row r="199" ht="16.5" customHeight="1"/>
    <row r="200" ht="16.5" customHeight="1"/>
    <row r="201" ht="16.5" customHeight="1"/>
    <row r="202" ht="16.5" customHeight="1"/>
    <row r="203" ht="16.5" customHeight="1"/>
    <row r="204" ht="16.5" customHeight="1"/>
    <row r="205" ht="16.5" customHeight="1"/>
    <row r="206" ht="16.5" customHeight="1"/>
    <row r="207" ht="16.5" customHeight="1"/>
    <row r="208" ht="16.5" customHeight="1"/>
    <row r="209" ht="16.5" customHeight="1"/>
    <row r="210" ht="16.5" customHeight="1"/>
    <row r="211" ht="16.5" customHeight="1"/>
    <row r="212" ht="16.5" customHeight="1"/>
    <row r="213" ht="16.5" customHeight="1"/>
    <row r="214" ht="16.5" customHeight="1"/>
    <row r="215" ht="16.5" customHeight="1"/>
    <row r="216" ht="16.5" customHeight="1"/>
    <row r="217" ht="16.5" customHeight="1"/>
    <row r="218" ht="16.5" customHeight="1"/>
    <row r="219" ht="16.5" customHeight="1"/>
    <row r="220" ht="16.5" customHeight="1"/>
    <row r="221" ht="16.5" customHeight="1"/>
    <row r="222" ht="16.5" customHeight="1"/>
    <row r="223" ht="16.5" customHeight="1"/>
    <row r="224" ht="16.5" customHeight="1"/>
    <row r="225" ht="16.5" customHeight="1"/>
    <row r="226" ht="16.5" customHeight="1"/>
    <row r="227" ht="16.5" customHeight="1"/>
    <row r="228" ht="16.5" customHeight="1"/>
    <row r="229" ht="16.5" customHeight="1"/>
    <row r="230" ht="16.5" customHeight="1"/>
    <row r="231" ht="16.5" customHeight="1"/>
    <row r="232" ht="16.5" customHeight="1"/>
    <row r="233" ht="16.5" customHeight="1"/>
    <row r="234" ht="16.5" customHeight="1"/>
    <row r="235" ht="16.5" customHeight="1"/>
    <row r="236" ht="16.5" customHeight="1"/>
    <row r="237" ht="16.5" customHeight="1"/>
    <row r="238" ht="16.5" customHeight="1"/>
    <row r="239" ht="16.5" customHeight="1"/>
    <row r="240" ht="16.5" customHeight="1"/>
    <row r="241" ht="16.5" customHeight="1"/>
    <row r="242" ht="16.5" customHeight="1"/>
    <row r="243" ht="16.5" customHeight="1"/>
    <row r="244" ht="16.5" customHeight="1"/>
    <row r="245" ht="16.5" customHeight="1"/>
    <row r="246" ht="16.5" customHeight="1"/>
    <row r="247" ht="16.5" customHeight="1"/>
    <row r="248" ht="16.5" customHeight="1"/>
    <row r="249" ht="16.5" customHeight="1"/>
    <row r="250" ht="16.5" customHeight="1"/>
    <row r="251" ht="16.5" customHeight="1"/>
    <row r="252" ht="16.5" customHeight="1"/>
    <row r="253" ht="16.5" customHeight="1"/>
    <row r="254" ht="16.5" customHeight="1"/>
    <row r="255" ht="16.5" customHeight="1"/>
    <row r="256" ht="16.5" customHeight="1"/>
    <row r="257" ht="16.5" customHeight="1"/>
    <row r="258" ht="16.5" customHeight="1"/>
    <row r="259" ht="16.5" customHeight="1"/>
    <row r="260" ht="16.5" customHeight="1"/>
    <row r="261" ht="16.5" customHeight="1"/>
    <row r="262" ht="16.5" customHeight="1"/>
    <row r="263" ht="16.5" customHeight="1"/>
    <row r="264" ht="16.5" customHeight="1"/>
    <row r="265" ht="16.5" customHeight="1"/>
    <row r="266" ht="16.5" customHeight="1"/>
    <row r="267" ht="16.5" customHeight="1"/>
    <row r="268" ht="16.5" customHeight="1"/>
    <row r="269" ht="16.5" customHeight="1"/>
    <row r="270" ht="16.5" customHeight="1"/>
    <row r="271" ht="16.5" customHeight="1"/>
    <row r="272" ht="16.5" customHeight="1"/>
    <row r="273" ht="16.5" customHeight="1"/>
    <row r="274" ht="16.5" customHeight="1"/>
    <row r="275" ht="16.5" customHeight="1"/>
    <row r="276" ht="16.5" customHeight="1"/>
    <row r="277" ht="16.5" customHeight="1"/>
    <row r="278" ht="16.5" customHeight="1"/>
    <row r="279" ht="16.5" customHeight="1"/>
    <row r="280" ht="16.5" customHeight="1"/>
    <row r="281" ht="16.5" customHeight="1"/>
    <row r="282" ht="16.5" customHeight="1"/>
    <row r="283" ht="16.5" customHeight="1"/>
    <row r="284" ht="16.5" customHeight="1"/>
    <row r="285" ht="16.5" customHeight="1"/>
    <row r="286" ht="16.5" customHeight="1"/>
    <row r="287" ht="16.5" customHeight="1"/>
    <row r="288" ht="16.5" customHeight="1"/>
    <row r="289" ht="16.5" customHeight="1"/>
    <row r="290" ht="16.5" customHeight="1"/>
    <row r="291" ht="16.5" customHeight="1"/>
    <row r="292" ht="16.5" customHeight="1"/>
    <row r="293" ht="16.5" customHeight="1"/>
    <row r="294" ht="16.5" customHeight="1"/>
    <row r="295" ht="16.5" customHeight="1"/>
    <row r="296" ht="16.5" customHeight="1"/>
    <row r="297" ht="16.5" customHeight="1"/>
    <row r="298" ht="16.5" customHeight="1"/>
    <row r="299" ht="16.5" customHeight="1"/>
    <row r="300" ht="16.5" customHeight="1"/>
    <row r="301" ht="16.5" customHeight="1"/>
    <row r="302" ht="16.5" customHeight="1"/>
    <row r="303" ht="16.5" customHeight="1"/>
    <row r="304" ht="16.5" customHeight="1"/>
    <row r="305" ht="16.5" customHeight="1"/>
    <row r="306" ht="16.5" customHeight="1"/>
    <row r="307" ht="16.5" customHeight="1"/>
    <row r="308" ht="16.5" customHeight="1"/>
    <row r="309" ht="16.5" customHeight="1"/>
    <row r="310" ht="16.5" customHeight="1"/>
    <row r="311" ht="16.5" customHeight="1"/>
    <row r="312" ht="16.5" customHeight="1"/>
    <row r="313" ht="16.5" customHeight="1"/>
    <row r="314" ht="16.5" customHeight="1"/>
    <row r="315" ht="16.5" customHeight="1"/>
    <row r="316" ht="16.5" customHeight="1"/>
    <row r="317" ht="16.5" customHeight="1"/>
    <row r="318" ht="16.5" customHeight="1"/>
    <row r="319" ht="16.5" customHeight="1"/>
    <row r="320" ht="16.5" customHeight="1"/>
    <row r="321" ht="16.5" customHeight="1"/>
    <row r="322" ht="16.5" customHeight="1"/>
    <row r="323" ht="16.5" customHeight="1"/>
    <row r="324" ht="16.5" customHeight="1"/>
    <row r="325" ht="16.5" customHeight="1"/>
    <row r="326" ht="16.5" customHeight="1"/>
    <row r="327" ht="16.5" customHeight="1"/>
    <row r="328" ht="16.5" customHeight="1"/>
    <row r="329" ht="16.5" customHeight="1"/>
    <row r="330" ht="16.5" customHeight="1"/>
    <row r="331" ht="16.5" customHeight="1"/>
    <row r="332" ht="16.5" customHeight="1"/>
    <row r="333" ht="16.5" customHeight="1"/>
    <row r="334" ht="16.5" customHeight="1"/>
    <row r="335" ht="16.5" customHeight="1"/>
    <row r="336" ht="16.5" customHeight="1"/>
    <row r="337" ht="16.5" customHeight="1"/>
    <row r="338" ht="16.5" customHeight="1"/>
    <row r="339" ht="16.5" customHeight="1"/>
    <row r="340" ht="16.5" customHeight="1"/>
    <row r="341" ht="16.5" customHeight="1"/>
    <row r="342" ht="16.5" customHeight="1"/>
    <row r="343" ht="16.5" customHeight="1"/>
    <row r="344" ht="16.5" customHeight="1"/>
    <row r="345" ht="16.5" customHeight="1"/>
    <row r="346" ht="16.5" customHeight="1"/>
    <row r="347" ht="16.5" customHeight="1"/>
    <row r="348" ht="16.5" customHeight="1"/>
    <row r="349" ht="16.5" customHeight="1"/>
    <row r="350" ht="16.5" customHeight="1"/>
    <row r="351" ht="16.5" customHeight="1"/>
    <row r="352" ht="16.5" customHeight="1"/>
    <row r="353" ht="16.5" customHeight="1"/>
    <row r="354" ht="16.5" customHeight="1"/>
    <row r="355" ht="16.5" customHeight="1"/>
    <row r="356" ht="16.5" customHeight="1"/>
    <row r="357" ht="16.5" customHeight="1"/>
    <row r="358" ht="16.5" customHeight="1"/>
    <row r="359" ht="16.5" customHeight="1"/>
    <row r="360" ht="16.5" customHeight="1"/>
    <row r="361" ht="16.5" customHeight="1"/>
    <row r="362" ht="16.5" customHeight="1"/>
    <row r="363" ht="16.5" customHeight="1"/>
    <row r="364" ht="16.5" customHeight="1"/>
    <row r="365" ht="16.5" customHeight="1"/>
    <row r="366" ht="16.5" customHeight="1"/>
    <row r="367" ht="16.5" customHeight="1"/>
    <row r="368" ht="16.5" customHeight="1"/>
    <row r="369" ht="16.5" customHeight="1"/>
    <row r="370" ht="16.5" customHeight="1"/>
    <row r="371" ht="16.5" customHeight="1"/>
    <row r="372" ht="16.5" customHeight="1"/>
    <row r="373" ht="16.5" customHeight="1"/>
    <row r="374" ht="16.5" customHeight="1"/>
    <row r="375" ht="16.5" customHeight="1"/>
    <row r="376" ht="16.5" customHeight="1"/>
    <row r="377" ht="16.5" customHeight="1"/>
    <row r="378" ht="16.5" customHeight="1"/>
    <row r="379" ht="16.5" customHeight="1"/>
    <row r="380" ht="16.5" customHeight="1"/>
    <row r="381" ht="16.5" customHeight="1"/>
    <row r="382" ht="16.5" customHeight="1"/>
    <row r="383" ht="16.5" customHeight="1"/>
    <row r="384" ht="16.5" customHeight="1"/>
    <row r="385" ht="16.5" customHeight="1"/>
    <row r="386" ht="16.5" customHeight="1"/>
    <row r="387" ht="16.5" customHeight="1"/>
    <row r="388" ht="16.5" customHeight="1"/>
    <row r="389" ht="16.5" customHeight="1"/>
    <row r="390" ht="16.5" customHeight="1"/>
    <row r="391" ht="16.5" customHeight="1"/>
    <row r="392" ht="16.5" customHeight="1"/>
    <row r="393" ht="16.5" customHeight="1"/>
    <row r="394" ht="16.5" customHeight="1"/>
    <row r="395" ht="16.5" customHeight="1"/>
    <row r="396" ht="16.5" customHeight="1"/>
    <row r="397" ht="16.5" customHeight="1"/>
    <row r="398" ht="16.5" customHeight="1"/>
    <row r="399" ht="16.5" customHeight="1"/>
    <row r="400" ht="16.5" customHeight="1"/>
    <row r="401" ht="16.5" customHeight="1"/>
    <row r="402" ht="16.5" customHeight="1"/>
    <row r="403" ht="16.5" customHeight="1"/>
    <row r="404" ht="16.5" customHeight="1"/>
    <row r="405" ht="16.5" customHeight="1"/>
    <row r="406" ht="16.5" customHeight="1"/>
    <row r="407" ht="16.5" customHeight="1"/>
    <row r="408" ht="16.5" customHeight="1"/>
    <row r="409" ht="16.5" customHeight="1"/>
    <row r="410" ht="16.5" customHeight="1"/>
    <row r="411" ht="16.5" customHeight="1"/>
    <row r="412" ht="16.5" customHeight="1"/>
    <row r="413" ht="16.5" customHeight="1"/>
    <row r="414" ht="16.5" customHeight="1"/>
    <row r="415" ht="16.5" customHeight="1"/>
    <row r="416" ht="16.5" customHeight="1"/>
    <row r="417" ht="16.5" customHeight="1"/>
    <row r="418" ht="16.5" customHeight="1"/>
    <row r="419" ht="16.5" customHeight="1"/>
    <row r="420" ht="16.5" customHeight="1"/>
    <row r="421" ht="16.5" customHeight="1"/>
    <row r="422" ht="16.5" customHeight="1"/>
    <row r="423" ht="16.5" customHeight="1"/>
    <row r="424" ht="16.5" customHeight="1"/>
    <row r="425" ht="16.5" customHeight="1"/>
    <row r="426" ht="16.5" customHeight="1"/>
    <row r="427" ht="16.5" customHeight="1"/>
    <row r="428" ht="16.5" customHeight="1"/>
    <row r="429" ht="16.5" customHeight="1"/>
    <row r="430" ht="16.5" customHeight="1"/>
    <row r="431" ht="16.5" customHeight="1"/>
    <row r="432" ht="16.5" customHeight="1"/>
    <row r="433" ht="16.5" customHeight="1"/>
    <row r="434" ht="16.5" customHeight="1"/>
    <row r="435" ht="16.5" customHeight="1"/>
    <row r="436" ht="16.5" customHeight="1"/>
    <row r="437" ht="16.5" customHeight="1"/>
    <row r="438" ht="16.5" customHeight="1"/>
    <row r="439" ht="16.5" customHeight="1"/>
    <row r="440" ht="16.5" customHeight="1"/>
    <row r="441" ht="16.5" customHeight="1"/>
    <row r="442" ht="16.5" customHeight="1"/>
    <row r="443" ht="16.5" customHeight="1"/>
    <row r="444" ht="16.5" customHeight="1"/>
    <row r="445" ht="16.5" customHeight="1"/>
    <row r="446" ht="16.5" customHeight="1"/>
    <row r="447" ht="16.5" customHeight="1"/>
    <row r="448" ht="16.5" customHeight="1"/>
    <row r="449" ht="16.5" customHeight="1"/>
    <row r="450" ht="16.5" customHeight="1"/>
    <row r="451" ht="16.5" customHeight="1"/>
    <row r="452" ht="16.5" customHeight="1"/>
    <row r="453" ht="16.5" customHeight="1"/>
    <row r="454" ht="16.5" customHeight="1"/>
    <row r="455" ht="16.5" customHeight="1"/>
    <row r="456" ht="16.5" customHeight="1"/>
    <row r="457" ht="16.5" customHeight="1"/>
    <row r="458" ht="16.5" customHeight="1"/>
    <row r="459" ht="16.5" customHeight="1"/>
    <row r="460" ht="16.5" customHeight="1"/>
    <row r="461" ht="16.5" customHeight="1"/>
    <row r="462" ht="16.5" customHeight="1"/>
    <row r="463" ht="16.5" customHeight="1"/>
    <row r="464" ht="16.5" customHeight="1"/>
    <row r="465" ht="16.5" customHeight="1"/>
    <row r="466" ht="16.5" customHeight="1"/>
    <row r="467" ht="16.5" customHeight="1"/>
    <row r="468" ht="16.5" customHeight="1"/>
    <row r="469" ht="16.5" customHeight="1"/>
    <row r="470" ht="16.5" customHeight="1"/>
    <row r="471" ht="16.5" customHeight="1"/>
    <row r="472" ht="16.5" customHeight="1"/>
    <row r="473" ht="16.5" customHeight="1"/>
    <row r="474" ht="16.5" customHeight="1"/>
    <row r="475" ht="16.5" customHeight="1"/>
    <row r="476" ht="16.5" customHeight="1"/>
    <row r="477" ht="16.5" customHeight="1"/>
    <row r="478" ht="16.5" customHeight="1"/>
    <row r="479" ht="16.5" customHeight="1"/>
    <row r="480" ht="16.5" customHeight="1"/>
    <row r="481" ht="16.5" customHeight="1"/>
    <row r="482" ht="16.5" customHeight="1"/>
    <row r="483" ht="16.5" customHeight="1"/>
    <row r="484" ht="16.5" customHeight="1"/>
    <row r="485" ht="16.5" customHeight="1"/>
    <row r="486" ht="16.5" customHeight="1"/>
    <row r="487" ht="16.5" customHeight="1"/>
    <row r="488" ht="16.5" customHeight="1"/>
    <row r="489" ht="16.5" customHeight="1"/>
    <row r="490" ht="16.5" customHeight="1"/>
    <row r="491" ht="16.5" customHeight="1"/>
    <row r="492" ht="16.5" customHeight="1"/>
    <row r="493" ht="16.5" customHeight="1"/>
    <row r="494" ht="16.5" customHeight="1"/>
    <row r="495" ht="16.5" customHeight="1"/>
    <row r="496" ht="16.5" customHeight="1"/>
    <row r="497" ht="16.5" customHeight="1"/>
    <row r="498" ht="16.5" customHeight="1"/>
    <row r="499" ht="16.5" customHeight="1"/>
    <row r="500" ht="16.5" customHeight="1"/>
    <row r="501" ht="16.5" customHeight="1"/>
    <row r="502" ht="16.5" customHeight="1"/>
    <row r="503" ht="16.5" customHeight="1"/>
    <row r="504" ht="16.5" customHeight="1"/>
    <row r="505" ht="16.5" customHeight="1"/>
    <row r="506" ht="16.5" customHeight="1"/>
    <row r="507" ht="16.5" customHeight="1"/>
    <row r="508" ht="16.5" customHeight="1"/>
    <row r="509" ht="16.5" customHeight="1"/>
    <row r="510" ht="16.5" customHeight="1"/>
    <row r="511" ht="16.5" customHeight="1"/>
    <row r="512" ht="16.5" customHeight="1"/>
    <row r="513" ht="16.5" customHeight="1"/>
    <row r="514" ht="16.5" customHeight="1"/>
    <row r="515" ht="16.5" customHeight="1"/>
    <row r="516" ht="16.5" customHeight="1"/>
    <row r="517" ht="16.5" customHeight="1"/>
    <row r="518" ht="16.5" customHeight="1"/>
    <row r="519" ht="16.5" customHeight="1"/>
    <row r="520" ht="16.5" customHeight="1"/>
    <row r="521" ht="16.5" customHeight="1"/>
    <row r="522" ht="16.5" customHeight="1"/>
    <row r="523" ht="16.5" customHeight="1"/>
    <row r="524" ht="16.5" customHeight="1"/>
    <row r="525" ht="16.5" customHeight="1"/>
    <row r="526" ht="16.5" customHeight="1"/>
    <row r="527" ht="16.5" customHeight="1"/>
    <row r="528" ht="16.5" customHeight="1"/>
    <row r="529" ht="16.5" customHeight="1"/>
    <row r="530" ht="16.5" customHeight="1"/>
    <row r="531" ht="16.5" customHeight="1"/>
    <row r="532" ht="16.5" customHeight="1"/>
    <row r="533" ht="16.5" customHeight="1"/>
    <row r="534" ht="16.5" customHeight="1"/>
    <row r="535" ht="16.5" customHeight="1"/>
    <row r="536" ht="16.5" customHeight="1"/>
    <row r="537" ht="16.5" customHeight="1"/>
    <row r="538" ht="16.5" customHeight="1"/>
    <row r="539" ht="16.5" customHeight="1"/>
    <row r="540" ht="16.5" customHeight="1"/>
    <row r="541" ht="16.5" customHeight="1"/>
    <row r="542" ht="16.5" customHeight="1"/>
    <row r="543" ht="16.5" customHeight="1"/>
    <row r="544" ht="16.5" customHeight="1"/>
    <row r="545" ht="16.5" customHeight="1"/>
    <row r="546" ht="16.5" customHeight="1"/>
    <row r="547" ht="16.5" customHeight="1"/>
    <row r="548" ht="16.5" customHeight="1"/>
    <row r="549" ht="16.5" customHeight="1"/>
    <row r="550" ht="16.5" customHeight="1"/>
    <row r="551" ht="16.5" customHeight="1"/>
    <row r="552" ht="16.5" customHeight="1"/>
    <row r="553" ht="16.5" customHeight="1"/>
    <row r="554" ht="16.5" customHeight="1"/>
    <row r="555" ht="16.5" customHeight="1"/>
    <row r="556" ht="16.5" customHeight="1"/>
    <row r="557" ht="16.5" customHeight="1"/>
    <row r="558" ht="16.5" customHeight="1"/>
    <row r="559" ht="16.5" customHeight="1"/>
    <row r="560" ht="16.5" customHeight="1"/>
    <row r="561" ht="16.5" customHeight="1"/>
    <row r="562" ht="16.5" customHeight="1"/>
    <row r="563" ht="16.5" customHeight="1"/>
    <row r="564" ht="16.5" customHeight="1"/>
    <row r="565" ht="16.5" customHeight="1"/>
    <row r="566" ht="16.5" customHeight="1"/>
    <row r="567" ht="16.5" customHeight="1"/>
    <row r="568" ht="16.5" customHeight="1"/>
    <row r="569" ht="16.5" customHeight="1"/>
    <row r="570" ht="16.5" customHeight="1"/>
    <row r="571" ht="16.5" customHeight="1"/>
    <row r="572" ht="16.5" customHeight="1"/>
    <row r="573" ht="16.5" customHeight="1"/>
    <row r="574" ht="16.5" customHeight="1"/>
    <row r="575" ht="16.5" customHeight="1"/>
    <row r="576" ht="16.5" customHeight="1"/>
    <row r="577" ht="16.5" customHeight="1"/>
    <row r="578" ht="16.5" customHeight="1"/>
    <row r="579" ht="16.5" customHeight="1"/>
    <row r="580" ht="16.5" customHeight="1"/>
    <row r="581" ht="16.5" customHeight="1"/>
    <row r="582" ht="16.5" customHeight="1"/>
    <row r="583" ht="16.5" customHeight="1"/>
    <row r="584" ht="16.5" customHeight="1"/>
    <row r="585" ht="16.5" customHeight="1"/>
    <row r="586" ht="16.5" customHeight="1"/>
    <row r="587" ht="16.5" customHeight="1"/>
    <row r="588" ht="16.5" customHeight="1"/>
    <row r="589" ht="16.5" customHeight="1"/>
    <row r="590" ht="16.5" customHeight="1"/>
    <row r="591" ht="16.5" customHeight="1"/>
    <row r="592" ht="16.5" customHeight="1"/>
    <row r="593" ht="16.5" customHeight="1"/>
    <row r="594" ht="16.5" customHeight="1"/>
    <row r="595" ht="16.5" customHeight="1"/>
    <row r="596" ht="16.5" customHeight="1"/>
    <row r="597" ht="16.5" customHeight="1"/>
    <row r="598" ht="16.5" customHeight="1"/>
    <row r="599" ht="16.5" customHeight="1"/>
    <row r="600" ht="16.5" customHeight="1"/>
    <row r="601" ht="16.5" customHeight="1"/>
    <row r="602" ht="16.5" customHeight="1"/>
    <row r="603" ht="16.5" customHeight="1"/>
    <row r="604" ht="16.5" customHeight="1"/>
    <row r="605" ht="16.5" customHeight="1"/>
    <row r="606" ht="16.5" customHeight="1"/>
    <row r="607" ht="16.5" customHeight="1"/>
    <row r="608" ht="16.5" customHeight="1"/>
    <row r="609" ht="16.5" customHeight="1"/>
    <row r="610" ht="16.5" customHeight="1"/>
    <row r="611" ht="16.5" customHeight="1"/>
    <row r="612" ht="16.5" customHeight="1"/>
    <row r="613" ht="16.5" customHeight="1"/>
    <row r="614" ht="16.5" customHeight="1"/>
    <row r="615" ht="16.5" customHeight="1"/>
    <row r="616" ht="16.5" customHeight="1"/>
    <row r="617" ht="16.5" customHeight="1"/>
    <row r="618" ht="16.5" customHeight="1"/>
    <row r="619" ht="16.5" customHeight="1"/>
    <row r="620" ht="16.5" customHeight="1"/>
    <row r="621" ht="16.5" customHeight="1"/>
    <row r="622" ht="16.5" customHeight="1"/>
    <row r="623" ht="16.5" customHeight="1"/>
    <row r="624" ht="16.5" customHeight="1"/>
    <row r="625" ht="16.5" customHeight="1"/>
    <row r="626" ht="16.5" customHeight="1"/>
    <row r="627" ht="16.5" customHeight="1"/>
    <row r="628" ht="16.5" customHeight="1"/>
    <row r="629" ht="16.5" customHeight="1"/>
    <row r="630" ht="16.5" customHeight="1"/>
    <row r="631" ht="16.5" customHeight="1"/>
    <row r="632" ht="16.5" customHeight="1"/>
    <row r="633" ht="16.5" customHeight="1"/>
    <row r="634" ht="16.5" customHeight="1"/>
    <row r="635" ht="16.5" customHeight="1"/>
    <row r="636" ht="16.5" customHeight="1"/>
    <row r="637" ht="16.5" customHeight="1"/>
    <row r="638" ht="16.5" customHeight="1"/>
    <row r="639" ht="16.5" customHeight="1"/>
    <row r="640" ht="16.5" customHeight="1"/>
    <row r="641" ht="16.5" customHeight="1"/>
    <row r="642" ht="16.5" customHeight="1"/>
    <row r="643" ht="16.5" customHeight="1"/>
    <row r="644" ht="16.5" customHeight="1"/>
    <row r="645" ht="16.5" customHeight="1"/>
    <row r="646" ht="16.5" customHeight="1"/>
    <row r="647" ht="16.5" customHeight="1"/>
    <row r="648" ht="16.5" customHeight="1"/>
    <row r="649" ht="16.5" customHeight="1"/>
    <row r="650" ht="16.5" customHeight="1"/>
    <row r="651" ht="16.5" customHeight="1"/>
    <row r="652" ht="16.5" customHeight="1"/>
    <row r="653" ht="16.5" customHeight="1"/>
    <row r="654" ht="16.5" customHeight="1"/>
    <row r="655" ht="16.5" customHeight="1"/>
    <row r="656" ht="16.5" customHeight="1"/>
    <row r="657" ht="16.5" customHeight="1"/>
    <row r="658" ht="16.5" customHeight="1"/>
    <row r="659" ht="16.5" customHeight="1"/>
    <row r="660" ht="16.5" customHeight="1"/>
    <row r="661" ht="16.5" customHeight="1"/>
    <row r="662" ht="16.5" customHeight="1"/>
    <row r="663" ht="16.5" customHeight="1"/>
    <row r="664" ht="16.5" customHeight="1"/>
    <row r="665" ht="16.5" customHeight="1"/>
    <row r="666" ht="16.5" customHeight="1"/>
    <row r="667" ht="16.5" customHeight="1"/>
    <row r="668" ht="16.5" customHeight="1"/>
    <row r="669" ht="16.5" customHeight="1"/>
    <row r="670" ht="16.5" customHeight="1"/>
    <row r="671" ht="16.5" customHeight="1"/>
    <row r="672" ht="16.5" customHeight="1"/>
    <row r="673" ht="16.5" customHeight="1"/>
    <row r="674" ht="16.5" customHeight="1"/>
    <row r="675" ht="16.5" customHeight="1"/>
    <row r="676" ht="16.5" customHeight="1"/>
    <row r="677" ht="16.5" customHeight="1"/>
    <row r="678" ht="16.5" customHeight="1"/>
    <row r="679" ht="16.5" customHeight="1"/>
    <row r="680" ht="16.5" customHeight="1"/>
    <row r="681" ht="16.5" customHeight="1"/>
    <row r="682" ht="16.5" customHeight="1"/>
    <row r="683" ht="16.5" customHeight="1"/>
    <row r="684" ht="16.5" customHeight="1"/>
    <row r="685" ht="16.5" customHeight="1"/>
    <row r="686" ht="16.5" customHeight="1"/>
    <row r="687" ht="16.5" customHeight="1"/>
    <row r="688" ht="16.5" customHeight="1"/>
    <row r="689" ht="16.5" customHeight="1"/>
    <row r="690" ht="16.5" customHeight="1"/>
    <row r="691" ht="16.5" customHeight="1"/>
    <row r="692" ht="16.5" customHeight="1"/>
    <row r="693" ht="16.5" customHeight="1"/>
    <row r="694" ht="16.5" customHeight="1"/>
    <row r="695" ht="16.5" customHeight="1"/>
    <row r="696" ht="16.5" customHeight="1"/>
    <row r="697" ht="16.5" customHeight="1"/>
    <row r="698" ht="16.5" customHeight="1"/>
    <row r="699" ht="16.5" customHeight="1"/>
    <row r="700" ht="16.5" customHeight="1"/>
    <row r="701" ht="16.5" customHeight="1"/>
    <row r="702" ht="16.5" customHeight="1"/>
    <row r="703" ht="16.5" customHeight="1"/>
    <row r="704" ht="16.5" customHeight="1"/>
    <row r="705" ht="16.5" customHeight="1"/>
    <row r="706" ht="16.5" customHeight="1"/>
    <row r="707" ht="16.5" customHeight="1"/>
    <row r="708" ht="16.5" customHeight="1"/>
    <row r="709" ht="16.5" customHeight="1"/>
    <row r="710" ht="16.5" customHeight="1"/>
    <row r="711" ht="16.5" customHeight="1"/>
    <row r="712" ht="16.5" customHeight="1"/>
    <row r="713" ht="16.5" customHeight="1"/>
    <row r="714" ht="16.5" customHeight="1"/>
    <row r="715" ht="16.5" customHeight="1"/>
    <row r="716" ht="16.5" customHeight="1"/>
    <row r="717" ht="16.5" customHeight="1"/>
    <row r="718" ht="16.5" customHeight="1"/>
    <row r="719" ht="16.5" customHeight="1"/>
    <row r="720" ht="16.5" customHeight="1"/>
    <row r="721" ht="16.5" customHeight="1"/>
    <row r="722" ht="16.5" customHeight="1"/>
    <row r="723" ht="16.5" customHeight="1"/>
    <row r="724" ht="16.5" customHeight="1"/>
    <row r="725" ht="16.5" customHeight="1"/>
    <row r="726" ht="16.5" customHeight="1"/>
    <row r="727" ht="16.5" customHeight="1"/>
    <row r="728" ht="16.5" customHeight="1"/>
    <row r="729" ht="16.5" customHeight="1"/>
    <row r="730" ht="16.5" customHeight="1"/>
    <row r="731" ht="16.5" customHeight="1"/>
    <row r="732" ht="16.5" customHeight="1"/>
    <row r="733" ht="16.5" customHeight="1"/>
    <row r="734" ht="16.5" customHeight="1"/>
    <row r="735" ht="16.5" customHeight="1"/>
    <row r="736" ht="16.5" customHeight="1"/>
    <row r="737" ht="16.5" customHeight="1"/>
    <row r="738" ht="16.5" customHeight="1"/>
    <row r="739" ht="16.5" customHeight="1"/>
    <row r="740" ht="16.5" customHeight="1"/>
    <row r="741" ht="16.5" customHeight="1"/>
    <row r="742" ht="16.5" customHeight="1"/>
    <row r="743" ht="16.5" customHeight="1"/>
    <row r="744" ht="16.5" customHeight="1"/>
    <row r="745" ht="16.5" customHeight="1"/>
    <row r="746" ht="16.5" customHeight="1"/>
    <row r="747" ht="16.5" customHeight="1"/>
    <row r="748" ht="16.5" customHeight="1"/>
    <row r="749" ht="16.5" customHeight="1"/>
    <row r="750" ht="16.5" customHeight="1"/>
    <row r="751" ht="16.5" customHeight="1"/>
    <row r="752" ht="16.5" customHeight="1"/>
    <row r="753" ht="16.5" customHeight="1"/>
    <row r="754" ht="16.5" customHeight="1"/>
    <row r="755" ht="16.5" customHeight="1"/>
    <row r="756" ht="16.5" customHeight="1"/>
    <row r="757" ht="16.5" customHeight="1"/>
    <row r="758" ht="16.5" customHeight="1"/>
    <row r="759" ht="16.5" customHeight="1"/>
    <row r="760" ht="16.5" customHeight="1"/>
    <row r="761" ht="16.5" customHeight="1"/>
    <row r="762" ht="16.5" customHeight="1"/>
    <row r="763" ht="16.5" customHeight="1"/>
    <row r="764" ht="16.5" customHeight="1"/>
    <row r="765" ht="16.5" customHeight="1"/>
    <row r="766" ht="16.5" customHeight="1"/>
    <row r="767" ht="16.5" customHeight="1"/>
    <row r="768" ht="16.5" customHeight="1"/>
    <row r="769" ht="16.5" customHeight="1"/>
    <row r="770" ht="16.5" customHeight="1"/>
    <row r="771" ht="16.5" customHeight="1"/>
    <row r="772" ht="16.5" customHeight="1"/>
    <row r="773" ht="16.5" customHeight="1"/>
    <row r="774" ht="16.5" customHeight="1"/>
    <row r="775" ht="16.5" customHeight="1"/>
    <row r="776" ht="16.5" customHeight="1"/>
    <row r="777" ht="16.5" customHeight="1"/>
    <row r="778" ht="16.5" customHeight="1"/>
    <row r="779" ht="16.5" customHeight="1"/>
    <row r="780" ht="16.5" customHeight="1"/>
    <row r="781" ht="16.5" customHeight="1"/>
    <row r="782" ht="16.5" customHeight="1"/>
    <row r="783" ht="16.5" customHeight="1"/>
    <row r="784" ht="16.5" customHeight="1"/>
    <row r="785" ht="16.5" customHeight="1"/>
    <row r="786" ht="16.5" customHeight="1"/>
    <row r="787" ht="16.5" customHeight="1"/>
    <row r="788" ht="16.5" customHeight="1"/>
    <row r="789" ht="16.5" customHeight="1"/>
    <row r="790" ht="16.5" customHeight="1"/>
    <row r="791" ht="16.5" customHeight="1"/>
    <row r="792" ht="16.5" customHeight="1"/>
    <row r="793" ht="16.5" customHeight="1"/>
    <row r="794" ht="16.5" customHeight="1"/>
    <row r="795" ht="16.5" customHeight="1"/>
    <row r="796" ht="16.5" customHeight="1"/>
    <row r="797" ht="16.5" customHeight="1"/>
    <row r="798" ht="16.5" customHeight="1"/>
    <row r="799" ht="16.5" customHeight="1"/>
    <row r="800" ht="16.5" customHeight="1"/>
    <row r="801" ht="16.5" customHeight="1"/>
    <row r="802" ht="16.5" customHeight="1"/>
    <row r="803" ht="16.5" customHeight="1"/>
    <row r="804" ht="16.5" customHeight="1"/>
    <row r="805" ht="16.5" customHeight="1"/>
    <row r="806" ht="16.5" customHeight="1"/>
    <row r="807" ht="16.5" customHeight="1"/>
    <row r="808" ht="16.5" customHeight="1"/>
    <row r="809" ht="16.5" customHeight="1"/>
    <row r="810" ht="16.5" customHeight="1"/>
    <row r="811" ht="16.5" customHeight="1"/>
    <row r="812" ht="16.5" customHeight="1"/>
    <row r="813" ht="16.5" customHeight="1"/>
    <row r="814" ht="16.5" customHeight="1"/>
    <row r="815" ht="16.5" customHeight="1"/>
    <row r="816" ht="16.5" customHeight="1"/>
    <row r="817" ht="16.5" customHeight="1"/>
    <row r="818" ht="16.5" customHeight="1"/>
    <row r="819" ht="16.5" customHeight="1"/>
    <row r="820" ht="16.5" customHeight="1"/>
    <row r="821" ht="16.5" customHeight="1"/>
    <row r="822" ht="16.5" customHeight="1"/>
    <row r="823" ht="16.5" customHeight="1"/>
    <row r="824" ht="16.5" customHeight="1"/>
    <row r="825" ht="16.5" customHeight="1"/>
    <row r="826" ht="16.5" customHeight="1"/>
    <row r="827" ht="16.5" customHeight="1"/>
    <row r="828" ht="16.5" customHeight="1"/>
    <row r="829" ht="16.5" customHeight="1"/>
    <row r="830" ht="16.5" customHeight="1"/>
    <row r="831" ht="16.5" customHeight="1"/>
    <row r="832" ht="16.5" customHeight="1"/>
    <row r="833" ht="16.5" customHeight="1"/>
    <row r="834" ht="16.5" customHeight="1"/>
    <row r="835" ht="16.5" customHeight="1"/>
    <row r="836" ht="16.5" customHeight="1"/>
    <row r="837" ht="16.5" customHeight="1"/>
    <row r="838" ht="16.5" customHeight="1"/>
    <row r="839" ht="16.5" customHeight="1"/>
    <row r="840" ht="16.5" customHeight="1"/>
    <row r="841" ht="16.5" customHeight="1"/>
    <row r="842" ht="16.5" customHeight="1"/>
    <row r="843" ht="16.5" customHeight="1"/>
    <row r="844" ht="16.5" customHeight="1"/>
    <row r="845" ht="16.5" customHeight="1"/>
    <row r="846" ht="16.5" customHeight="1"/>
    <row r="847" ht="16.5" customHeight="1"/>
    <row r="848" ht="16.5" customHeight="1"/>
    <row r="849" ht="16.5" customHeight="1"/>
    <row r="850" ht="16.5" customHeight="1"/>
    <row r="851" ht="16.5" customHeight="1"/>
    <row r="852" ht="16.5" customHeight="1"/>
    <row r="853" ht="16.5" customHeight="1"/>
    <row r="854" ht="16.5" customHeight="1"/>
    <row r="855" ht="16.5" customHeight="1"/>
    <row r="856" ht="16.5" customHeight="1"/>
    <row r="857" ht="16.5" customHeight="1"/>
    <row r="858" ht="16.5" customHeight="1"/>
    <row r="859" ht="16.5" customHeight="1"/>
    <row r="860" ht="16.5" customHeight="1"/>
    <row r="861" ht="16.5" customHeight="1"/>
    <row r="862" ht="16.5" customHeight="1"/>
    <row r="863" ht="16.5" customHeight="1"/>
    <row r="864" ht="16.5" customHeight="1"/>
    <row r="865" ht="16.5" customHeight="1"/>
    <row r="866" ht="16.5" customHeight="1"/>
    <row r="867" ht="16.5" customHeight="1"/>
    <row r="868" ht="16.5" customHeight="1"/>
    <row r="869" ht="16.5" customHeight="1"/>
    <row r="870" ht="16.5" customHeight="1"/>
    <row r="871" ht="16.5" customHeight="1"/>
    <row r="872" ht="16.5" customHeight="1"/>
    <row r="873" ht="16.5" customHeight="1"/>
    <row r="874" ht="16.5" customHeight="1"/>
    <row r="875" ht="16.5" customHeight="1"/>
    <row r="876" ht="16.5" customHeight="1"/>
    <row r="877" ht="16.5" customHeight="1"/>
    <row r="878" ht="16.5" customHeight="1"/>
    <row r="879" ht="16.5" customHeight="1"/>
    <row r="880" ht="16.5" customHeight="1"/>
    <row r="881" ht="16.5" customHeight="1"/>
    <row r="882" ht="16.5" customHeight="1"/>
    <row r="883" ht="16.5" customHeight="1"/>
    <row r="884" ht="16.5" customHeight="1"/>
    <row r="885" ht="16.5" customHeight="1"/>
    <row r="886" ht="16.5" customHeight="1"/>
    <row r="887" ht="16.5" customHeight="1"/>
    <row r="888" ht="16.5" customHeight="1"/>
    <row r="889" ht="16.5" customHeight="1"/>
    <row r="890" ht="16.5" customHeight="1"/>
    <row r="891" ht="16.5" customHeight="1"/>
    <row r="892" ht="16.5" customHeight="1"/>
    <row r="893" ht="16.5" customHeight="1"/>
    <row r="894" ht="16.5" customHeight="1"/>
    <row r="895" ht="16.5" customHeight="1"/>
    <row r="896" ht="16.5" customHeight="1"/>
    <row r="897" ht="16.5" customHeight="1"/>
    <row r="898" ht="16.5" customHeight="1"/>
    <row r="899" ht="16.5" customHeight="1"/>
    <row r="900" ht="16.5" customHeight="1"/>
    <row r="901" ht="16.5" customHeight="1"/>
    <row r="902" ht="16.5" customHeight="1"/>
    <row r="903" ht="16.5" customHeight="1"/>
    <row r="904" ht="16.5" customHeight="1"/>
    <row r="905" ht="16.5" customHeight="1"/>
    <row r="906" ht="16.5" customHeight="1"/>
    <row r="907" ht="16.5" customHeight="1"/>
    <row r="908" ht="16.5" customHeight="1"/>
    <row r="909" ht="16.5" customHeight="1"/>
    <row r="910" ht="16.5" customHeight="1"/>
    <row r="911" ht="16.5" customHeight="1"/>
    <row r="912" ht="16.5" customHeight="1"/>
    <row r="913" ht="16.5" customHeight="1"/>
    <row r="914" ht="16.5" customHeight="1"/>
    <row r="915" ht="16.5" customHeight="1"/>
    <row r="916" ht="16.5" customHeight="1"/>
    <row r="917" ht="16.5" customHeight="1"/>
    <row r="918" ht="16.5" customHeight="1"/>
    <row r="919" ht="16.5" customHeight="1"/>
    <row r="920" ht="16.5" customHeight="1"/>
    <row r="921" ht="16.5" customHeight="1"/>
    <row r="922" ht="16.5" customHeight="1"/>
    <row r="923" ht="16.5" customHeight="1"/>
    <row r="924" ht="16.5" customHeight="1"/>
    <row r="925" ht="16.5" customHeight="1"/>
    <row r="926" ht="16.5" customHeight="1"/>
    <row r="927" ht="16.5" customHeight="1"/>
    <row r="928" ht="16.5" customHeight="1"/>
    <row r="929" ht="16.5" customHeight="1"/>
    <row r="930" ht="16.5" customHeight="1"/>
    <row r="931" ht="16.5" customHeight="1"/>
    <row r="932" ht="16.5" customHeight="1"/>
    <row r="933" ht="16.5" customHeight="1"/>
    <row r="934" ht="16.5" customHeight="1"/>
    <row r="935" ht="16.5" customHeight="1"/>
    <row r="936" ht="16.5" customHeight="1"/>
    <row r="937" ht="16.5" customHeight="1"/>
    <row r="938" ht="16.5" customHeight="1"/>
    <row r="939" ht="16.5" customHeight="1"/>
    <row r="940" ht="16.5" customHeight="1"/>
    <row r="941" ht="16.5" customHeight="1"/>
    <row r="942" ht="16.5" customHeight="1"/>
    <row r="943" ht="16.5" customHeight="1"/>
    <row r="944" ht="16.5" customHeight="1"/>
    <row r="945" ht="16.5" customHeight="1"/>
    <row r="946" ht="16.5" customHeight="1"/>
    <row r="947" ht="16.5" customHeight="1"/>
    <row r="948" ht="16.5" customHeight="1"/>
    <row r="949" ht="16.5" customHeight="1"/>
    <row r="950" ht="16.5" customHeight="1"/>
    <row r="951" ht="16.5" customHeight="1"/>
    <row r="952" ht="16.5" customHeight="1"/>
    <row r="953" ht="16.5" customHeight="1"/>
    <row r="954" ht="16.5" customHeight="1"/>
    <row r="955" ht="16.5" customHeight="1"/>
    <row r="956" ht="16.5" customHeight="1"/>
    <row r="957" ht="16.5" customHeight="1"/>
    <row r="958" ht="16.5" customHeight="1"/>
    <row r="959" ht="16.5" customHeight="1"/>
    <row r="960" ht="16.5" customHeight="1"/>
    <row r="961" ht="16.5" customHeight="1"/>
    <row r="962" ht="16.5" customHeight="1"/>
    <row r="963" ht="16.5" customHeight="1"/>
    <row r="964" ht="16.5" customHeight="1"/>
    <row r="965" ht="16.5" customHeight="1"/>
    <row r="966" ht="16.5" customHeight="1"/>
    <row r="967" ht="16.5" customHeight="1"/>
    <row r="968" ht="16.5" customHeight="1"/>
    <row r="969" ht="16.5" customHeight="1"/>
    <row r="970" ht="16.5" customHeight="1"/>
    <row r="971" ht="16.5" customHeight="1"/>
    <row r="972" ht="16.5" customHeight="1"/>
    <row r="973" ht="16.5" customHeight="1"/>
    <row r="974" ht="16.5" customHeight="1"/>
    <row r="975" ht="16.5" customHeight="1"/>
    <row r="976" ht="16.5" customHeight="1"/>
    <row r="977" ht="16.5" customHeight="1"/>
    <row r="978" ht="16.5" customHeight="1"/>
    <row r="979" ht="16.5" customHeight="1"/>
    <row r="980" ht="16.5" customHeight="1"/>
    <row r="981" ht="16.5" customHeight="1"/>
    <row r="982" ht="16.5" customHeight="1"/>
    <row r="983" ht="16.5" customHeight="1"/>
    <row r="984" ht="16.5" customHeight="1"/>
    <row r="985" ht="16.5" customHeight="1"/>
    <row r="986" ht="16.5" customHeight="1"/>
    <row r="987" ht="16.5" customHeight="1"/>
    <row r="988" ht="16.5" customHeight="1"/>
    <row r="989" ht="16.5" customHeight="1"/>
    <row r="990" ht="16.5" customHeight="1"/>
    <row r="991" ht="16.5" customHeight="1"/>
    <row r="992" ht="16.5" customHeight="1"/>
    <row r="993" ht="16.5" customHeight="1"/>
    <row r="994" ht="16.5" customHeight="1"/>
    <row r="995" ht="16.5" customHeight="1"/>
    <row r="996" ht="16.5" customHeight="1"/>
    <row r="997" ht="16.5" customHeight="1"/>
    <row r="998" ht="16.5" customHeight="1"/>
    <row r="999" ht="16.5" customHeight="1"/>
  </sheetData>
  <mergeCells count="20">
    <mergeCell ref="D22:D24"/>
    <mergeCell ref="D28:D33"/>
    <mergeCell ref="X50:Y50"/>
    <mergeCell ref="X51:Y51"/>
    <mergeCell ref="S53:S55"/>
    <mergeCell ref="V53:V55"/>
    <mergeCell ref="X49:Y49"/>
    <mergeCell ref="V50:V52"/>
    <mergeCell ref="D34:D36"/>
    <mergeCell ref="C3:AI3"/>
    <mergeCell ref="C4:D4"/>
    <mergeCell ref="L5:M5"/>
    <mergeCell ref="N5:W5"/>
    <mergeCell ref="D9:D21"/>
    <mergeCell ref="D37:D39"/>
    <mergeCell ref="D40:D42"/>
    <mergeCell ref="C45:E45"/>
    <mergeCell ref="S50:S52"/>
    <mergeCell ref="S57:U57"/>
    <mergeCell ref="S56:U56"/>
  </mergeCells>
  <phoneticPr fontId="22" type="noConversion"/>
  <pageMargins left="0.7" right="0.7" top="0.75" bottom="0.75" header="0" footer="0"/>
  <pageSetup paperSize="9" orientation="portrait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1:AS1001"/>
  <sheetViews>
    <sheetView showGridLines="0" zoomScale="80" zoomScaleNormal="80" workbookViewId="0">
      <pane xSplit="11" ySplit="6" topLeftCell="L7" activePane="bottomRight" state="frozen"/>
      <selection pane="topRight" activeCell="L1" sqref="L1"/>
      <selection pane="bottomLeft" activeCell="A7" sqref="A7"/>
      <selection pane="bottomRight"/>
    </sheetView>
  </sheetViews>
  <sheetFormatPr baseColWidth="10" defaultColWidth="14.5" defaultRowHeight="15" customHeight="1"/>
  <cols>
    <col min="1" max="1" width="3.1640625" customWidth="1"/>
    <col min="2" max="2" width="2.1640625" customWidth="1"/>
    <col min="3" max="3" width="8.83203125" customWidth="1"/>
    <col min="4" max="4" width="27.5" customWidth="1"/>
    <col min="5" max="5" width="7.83203125" customWidth="1"/>
    <col min="6" max="6" width="11.5" customWidth="1"/>
    <col min="7" max="7" width="7.5" customWidth="1"/>
    <col min="8" max="9" width="8.83203125" customWidth="1"/>
    <col min="10" max="11" width="8.83203125" hidden="1" customWidth="1"/>
    <col min="12" max="26" width="9.83203125" customWidth="1"/>
    <col min="27" max="34" width="8.83203125" hidden="1" customWidth="1"/>
    <col min="35" max="35" width="8.83203125" customWidth="1"/>
    <col min="36" max="36" width="3.1640625" customWidth="1"/>
    <col min="37" max="37" width="2" customWidth="1"/>
    <col min="38" max="38" width="9" customWidth="1"/>
    <col min="39" max="39" width="6.5" bestFit="1" customWidth="1"/>
    <col min="40" max="40" width="7.5" bestFit="1" customWidth="1"/>
    <col min="41" max="41" width="8.5" bestFit="1" customWidth="1"/>
    <col min="43" max="44" width="11" customWidth="1"/>
    <col min="45" max="45" width="8.5" bestFit="1" customWidth="1"/>
  </cols>
  <sheetData>
    <row r="1" spans="1:38" ht="16.5" customHeight="1" thickBot="1">
      <c r="A1" s="19"/>
      <c r="B1" s="19"/>
      <c r="C1" s="19"/>
      <c r="D1" s="19"/>
      <c r="E1" s="20"/>
      <c r="F1" s="20"/>
      <c r="G1" s="20"/>
      <c r="H1" s="20"/>
      <c r="I1" s="19"/>
      <c r="J1" s="19"/>
      <c r="K1" s="19"/>
      <c r="L1" s="20"/>
      <c r="M1" s="20"/>
      <c r="N1" s="20"/>
      <c r="O1" s="20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19"/>
      <c r="AK1" s="19"/>
    </row>
    <row r="2" spans="1:38" ht="16.5" customHeight="1">
      <c r="A2" s="19"/>
      <c r="B2" s="21"/>
      <c r="C2" s="22"/>
      <c r="D2" s="22"/>
      <c r="E2" s="23"/>
      <c r="F2" s="23"/>
      <c r="G2" s="23"/>
      <c r="H2" s="23"/>
      <c r="I2" s="22"/>
      <c r="J2" s="22"/>
      <c r="K2" s="22"/>
      <c r="L2" s="23"/>
      <c r="M2" s="23"/>
      <c r="N2" s="23"/>
      <c r="O2" s="23"/>
      <c r="P2" s="23"/>
      <c r="Q2" s="23"/>
      <c r="R2" s="23"/>
      <c r="S2" s="23"/>
      <c r="T2" s="23"/>
      <c r="U2" s="23"/>
      <c r="V2" s="23"/>
      <c r="W2" s="23"/>
      <c r="X2" s="23"/>
      <c r="Y2" s="23"/>
      <c r="Z2" s="23"/>
      <c r="AA2" s="23"/>
      <c r="AB2" s="23"/>
      <c r="AC2" s="23"/>
      <c r="AD2" s="23"/>
      <c r="AE2" s="23"/>
      <c r="AF2" s="23"/>
      <c r="AG2" s="23"/>
      <c r="AH2" s="23"/>
      <c r="AI2" s="23"/>
      <c r="AJ2" s="24"/>
      <c r="AK2" s="19"/>
    </row>
    <row r="3" spans="1:38" ht="33" thickBot="1">
      <c r="A3" s="19"/>
      <c r="B3" s="25"/>
      <c r="C3" s="392" t="s">
        <v>23</v>
      </c>
      <c r="D3" s="393"/>
      <c r="E3" s="393"/>
      <c r="F3" s="393"/>
      <c r="G3" s="393"/>
      <c r="H3" s="393"/>
      <c r="I3" s="393"/>
      <c r="J3" s="393"/>
      <c r="K3" s="393"/>
      <c r="L3" s="393"/>
      <c r="M3" s="393"/>
      <c r="N3" s="393"/>
      <c r="O3" s="393"/>
      <c r="P3" s="393"/>
      <c r="Q3" s="393"/>
      <c r="R3" s="393"/>
      <c r="S3" s="393"/>
      <c r="T3" s="393"/>
      <c r="U3" s="393"/>
      <c r="V3" s="393"/>
      <c r="W3" s="393"/>
      <c r="X3" s="393"/>
      <c r="Y3" s="393"/>
      <c r="Z3" s="393"/>
      <c r="AA3" s="393"/>
      <c r="AB3" s="393"/>
      <c r="AC3" s="393"/>
      <c r="AD3" s="393"/>
      <c r="AE3" s="393"/>
      <c r="AF3" s="393"/>
      <c r="AG3" s="393"/>
      <c r="AH3" s="393"/>
      <c r="AI3" s="394"/>
      <c r="AJ3" s="26"/>
      <c r="AK3" s="19"/>
    </row>
    <row r="4" spans="1:38" ht="80.25" customHeight="1">
      <c r="A4" s="19"/>
      <c r="B4" s="25"/>
      <c r="C4" s="404">
        <v>45772</v>
      </c>
      <c r="D4" s="396"/>
      <c r="E4" s="27"/>
      <c r="F4" s="27"/>
      <c r="G4" s="27"/>
      <c r="H4" s="27"/>
      <c r="I4" s="27"/>
      <c r="J4" s="27"/>
      <c r="K4" s="27"/>
      <c r="L4" s="28"/>
      <c r="M4" s="28"/>
      <c r="N4" s="28"/>
      <c r="O4" s="28"/>
      <c r="P4" s="28"/>
      <c r="Q4" s="28"/>
      <c r="R4" s="28"/>
      <c r="S4" s="28"/>
      <c r="T4" s="28"/>
      <c r="U4" s="28"/>
      <c r="V4" s="28"/>
      <c r="W4" s="28"/>
      <c r="X4" s="28"/>
      <c r="Y4" s="28"/>
      <c r="Z4" s="28"/>
      <c r="AA4" s="28"/>
      <c r="AB4" s="28"/>
      <c r="AC4" s="28"/>
      <c r="AD4" s="28"/>
      <c r="AE4" s="28"/>
      <c r="AF4" s="28"/>
      <c r="AG4" s="28"/>
      <c r="AH4" s="28"/>
      <c r="AI4" s="28"/>
      <c r="AJ4" s="26"/>
      <c r="AK4" s="19"/>
    </row>
    <row r="5" spans="1:38" ht="16.5" customHeight="1">
      <c r="A5" s="19"/>
      <c r="B5" s="25"/>
      <c r="C5" s="29" t="s">
        <v>75</v>
      </c>
      <c r="D5" s="29"/>
      <c r="E5" s="30"/>
      <c r="F5" s="30"/>
      <c r="G5" s="30"/>
      <c r="H5" s="30"/>
      <c r="I5" s="30"/>
      <c r="J5" s="30"/>
      <c r="K5" s="31"/>
      <c r="L5" s="397"/>
      <c r="M5" s="398"/>
      <c r="N5" s="397"/>
      <c r="O5" s="398"/>
      <c r="P5" s="398"/>
      <c r="Q5" s="398"/>
      <c r="R5" s="398"/>
      <c r="S5" s="398"/>
      <c r="T5" s="398"/>
      <c r="U5" s="398"/>
      <c r="V5" s="398"/>
      <c r="W5" s="398"/>
      <c r="X5" s="32"/>
      <c r="Y5" s="32"/>
      <c r="Z5" s="32"/>
      <c r="AA5" s="32"/>
      <c r="AB5" s="32"/>
      <c r="AC5" s="32"/>
      <c r="AD5" s="32"/>
      <c r="AE5" s="32"/>
      <c r="AF5" s="32"/>
      <c r="AG5" s="32"/>
      <c r="AH5" s="32"/>
      <c r="AI5" s="32"/>
      <c r="AJ5" s="26"/>
      <c r="AK5" s="19"/>
    </row>
    <row r="6" spans="1:38" ht="30">
      <c r="A6" s="19"/>
      <c r="B6" s="25"/>
      <c r="C6" s="98" t="s">
        <v>24</v>
      </c>
      <c r="D6" s="98" t="s">
        <v>25</v>
      </c>
      <c r="E6" s="99" t="s">
        <v>26</v>
      </c>
      <c r="F6" s="99" t="s">
        <v>27</v>
      </c>
      <c r="G6" s="99" t="s">
        <v>28</v>
      </c>
      <c r="H6" s="99" t="s">
        <v>29</v>
      </c>
      <c r="I6" s="99" t="s">
        <v>30</v>
      </c>
      <c r="J6" s="99" t="s">
        <v>31</v>
      </c>
      <c r="K6" s="99" t="s">
        <v>32</v>
      </c>
      <c r="L6" s="100" t="s">
        <v>33</v>
      </c>
      <c r="M6" s="100" t="s">
        <v>34</v>
      </c>
      <c r="N6" s="100" t="s">
        <v>35</v>
      </c>
      <c r="O6" s="100" t="s">
        <v>36</v>
      </c>
      <c r="P6" s="100" t="s">
        <v>37</v>
      </c>
      <c r="Q6" s="100" t="s">
        <v>38</v>
      </c>
      <c r="R6" s="100" t="s">
        <v>39</v>
      </c>
      <c r="S6" s="100" t="s">
        <v>40</v>
      </c>
      <c r="T6" s="100" t="s">
        <v>41</v>
      </c>
      <c r="U6" s="100" t="s">
        <v>42</v>
      </c>
      <c r="V6" s="100" t="s">
        <v>43</v>
      </c>
      <c r="W6" s="100" t="s">
        <v>44</v>
      </c>
      <c r="X6" s="100" t="s">
        <v>45</v>
      </c>
      <c r="Y6" s="100" t="s">
        <v>46</v>
      </c>
      <c r="Z6" s="100" t="s">
        <v>47</v>
      </c>
      <c r="AA6" s="100"/>
      <c r="AB6" s="100"/>
      <c r="AC6" s="100"/>
      <c r="AD6" s="100"/>
      <c r="AE6" s="100"/>
      <c r="AF6" s="100"/>
      <c r="AG6" s="100"/>
      <c r="AH6" s="100"/>
      <c r="AI6" s="101" t="s">
        <v>48</v>
      </c>
      <c r="AJ6" s="26"/>
      <c r="AK6" s="19"/>
    </row>
    <row r="7" spans="1:38" ht="16.5" customHeight="1">
      <c r="A7" s="19"/>
      <c r="B7" s="25"/>
      <c r="C7" s="38" t="s">
        <v>49</v>
      </c>
      <c r="D7" s="39" t="s">
        <v>50</v>
      </c>
      <c r="E7" s="40" t="s">
        <v>51</v>
      </c>
      <c r="F7" s="40" t="s">
        <v>5</v>
      </c>
      <c r="G7" s="40" t="s">
        <v>52</v>
      </c>
      <c r="H7" s="42">
        <v>45691</v>
      </c>
      <c r="I7" s="42">
        <v>46127</v>
      </c>
      <c r="J7" s="42"/>
      <c r="K7" s="42"/>
      <c r="L7" s="43">
        <v>1</v>
      </c>
      <c r="M7" s="43">
        <v>1</v>
      </c>
      <c r="N7" s="43">
        <v>1</v>
      </c>
      <c r="O7" s="43">
        <v>1</v>
      </c>
      <c r="P7" s="43">
        <v>1</v>
      </c>
      <c r="Q7" s="43">
        <v>1</v>
      </c>
      <c r="R7" s="43">
        <v>1</v>
      </c>
      <c r="S7" s="43">
        <v>1</v>
      </c>
      <c r="T7" s="43">
        <v>1</v>
      </c>
      <c r="U7" s="43">
        <v>1</v>
      </c>
      <c r="V7" s="43">
        <v>1</v>
      </c>
      <c r="W7" s="43">
        <v>1</v>
      </c>
      <c r="X7" s="43">
        <v>1</v>
      </c>
      <c r="Y7" s="43">
        <v>1</v>
      </c>
      <c r="Z7" s="43">
        <v>0.5</v>
      </c>
      <c r="AA7" s="44"/>
      <c r="AB7" s="44"/>
      <c r="AC7" s="44"/>
      <c r="AD7" s="44"/>
      <c r="AE7" s="44"/>
      <c r="AF7" s="44"/>
      <c r="AG7" s="44"/>
      <c r="AH7" s="44"/>
      <c r="AI7" s="45">
        <f t="shared" ref="AI7:AI17" si="0">SUM(L7:AH7)</f>
        <v>14.5</v>
      </c>
      <c r="AJ7" s="26"/>
      <c r="AK7" s="19"/>
    </row>
    <row r="8" spans="1:38" ht="16.5" customHeight="1">
      <c r="A8" s="19"/>
      <c r="B8" s="25"/>
      <c r="C8" s="38" t="s">
        <v>53</v>
      </c>
      <c r="D8" s="39" t="s">
        <v>54</v>
      </c>
      <c r="E8" s="40" t="s">
        <v>51</v>
      </c>
      <c r="F8" s="40" t="s">
        <v>4</v>
      </c>
      <c r="G8" s="40" t="s">
        <v>52</v>
      </c>
      <c r="H8" s="42">
        <v>45705</v>
      </c>
      <c r="I8" s="42">
        <v>46127</v>
      </c>
      <c r="J8" s="42"/>
      <c r="K8" s="42"/>
      <c r="L8" s="43">
        <v>0.5</v>
      </c>
      <c r="M8" s="43">
        <v>1</v>
      </c>
      <c r="N8" s="43">
        <v>1</v>
      </c>
      <c r="O8" s="43">
        <v>1</v>
      </c>
      <c r="P8" s="43">
        <v>1</v>
      </c>
      <c r="Q8" s="43">
        <v>1</v>
      </c>
      <c r="R8" s="43">
        <v>1</v>
      </c>
      <c r="S8" s="43">
        <v>1</v>
      </c>
      <c r="T8" s="43">
        <v>1</v>
      </c>
      <c r="U8" s="43">
        <v>1</v>
      </c>
      <c r="V8" s="43">
        <v>1</v>
      </c>
      <c r="W8" s="43">
        <v>1</v>
      </c>
      <c r="X8" s="43">
        <v>1</v>
      </c>
      <c r="Y8" s="43">
        <v>1</v>
      </c>
      <c r="Z8" s="43">
        <v>0.5</v>
      </c>
      <c r="AA8" s="44"/>
      <c r="AB8" s="44"/>
      <c r="AC8" s="44"/>
      <c r="AD8" s="44"/>
      <c r="AE8" s="44"/>
      <c r="AF8" s="44"/>
      <c r="AG8" s="44"/>
      <c r="AH8" s="44"/>
      <c r="AI8" s="45">
        <f t="shared" si="0"/>
        <v>14</v>
      </c>
      <c r="AJ8" s="26"/>
      <c r="AK8" s="19"/>
    </row>
    <row r="9" spans="1:38" ht="16.5" customHeight="1">
      <c r="A9" s="19"/>
      <c r="B9" s="25"/>
      <c r="C9" s="47"/>
      <c r="D9" s="403" t="s">
        <v>139</v>
      </c>
      <c r="E9" s="40" t="s">
        <v>51</v>
      </c>
      <c r="F9" s="40" t="s">
        <v>9</v>
      </c>
      <c r="G9" s="40" t="s">
        <v>52</v>
      </c>
      <c r="H9" s="42">
        <v>45691</v>
      </c>
      <c r="I9" s="42">
        <v>46096</v>
      </c>
      <c r="J9" s="42"/>
      <c r="K9" s="42"/>
      <c r="L9" s="43">
        <v>1</v>
      </c>
      <c r="M9" s="43">
        <v>1</v>
      </c>
      <c r="N9" s="43">
        <v>1</v>
      </c>
      <c r="O9" s="43">
        <v>1</v>
      </c>
      <c r="P9" s="43">
        <v>1</v>
      </c>
      <c r="Q9" s="43">
        <v>1</v>
      </c>
      <c r="R9" s="43">
        <v>1</v>
      </c>
      <c r="S9" s="43">
        <v>1</v>
      </c>
      <c r="T9" s="43">
        <v>1</v>
      </c>
      <c r="U9" s="43">
        <v>1</v>
      </c>
      <c r="V9" s="43">
        <v>0.5</v>
      </c>
      <c r="W9" s="43"/>
      <c r="X9" s="43"/>
      <c r="Y9" s="43"/>
      <c r="Z9" s="43"/>
      <c r="AA9" s="44"/>
      <c r="AB9" s="44"/>
      <c r="AC9" s="44"/>
      <c r="AD9" s="44"/>
      <c r="AE9" s="44"/>
      <c r="AF9" s="44"/>
      <c r="AG9" s="44"/>
      <c r="AH9" s="44"/>
      <c r="AI9" s="45">
        <f t="shared" si="0"/>
        <v>10.5</v>
      </c>
      <c r="AJ9" s="26"/>
      <c r="AK9" s="19"/>
    </row>
    <row r="10" spans="1:38" ht="16.5" customHeight="1">
      <c r="A10" s="19"/>
      <c r="B10" s="25"/>
      <c r="C10" s="47"/>
      <c r="D10" s="383"/>
      <c r="E10" s="40" t="s">
        <v>51</v>
      </c>
      <c r="F10" s="40" t="s">
        <v>8</v>
      </c>
      <c r="G10" s="102" t="s">
        <v>52</v>
      </c>
      <c r="H10" s="42">
        <v>45691</v>
      </c>
      <c r="I10" s="42">
        <v>45989</v>
      </c>
      <c r="J10" s="42"/>
      <c r="K10" s="42"/>
      <c r="L10" s="43">
        <v>1</v>
      </c>
      <c r="M10" s="43">
        <v>1</v>
      </c>
      <c r="N10" s="43">
        <v>1</v>
      </c>
      <c r="O10" s="43">
        <v>1</v>
      </c>
      <c r="P10" s="43">
        <v>1</v>
      </c>
      <c r="Q10" s="43">
        <v>1</v>
      </c>
      <c r="R10" s="43">
        <v>1</v>
      </c>
      <c r="S10" s="43">
        <v>1</v>
      </c>
      <c r="T10" s="43">
        <v>1</v>
      </c>
      <c r="U10" s="43">
        <v>1</v>
      </c>
      <c r="V10" s="43"/>
      <c r="W10" s="43"/>
      <c r="X10" s="43"/>
      <c r="Y10" s="43"/>
      <c r="Z10" s="43"/>
      <c r="AA10" s="44"/>
      <c r="AB10" s="44"/>
      <c r="AC10" s="44"/>
      <c r="AD10" s="44"/>
      <c r="AE10" s="44"/>
      <c r="AF10" s="44"/>
      <c r="AG10" s="44"/>
      <c r="AH10" s="44"/>
      <c r="AI10" s="45">
        <f t="shared" si="0"/>
        <v>10</v>
      </c>
      <c r="AJ10" s="26"/>
      <c r="AK10" s="19"/>
    </row>
    <row r="11" spans="1:38" ht="16.5" customHeight="1">
      <c r="A11" s="19"/>
      <c r="B11" s="25"/>
      <c r="C11" s="50" t="s">
        <v>49</v>
      </c>
      <c r="D11" s="383"/>
      <c r="E11" s="40" t="s">
        <v>51</v>
      </c>
      <c r="F11" s="40" t="s">
        <v>21</v>
      </c>
      <c r="G11" s="102" t="s">
        <v>51</v>
      </c>
      <c r="H11" s="42">
        <v>45733</v>
      </c>
      <c r="I11" s="42">
        <v>45916</v>
      </c>
      <c r="J11" s="42"/>
      <c r="K11" s="42"/>
      <c r="L11" s="43"/>
      <c r="M11" s="43">
        <v>0.5</v>
      </c>
      <c r="N11" s="43">
        <v>1</v>
      </c>
      <c r="O11" s="43">
        <v>1</v>
      </c>
      <c r="P11" s="43">
        <v>1</v>
      </c>
      <c r="Q11" s="43">
        <v>1</v>
      </c>
      <c r="R11" s="43">
        <v>1</v>
      </c>
      <c r="S11" s="43">
        <v>0.5</v>
      </c>
      <c r="T11" s="43"/>
      <c r="U11" s="43"/>
      <c r="V11" s="43"/>
      <c r="W11" s="43"/>
      <c r="X11" s="46"/>
      <c r="Y11" s="46"/>
      <c r="Z11" s="46"/>
      <c r="AA11" s="44"/>
      <c r="AB11" s="44"/>
      <c r="AC11" s="44"/>
      <c r="AD11" s="44"/>
      <c r="AE11" s="44"/>
      <c r="AF11" s="44"/>
      <c r="AG11" s="44"/>
      <c r="AH11" s="44"/>
      <c r="AI11" s="45">
        <f t="shared" si="0"/>
        <v>6</v>
      </c>
      <c r="AJ11" s="26"/>
      <c r="AK11" s="19"/>
    </row>
    <row r="12" spans="1:38" ht="16.5" customHeight="1">
      <c r="A12" s="19"/>
      <c r="B12" s="25"/>
      <c r="C12" s="50" t="s">
        <v>49</v>
      </c>
      <c r="D12" s="383"/>
      <c r="E12" s="40" t="s">
        <v>51</v>
      </c>
      <c r="F12" s="40" t="s">
        <v>15</v>
      </c>
      <c r="G12" s="102" t="s">
        <v>52</v>
      </c>
      <c r="H12" s="42">
        <v>45748</v>
      </c>
      <c r="I12" s="42">
        <v>45961</v>
      </c>
      <c r="J12" s="42"/>
      <c r="K12" s="42"/>
      <c r="L12" s="43"/>
      <c r="M12" s="43"/>
      <c r="N12" s="43">
        <v>1</v>
      </c>
      <c r="O12" s="43">
        <v>1</v>
      </c>
      <c r="P12" s="43">
        <v>1</v>
      </c>
      <c r="Q12" s="43">
        <v>1</v>
      </c>
      <c r="R12" s="43">
        <v>1</v>
      </c>
      <c r="S12" s="43">
        <v>1</v>
      </c>
      <c r="T12" s="43">
        <v>1</v>
      </c>
      <c r="U12" s="43"/>
      <c r="V12" s="43"/>
      <c r="W12" s="43"/>
      <c r="X12" s="46"/>
      <c r="Y12" s="46"/>
      <c r="Z12" s="46"/>
      <c r="AA12" s="44"/>
      <c r="AB12" s="44"/>
      <c r="AC12" s="44"/>
      <c r="AD12" s="44"/>
      <c r="AE12" s="44"/>
      <c r="AF12" s="44"/>
      <c r="AG12" s="44"/>
      <c r="AH12" s="44"/>
      <c r="AI12" s="45">
        <f t="shared" si="0"/>
        <v>7</v>
      </c>
      <c r="AJ12" s="26"/>
      <c r="AK12" s="19"/>
    </row>
    <row r="13" spans="1:38" ht="16.5" customHeight="1">
      <c r="A13" s="19"/>
      <c r="B13" s="25"/>
      <c r="C13" s="50" t="s">
        <v>49</v>
      </c>
      <c r="D13" s="383"/>
      <c r="E13" s="40" t="s">
        <v>51</v>
      </c>
      <c r="F13" s="40" t="s">
        <v>19</v>
      </c>
      <c r="G13" s="102" t="s">
        <v>52</v>
      </c>
      <c r="H13" s="42">
        <v>45748</v>
      </c>
      <c r="I13" s="42">
        <v>45961</v>
      </c>
      <c r="J13" s="42"/>
      <c r="K13" s="42"/>
      <c r="L13" s="43"/>
      <c r="M13" s="43"/>
      <c r="N13" s="43">
        <v>1</v>
      </c>
      <c r="O13" s="43">
        <v>1</v>
      </c>
      <c r="P13" s="43">
        <v>1</v>
      </c>
      <c r="Q13" s="43">
        <v>1</v>
      </c>
      <c r="R13" s="43">
        <v>1</v>
      </c>
      <c r="S13" s="43">
        <v>1</v>
      </c>
      <c r="T13" s="43">
        <v>1</v>
      </c>
      <c r="U13" s="43"/>
      <c r="V13" s="43"/>
      <c r="W13" s="43"/>
      <c r="X13" s="46"/>
      <c r="Y13" s="46"/>
      <c r="Z13" s="46"/>
      <c r="AA13" s="44"/>
      <c r="AB13" s="44"/>
      <c r="AC13" s="44"/>
      <c r="AD13" s="44"/>
      <c r="AE13" s="44"/>
      <c r="AF13" s="44"/>
      <c r="AG13" s="44"/>
      <c r="AH13" s="44"/>
      <c r="AI13" s="45">
        <f t="shared" si="0"/>
        <v>7</v>
      </c>
      <c r="AJ13" s="26"/>
      <c r="AK13" s="19"/>
    </row>
    <row r="14" spans="1:38" ht="16.5" customHeight="1">
      <c r="A14" s="19"/>
      <c r="B14" s="25"/>
      <c r="C14" s="50" t="s">
        <v>49</v>
      </c>
      <c r="D14" s="383"/>
      <c r="E14" s="51" t="s">
        <v>57</v>
      </c>
      <c r="F14" s="51" t="s">
        <v>12</v>
      </c>
      <c r="G14" s="51" t="s">
        <v>51</v>
      </c>
      <c r="H14" s="53">
        <v>45691</v>
      </c>
      <c r="I14" s="53">
        <v>45960</v>
      </c>
      <c r="J14" s="53"/>
      <c r="K14" s="53"/>
      <c r="L14" s="55">
        <v>1</v>
      </c>
      <c r="M14" s="55">
        <v>1</v>
      </c>
      <c r="N14" s="55">
        <v>1</v>
      </c>
      <c r="O14" s="55">
        <v>1</v>
      </c>
      <c r="P14" s="55">
        <v>1</v>
      </c>
      <c r="Q14" s="55">
        <v>1</v>
      </c>
      <c r="R14" s="55">
        <v>1</v>
      </c>
      <c r="S14" s="55">
        <v>1</v>
      </c>
      <c r="T14" s="55">
        <v>1</v>
      </c>
      <c r="U14" s="55"/>
      <c r="V14" s="55"/>
      <c r="W14" s="55"/>
      <c r="X14" s="55"/>
      <c r="Y14" s="55"/>
      <c r="Z14" s="55"/>
      <c r="AA14" s="44"/>
      <c r="AB14" s="44"/>
      <c r="AC14" s="44"/>
      <c r="AD14" s="44"/>
      <c r="AE14" s="44"/>
      <c r="AF14" s="44"/>
      <c r="AG14" s="44"/>
      <c r="AH14" s="44"/>
      <c r="AI14" s="45">
        <f t="shared" si="0"/>
        <v>9</v>
      </c>
      <c r="AJ14" s="26"/>
      <c r="AK14" s="19"/>
    </row>
    <row r="15" spans="1:38" ht="16.5" customHeight="1">
      <c r="A15" s="19"/>
      <c r="B15" s="25"/>
      <c r="C15" s="50" t="s">
        <v>49</v>
      </c>
      <c r="D15" s="383"/>
      <c r="E15" s="51" t="s">
        <v>57</v>
      </c>
      <c r="F15" s="51" t="s">
        <v>16</v>
      </c>
      <c r="G15" s="51" t="s">
        <v>51</v>
      </c>
      <c r="H15" s="53">
        <v>45720</v>
      </c>
      <c r="I15" s="53">
        <v>46022</v>
      </c>
      <c r="J15" s="53"/>
      <c r="K15" s="53"/>
      <c r="L15" s="55"/>
      <c r="M15" s="55">
        <v>1</v>
      </c>
      <c r="N15" s="55">
        <v>1</v>
      </c>
      <c r="O15" s="55">
        <v>1</v>
      </c>
      <c r="P15" s="55">
        <v>1</v>
      </c>
      <c r="Q15" s="55">
        <v>1</v>
      </c>
      <c r="R15" s="55">
        <v>1</v>
      </c>
      <c r="S15" s="55">
        <v>1</v>
      </c>
      <c r="T15" s="55">
        <v>1</v>
      </c>
      <c r="U15" s="55">
        <v>1</v>
      </c>
      <c r="V15" s="55">
        <v>1</v>
      </c>
      <c r="W15" s="55"/>
      <c r="X15" s="55"/>
      <c r="Y15" s="55"/>
      <c r="Z15" s="55"/>
      <c r="AA15" s="44"/>
      <c r="AB15" s="44"/>
      <c r="AC15" s="44"/>
      <c r="AD15" s="44"/>
      <c r="AE15" s="44"/>
      <c r="AF15" s="44"/>
      <c r="AG15" s="44"/>
      <c r="AH15" s="44"/>
      <c r="AI15" s="45">
        <f t="shared" si="0"/>
        <v>10</v>
      </c>
      <c r="AJ15" s="26"/>
      <c r="AK15" s="19"/>
    </row>
    <row r="16" spans="1:38" ht="16.5" customHeight="1">
      <c r="A16" s="19"/>
      <c r="B16" s="25"/>
      <c r="C16" s="50" t="s">
        <v>49</v>
      </c>
      <c r="D16" s="383"/>
      <c r="E16" s="51" t="s">
        <v>57</v>
      </c>
      <c r="F16" s="51" t="s">
        <v>20</v>
      </c>
      <c r="G16" s="51" t="s">
        <v>51</v>
      </c>
      <c r="H16" s="53">
        <v>45720</v>
      </c>
      <c r="I16" s="53">
        <v>46022</v>
      </c>
      <c r="J16" s="53"/>
      <c r="K16" s="53"/>
      <c r="L16" s="55"/>
      <c r="M16" s="55">
        <v>1</v>
      </c>
      <c r="N16" s="55">
        <v>1</v>
      </c>
      <c r="O16" s="55">
        <v>1</v>
      </c>
      <c r="P16" s="55">
        <v>1</v>
      </c>
      <c r="Q16" s="55">
        <v>1</v>
      </c>
      <c r="R16" s="55">
        <v>1</v>
      </c>
      <c r="S16" s="44"/>
      <c r="T16" s="44"/>
      <c r="U16" s="44"/>
      <c r="V16" s="44"/>
      <c r="W16" s="55"/>
      <c r="X16" s="55"/>
      <c r="Y16" s="55"/>
      <c r="Z16" s="55"/>
      <c r="AA16" s="44"/>
      <c r="AB16" s="44"/>
      <c r="AC16" s="44"/>
      <c r="AD16" s="44"/>
      <c r="AE16" s="44"/>
      <c r="AF16" s="44"/>
      <c r="AG16" s="44"/>
      <c r="AH16" s="44"/>
      <c r="AI16" s="45">
        <f t="shared" si="0"/>
        <v>6</v>
      </c>
      <c r="AJ16" s="26"/>
      <c r="AK16" s="19"/>
      <c r="AL16" s="19"/>
    </row>
    <row r="17" spans="1:38" ht="16.5" customHeight="1">
      <c r="A17" s="19"/>
      <c r="B17" s="25"/>
      <c r="C17" s="50" t="s">
        <v>49</v>
      </c>
      <c r="D17" s="383"/>
      <c r="E17" s="57" t="s">
        <v>59</v>
      </c>
      <c r="F17" s="57" t="s">
        <v>13</v>
      </c>
      <c r="G17" s="57" t="s">
        <v>59</v>
      </c>
      <c r="H17" s="59">
        <v>45691</v>
      </c>
      <c r="I17" s="59">
        <v>45991</v>
      </c>
      <c r="J17" s="59"/>
      <c r="K17" s="59"/>
      <c r="L17" s="44">
        <v>1</v>
      </c>
      <c r="M17" s="44">
        <v>1</v>
      </c>
      <c r="N17" s="44">
        <v>1</v>
      </c>
      <c r="O17" s="44">
        <v>1</v>
      </c>
      <c r="P17" s="44">
        <v>1</v>
      </c>
      <c r="Q17" s="44">
        <v>1</v>
      </c>
      <c r="R17" s="44">
        <v>1</v>
      </c>
      <c r="S17" s="44">
        <v>1</v>
      </c>
      <c r="T17" s="44">
        <v>1</v>
      </c>
      <c r="U17" s="44">
        <v>1</v>
      </c>
      <c r="V17" s="44"/>
      <c r="W17" s="44"/>
      <c r="X17" s="44"/>
      <c r="Y17" s="44"/>
      <c r="Z17" s="44"/>
      <c r="AA17" s="44"/>
      <c r="AB17" s="44"/>
      <c r="AC17" s="44"/>
      <c r="AD17" s="44"/>
      <c r="AE17" s="44"/>
      <c r="AF17" s="44"/>
      <c r="AG17" s="44"/>
      <c r="AH17" s="44"/>
      <c r="AI17" s="45">
        <f t="shared" si="0"/>
        <v>10</v>
      </c>
      <c r="AJ17" s="26"/>
      <c r="AK17" s="19"/>
      <c r="AL17" s="19"/>
    </row>
    <row r="18" spans="1:38" ht="16.5" customHeight="1">
      <c r="A18" s="19"/>
      <c r="B18" s="25"/>
      <c r="C18" s="50" t="s">
        <v>49</v>
      </c>
      <c r="D18" s="383"/>
      <c r="E18" s="57" t="s">
        <v>59</v>
      </c>
      <c r="F18" s="57" t="s">
        <v>17</v>
      </c>
      <c r="G18" s="103" t="s">
        <v>59</v>
      </c>
      <c r="H18" s="59">
        <v>45691</v>
      </c>
      <c r="I18" s="59">
        <v>45961</v>
      </c>
      <c r="J18" s="59"/>
      <c r="K18" s="59"/>
      <c r="L18" s="44">
        <v>1</v>
      </c>
      <c r="M18" s="44">
        <v>1</v>
      </c>
      <c r="N18" s="44">
        <v>1</v>
      </c>
      <c r="O18" s="44">
        <v>1</v>
      </c>
      <c r="P18" s="44">
        <v>1</v>
      </c>
      <c r="Q18" s="44">
        <v>1</v>
      </c>
      <c r="R18" s="44">
        <v>1</v>
      </c>
      <c r="S18" s="44">
        <v>1</v>
      </c>
      <c r="T18" s="44">
        <v>1</v>
      </c>
      <c r="U18" s="44"/>
      <c r="V18" s="44"/>
      <c r="W18" s="44"/>
      <c r="X18" s="44"/>
      <c r="Y18" s="44"/>
      <c r="Z18" s="44"/>
      <c r="AA18" s="44"/>
      <c r="AB18" s="44"/>
      <c r="AC18" s="44"/>
      <c r="AD18" s="44"/>
      <c r="AE18" s="44"/>
      <c r="AF18" s="44"/>
      <c r="AG18" s="44"/>
      <c r="AH18" s="44"/>
      <c r="AI18" s="45">
        <f t="shared" ref="AI18:AI19" si="1">SUM(L18:Z18)</f>
        <v>9</v>
      </c>
      <c r="AJ18" s="26"/>
      <c r="AK18" s="19"/>
      <c r="AL18" s="19"/>
    </row>
    <row r="19" spans="1:38" ht="16.5" hidden="1" customHeight="1">
      <c r="A19" s="19"/>
      <c r="B19" s="25"/>
      <c r="C19" s="50" t="s">
        <v>49</v>
      </c>
      <c r="D19" s="383"/>
      <c r="E19" s="57"/>
      <c r="F19" s="57"/>
      <c r="G19" s="57"/>
      <c r="H19" s="59"/>
      <c r="I19" s="59"/>
      <c r="J19" s="59"/>
      <c r="K19" s="59"/>
      <c r="L19" s="44"/>
      <c r="M19" s="44"/>
      <c r="N19" s="44"/>
      <c r="O19" s="44"/>
      <c r="P19" s="44"/>
      <c r="Q19" s="44"/>
      <c r="R19" s="44"/>
      <c r="S19" s="44"/>
      <c r="T19" s="44"/>
      <c r="U19" s="44"/>
      <c r="V19" s="44"/>
      <c r="W19" s="44"/>
      <c r="X19" s="44"/>
      <c r="Y19" s="44"/>
      <c r="Z19" s="44"/>
      <c r="AA19" s="44"/>
      <c r="AB19" s="44"/>
      <c r="AC19" s="44"/>
      <c r="AD19" s="44"/>
      <c r="AE19" s="44"/>
      <c r="AF19" s="44"/>
      <c r="AG19" s="44"/>
      <c r="AH19" s="44"/>
      <c r="AI19" s="45">
        <f t="shared" si="1"/>
        <v>0</v>
      </c>
      <c r="AJ19" s="26"/>
      <c r="AK19" s="19"/>
      <c r="AL19" s="19"/>
    </row>
    <row r="20" spans="1:38" ht="16.5" hidden="1" customHeight="1">
      <c r="A20" s="19"/>
      <c r="B20" s="25"/>
      <c r="C20" s="50" t="s">
        <v>49</v>
      </c>
      <c r="D20" s="383"/>
      <c r="E20" s="57"/>
      <c r="F20" s="57"/>
      <c r="G20" s="57"/>
      <c r="H20" s="59"/>
      <c r="I20" s="59"/>
      <c r="J20" s="59"/>
      <c r="K20" s="59"/>
      <c r="L20" s="44"/>
      <c r="M20" s="44"/>
      <c r="N20" s="44"/>
      <c r="O20" s="44"/>
      <c r="P20" s="44"/>
      <c r="Q20" s="44"/>
      <c r="R20" s="44"/>
      <c r="S20" s="44"/>
      <c r="T20" s="44"/>
      <c r="U20" s="44"/>
      <c r="V20" s="44"/>
      <c r="W20" s="44"/>
      <c r="X20" s="44"/>
      <c r="Y20" s="44"/>
      <c r="Z20" s="44"/>
      <c r="AA20" s="44"/>
      <c r="AB20" s="44"/>
      <c r="AC20" s="44"/>
      <c r="AD20" s="44"/>
      <c r="AE20" s="44"/>
      <c r="AF20" s="44"/>
      <c r="AG20" s="44"/>
      <c r="AH20" s="44"/>
      <c r="AI20" s="45">
        <f t="shared" ref="AI20:AI24" si="2">SUM(L20:AH20)</f>
        <v>0</v>
      </c>
      <c r="AJ20" s="26"/>
      <c r="AK20" s="19"/>
      <c r="AL20" s="19"/>
    </row>
    <row r="21" spans="1:38" ht="16.5" hidden="1" customHeight="1">
      <c r="A21" s="19"/>
      <c r="B21" s="25"/>
      <c r="C21" s="50" t="s">
        <v>49</v>
      </c>
      <c r="D21" s="384"/>
      <c r="E21" s="57"/>
      <c r="F21" s="57"/>
      <c r="G21" s="57"/>
      <c r="H21" s="59"/>
      <c r="I21" s="59"/>
      <c r="J21" s="59"/>
      <c r="K21" s="59"/>
      <c r="L21" s="44"/>
      <c r="M21" s="44"/>
      <c r="N21" s="44"/>
      <c r="O21" s="44"/>
      <c r="P21" s="44"/>
      <c r="Q21" s="44"/>
      <c r="R21" s="44"/>
      <c r="S21" s="44"/>
      <c r="T21" s="44"/>
      <c r="U21" s="44"/>
      <c r="V21" s="44"/>
      <c r="W21" s="44"/>
      <c r="X21" s="44"/>
      <c r="Y21" s="44"/>
      <c r="Z21" s="44"/>
      <c r="AA21" s="44"/>
      <c r="AB21" s="44"/>
      <c r="AC21" s="44"/>
      <c r="AD21" s="44"/>
      <c r="AE21" s="44"/>
      <c r="AF21" s="44"/>
      <c r="AG21" s="44"/>
      <c r="AH21" s="44"/>
      <c r="AI21" s="45">
        <f t="shared" si="2"/>
        <v>0</v>
      </c>
      <c r="AJ21" s="26"/>
      <c r="AK21" s="19"/>
      <c r="AL21" s="19"/>
    </row>
    <row r="22" spans="1:38" ht="16.5" hidden="1" customHeight="1">
      <c r="A22" s="19"/>
      <c r="B22" s="25"/>
      <c r="C22" s="50" t="s">
        <v>49</v>
      </c>
      <c r="D22" s="385"/>
      <c r="E22" s="57"/>
      <c r="F22" s="57"/>
      <c r="G22" s="57"/>
      <c r="H22" s="59"/>
      <c r="I22" s="59"/>
      <c r="J22" s="59"/>
      <c r="K22" s="59"/>
      <c r="L22" s="44"/>
      <c r="M22" s="44"/>
      <c r="N22" s="44"/>
      <c r="O22" s="44"/>
      <c r="P22" s="44"/>
      <c r="Q22" s="44"/>
      <c r="R22" s="44"/>
      <c r="S22" s="44"/>
      <c r="T22" s="44"/>
      <c r="U22" s="44"/>
      <c r="V22" s="44"/>
      <c r="W22" s="44"/>
      <c r="X22" s="44"/>
      <c r="Y22" s="44"/>
      <c r="Z22" s="44"/>
      <c r="AA22" s="44"/>
      <c r="AB22" s="44"/>
      <c r="AC22" s="44"/>
      <c r="AD22" s="44"/>
      <c r="AE22" s="44"/>
      <c r="AF22" s="44"/>
      <c r="AG22" s="44"/>
      <c r="AH22" s="44"/>
      <c r="AI22" s="45">
        <f t="shared" si="2"/>
        <v>0</v>
      </c>
      <c r="AJ22" s="26"/>
      <c r="AK22" s="19"/>
    </row>
    <row r="23" spans="1:38" ht="16.5" hidden="1" customHeight="1">
      <c r="A23" s="19"/>
      <c r="B23" s="25"/>
      <c r="C23" s="50" t="s">
        <v>49</v>
      </c>
      <c r="D23" s="383"/>
      <c r="E23" s="57"/>
      <c r="F23" s="57"/>
      <c r="G23" s="57"/>
      <c r="H23" s="59"/>
      <c r="I23" s="59"/>
      <c r="J23" s="59"/>
      <c r="K23" s="59"/>
      <c r="L23" s="44"/>
      <c r="M23" s="44"/>
      <c r="N23" s="44"/>
      <c r="O23" s="44"/>
      <c r="P23" s="44"/>
      <c r="Q23" s="44"/>
      <c r="R23" s="44"/>
      <c r="S23" s="44"/>
      <c r="T23" s="44"/>
      <c r="U23" s="44"/>
      <c r="V23" s="44"/>
      <c r="W23" s="44"/>
      <c r="X23" s="44"/>
      <c r="Y23" s="44"/>
      <c r="Z23" s="44"/>
      <c r="AA23" s="44"/>
      <c r="AB23" s="44"/>
      <c r="AC23" s="44"/>
      <c r="AD23" s="44"/>
      <c r="AE23" s="44"/>
      <c r="AF23" s="44"/>
      <c r="AG23" s="44"/>
      <c r="AH23" s="44"/>
      <c r="AI23" s="45">
        <f t="shared" si="2"/>
        <v>0</v>
      </c>
      <c r="AJ23" s="26"/>
      <c r="AK23" s="19"/>
    </row>
    <row r="24" spans="1:38" ht="16.5" hidden="1" customHeight="1">
      <c r="A24" s="19"/>
      <c r="B24" s="25"/>
      <c r="C24" s="50" t="s">
        <v>49</v>
      </c>
      <c r="D24" s="384"/>
      <c r="E24" s="57"/>
      <c r="F24" s="57"/>
      <c r="G24" s="57"/>
      <c r="H24" s="59"/>
      <c r="I24" s="59"/>
      <c r="J24" s="59"/>
      <c r="K24" s="59"/>
      <c r="L24" s="44"/>
      <c r="M24" s="44"/>
      <c r="N24" s="44"/>
      <c r="O24" s="44"/>
      <c r="P24" s="44"/>
      <c r="Q24" s="44"/>
      <c r="R24" s="44"/>
      <c r="S24" s="44"/>
      <c r="T24" s="44"/>
      <c r="U24" s="44"/>
      <c r="V24" s="44"/>
      <c r="W24" s="44"/>
      <c r="X24" s="44"/>
      <c r="Y24" s="44"/>
      <c r="Z24" s="44"/>
      <c r="AA24" s="44"/>
      <c r="AB24" s="44"/>
      <c r="AC24" s="44"/>
      <c r="AD24" s="44"/>
      <c r="AE24" s="44"/>
      <c r="AF24" s="44"/>
      <c r="AG24" s="44"/>
      <c r="AH24" s="44"/>
      <c r="AI24" s="45">
        <f t="shared" si="2"/>
        <v>0</v>
      </c>
      <c r="AJ24" s="26"/>
      <c r="AK24" s="19"/>
    </row>
    <row r="25" spans="1:38" ht="16.5" customHeight="1">
      <c r="A25" s="19"/>
      <c r="B25" s="25"/>
      <c r="C25" s="61" t="s">
        <v>49</v>
      </c>
      <c r="D25" s="104" t="s">
        <v>60</v>
      </c>
      <c r="E25" s="66"/>
      <c r="F25" s="66"/>
      <c r="G25" s="66"/>
      <c r="H25" s="66"/>
      <c r="I25" s="66" t="s">
        <v>61</v>
      </c>
      <c r="J25" s="67"/>
      <c r="K25" s="67"/>
      <c r="L25" s="68">
        <f t="shared" ref="L25:Z25" si="3">SUM(L7:L24)</f>
        <v>6.5</v>
      </c>
      <c r="M25" s="68">
        <f t="shared" si="3"/>
        <v>9.5</v>
      </c>
      <c r="N25" s="68">
        <f t="shared" si="3"/>
        <v>12</v>
      </c>
      <c r="O25" s="68">
        <f t="shared" si="3"/>
        <v>12</v>
      </c>
      <c r="P25" s="68">
        <f t="shared" si="3"/>
        <v>12</v>
      </c>
      <c r="Q25" s="68">
        <f t="shared" si="3"/>
        <v>12</v>
      </c>
      <c r="R25" s="68">
        <f t="shared" si="3"/>
        <v>12</v>
      </c>
      <c r="S25" s="68">
        <f t="shared" si="3"/>
        <v>10.5</v>
      </c>
      <c r="T25" s="68">
        <f t="shared" si="3"/>
        <v>10</v>
      </c>
      <c r="U25" s="68">
        <f t="shared" si="3"/>
        <v>6</v>
      </c>
      <c r="V25" s="68">
        <f t="shared" si="3"/>
        <v>3.5</v>
      </c>
      <c r="W25" s="68">
        <f t="shared" si="3"/>
        <v>2</v>
      </c>
      <c r="X25" s="68">
        <f t="shared" si="3"/>
        <v>2</v>
      </c>
      <c r="Y25" s="68">
        <f t="shared" si="3"/>
        <v>2</v>
      </c>
      <c r="Z25" s="68">
        <f t="shared" si="3"/>
        <v>1</v>
      </c>
      <c r="AA25" s="68"/>
      <c r="AB25" s="68"/>
      <c r="AC25" s="68"/>
      <c r="AD25" s="68"/>
      <c r="AE25" s="68"/>
      <c r="AF25" s="68"/>
      <c r="AG25" s="68"/>
      <c r="AH25" s="68"/>
      <c r="AI25" s="69">
        <f>SUM(AI7:AI24)</f>
        <v>113</v>
      </c>
      <c r="AJ25" s="26"/>
      <c r="AK25" s="19"/>
    </row>
    <row r="26" spans="1:38" ht="4.5" customHeight="1">
      <c r="A26" s="70"/>
      <c r="B26" s="71"/>
      <c r="C26" s="72"/>
      <c r="D26" s="73"/>
      <c r="E26" s="74"/>
      <c r="F26" s="74"/>
      <c r="G26" s="74"/>
      <c r="H26" s="76"/>
      <c r="I26" s="76"/>
      <c r="J26" s="76"/>
      <c r="K26" s="76"/>
      <c r="L26" s="74"/>
      <c r="M26" s="74"/>
      <c r="N26" s="74"/>
      <c r="O26" s="74"/>
      <c r="P26" s="74"/>
      <c r="Q26" s="74"/>
      <c r="R26" s="74"/>
      <c r="S26" s="74"/>
      <c r="T26" s="74"/>
      <c r="U26" s="74"/>
      <c r="V26" s="74"/>
      <c r="W26" s="74"/>
      <c r="X26" s="74"/>
      <c r="Y26" s="74"/>
      <c r="Z26" s="74"/>
      <c r="AA26" s="74"/>
      <c r="AB26" s="74"/>
      <c r="AC26" s="74"/>
      <c r="AD26" s="74"/>
      <c r="AE26" s="74"/>
      <c r="AF26" s="74"/>
      <c r="AG26" s="74"/>
      <c r="AH26" s="74"/>
      <c r="AI26" s="74"/>
      <c r="AJ26" s="78"/>
      <c r="AK26" s="70"/>
    </row>
    <row r="27" spans="1:38" ht="16.5" customHeight="1">
      <c r="A27" s="19"/>
      <c r="B27" s="25"/>
      <c r="C27" s="38" t="s">
        <v>62</v>
      </c>
      <c r="D27" s="79" t="s">
        <v>54</v>
      </c>
      <c r="E27" s="51" t="s">
        <v>57</v>
      </c>
      <c r="F27" s="51" t="s">
        <v>6</v>
      </c>
      <c r="G27" s="105" t="s">
        <v>56</v>
      </c>
      <c r="H27" s="53">
        <v>45726</v>
      </c>
      <c r="I27" s="53">
        <v>46127</v>
      </c>
      <c r="J27" s="53"/>
      <c r="K27" s="53"/>
      <c r="L27" s="55"/>
      <c r="M27" s="55">
        <v>0.75</v>
      </c>
      <c r="N27" s="55">
        <v>1</v>
      </c>
      <c r="O27" s="55">
        <v>1</v>
      </c>
      <c r="P27" s="55">
        <v>1</v>
      </c>
      <c r="Q27" s="55">
        <v>1</v>
      </c>
      <c r="R27" s="55">
        <v>1</v>
      </c>
      <c r="S27" s="55">
        <v>1</v>
      </c>
      <c r="T27" s="55">
        <v>1</v>
      </c>
      <c r="U27" s="55">
        <v>1</v>
      </c>
      <c r="V27" s="55">
        <v>1</v>
      </c>
      <c r="W27" s="55">
        <v>1</v>
      </c>
      <c r="X27" s="55">
        <v>1</v>
      </c>
      <c r="Y27" s="55">
        <v>1</v>
      </c>
      <c r="Z27" s="55">
        <v>0.5</v>
      </c>
      <c r="AA27" s="44"/>
      <c r="AB27" s="44"/>
      <c r="AC27" s="44"/>
      <c r="AD27" s="44"/>
      <c r="AE27" s="44"/>
      <c r="AF27" s="44"/>
      <c r="AG27" s="44"/>
      <c r="AH27" s="44"/>
      <c r="AI27" s="45">
        <f t="shared" ref="AI27:AI35" si="4">SUM(L27:AH27)</f>
        <v>13.25</v>
      </c>
      <c r="AJ27" s="26"/>
      <c r="AK27" s="19"/>
    </row>
    <row r="28" spans="1:38" ht="16.5" customHeight="1">
      <c r="A28" s="19"/>
      <c r="B28" s="25"/>
      <c r="C28" s="47"/>
      <c r="D28" s="382" t="s">
        <v>63</v>
      </c>
      <c r="E28" s="51" t="s">
        <v>57</v>
      </c>
      <c r="F28" s="51" t="s">
        <v>10</v>
      </c>
      <c r="G28" s="105" t="s">
        <v>56</v>
      </c>
      <c r="H28" s="53">
        <v>45726</v>
      </c>
      <c r="I28" s="53">
        <v>46127</v>
      </c>
      <c r="J28" s="53"/>
      <c r="K28" s="53"/>
      <c r="L28" s="55"/>
      <c r="M28" s="55">
        <v>0.75</v>
      </c>
      <c r="N28" s="55">
        <v>1</v>
      </c>
      <c r="O28" s="55">
        <v>1</v>
      </c>
      <c r="P28" s="55">
        <v>1</v>
      </c>
      <c r="Q28" s="55">
        <v>1</v>
      </c>
      <c r="R28" s="55">
        <v>1</v>
      </c>
      <c r="S28" s="55">
        <v>1</v>
      </c>
      <c r="T28" s="55">
        <v>1</v>
      </c>
      <c r="U28" s="55">
        <v>1</v>
      </c>
      <c r="V28" s="55">
        <v>1</v>
      </c>
      <c r="W28" s="55">
        <v>1</v>
      </c>
      <c r="X28" s="55">
        <v>1</v>
      </c>
      <c r="Y28" s="55">
        <v>1</v>
      </c>
      <c r="Z28" s="55">
        <v>0.5</v>
      </c>
      <c r="AA28" s="44"/>
      <c r="AB28" s="44"/>
      <c r="AC28" s="44"/>
      <c r="AD28" s="44"/>
      <c r="AE28" s="44"/>
      <c r="AF28" s="44"/>
      <c r="AG28" s="44"/>
      <c r="AH28" s="44"/>
      <c r="AI28" s="45">
        <f t="shared" si="4"/>
        <v>13.25</v>
      </c>
      <c r="AJ28" s="26"/>
      <c r="AK28" s="19"/>
    </row>
    <row r="29" spans="1:38" ht="16.5" customHeight="1">
      <c r="A29" s="19"/>
      <c r="B29" s="25"/>
      <c r="C29" s="47"/>
      <c r="D29" s="383"/>
      <c r="E29" s="51" t="s">
        <v>57</v>
      </c>
      <c r="F29" s="51" t="s">
        <v>22</v>
      </c>
      <c r="G29" s="51" t="s">
        <v>51</v>
      </c>
      <c r="H29" s="53">
        <v>45748</v>
      </c>
      <c r="I29" s="53">
        <v>46066</v>
      </c>
      <c r="J29" s="53"/>
      <c r="K29" s="53"/>
      <c r="L29" s="55"/>
      <c r="M29" s="55"/>
      <c r="N29" s="55">
        <v>1</v>
      </c>
      <c r="O29" s="55">
        <v>1</v>
      </c>
      <c r="P29" s="55">
        <v>1</v>
      </c>
      <c r="Q29" s="55">
        <v>1</v>
      </c>
      <c r="R29" s="55">
        <v>1</v>
      </c>
      <c r="S29" s="55">
        <v>1</v>
      </c>
      <c r="T29" s="55">
        <v>1</v>
      </c>
      <c r="U29" s="55">
        <v>1</v>
      </c>
      <c r="V29" s="110"/>
      <c r="W29" s="110"/>
      <c r="X29" s="112"/>
      <c r="Y29" s="55"/>
      <c r="Z29" s="55"/>
      <c r="AA29" s="44"/>
      <c r="AB29" s="44"/>
      <c r="AC29" s="44"/>
      <c r="AD29" s="44"/>
      <c r="AE29" s="44"/>
      <c r="AF29" s="44"/>
      <c r="AG29" s="44"/>
      <c r="AH29" s="44"/>
      <c r="AI29" s="45">
        <f t="shared" si="4"/>
        <v>8</v>
      </c>
      <c r="AJ29" s="26"/>
      <c r="AK29" s="19"/>
    </row>
    <row r="30" spans="1:38" ht="16.5" customHeight="1">
      <c r="A30" s="19"/>
      <c r="B30" s="25"/>
      <c r="C30" s="50" t="s">
        <v>62</v>
      </c>
      <c r="D30" s="383"/>
      <c r="E30" s="57" t="s">
        <v>59</v>
      </c>
      <c r="F30" s="130" t="s">
        <v>93</v>
      </c>
      <c r="G30" s="103"/>
      <c r="H30" s="59"/>
      <c r="I30" s="59"/>
      <c r="J30" s="59"/>
      <c r="K30" s="59"/>
      <c r="L30" s="44"/>
      <c r="M30" s="44"/>
      <c r="N30" s="44"/>
      <c r="O30" s="44"/>
      <c r="P30" s="132">
        <v>1</v>
      </c>
      <c r="Q30" s="132">
        <v>1</v>
      </c>
      <c r="R30" s="81">
        <v>1</v>
      </c>
      <c r="S30" s="81">
        <v>1</v>
      </c>
      <c r="T30" s="44"/>
      <c r="U30" s="44"/>
      <c r="V30" s="44"/>
      <c r="W30" s="44"/>
      <c r="X30" s="44"/>
      <c r="Y30" s="44"/>
      <c r="Z30" s="44"/>
      <c r="AA30" s="44"/>
      <c r="AB30" s="44"/>
      <c r="AC30" s="44"/>
      <c r="AD30" s="44"/>
      <c r="AE30" s="44"/>
      <c r="AF30" s="44"/>
      <c r="AG30" s="44"/>
      <c r="AH30" s="44"/>
      <c r="AI30" s="45">
        <f t="shared" si="4"/>
        <v>4</v>
      </c>
      <c r="AJ30" s="26"/>
      <c r="AK30" s="19"/>
    </row>
    <row r="31" spans="1:38" ht="16.5" customHeight="1">
      <c r="A31" s="19" t="s">
        <v>86</v>
      </c>
      <c r="B31" s="25"/>
      <c r="C31" s="50" t="s">
        <v>62</v>
      </c>
      <c r="D31" s="383"/>
      <c r="E31" s="57" t="s">
        <v>59</v>
      </c>
      <c r="F31" s="131" t="s">
        <v>94</v>
      </c>
      <c r="G31" s="103"/>
      <c r="H31" s="59"/>
      <c r="I31" s="59"/>
      <c r="J31" s="59"/>
      <c r="K31" s="59"/>
      <c r="L31" s="44"/>
      <c r="M31" s="44"/>
      <c r="N31" s="44"/>
      <c r="O31" s="44"/>
      <c r="P31" s="132">
        <v>1</v>
      </c>
      <c r="Q31" s="113">
        <v>1</v>
      </c>
      <c r="R31" s="81">
        <v>1</v>
      </c>
      <c r="S31" s="81">
        <v>1</v>
      </c>
      <c r="T31" s="44"/>
      <c r="U31" s="44"/>
      <c r="V31" s="44"/>
      <c r="W31" s="44"/>
      <c r="X31" s="44"/>
      <c r="Y31" s="44"/>
      <c r="Z31" s="44"/>
      <c r="AA31" s="44"/>
      <c r="AB31" s="44"/>
      <c r="AC31" s="44"/>
      <c r="AD31" s="44"/>
      <c r="AE31" s="44"/>
      <c r="AF31" s="44"/>
      <c r="AG31" s="44"/>
      <c r="AH31" s="44"/>
      <c r="AI31" s="45">
        <f t="shared" si="4"/>
        <v>4</v>
      </c>
      <c r="AJ31" s="26"/>
      <c r="AK31" s="19"/>
    </row>
    <row r="32" spans="1:38" ht="16.5" customHeight="1">
      <c r="A32" s="19"/>
      <c r="B32" s="25"/>
      <c r="C32" s="50" t="s">
        <v>62</v>
      </c>
      <c r="D32" s="383"/>
      <c r="E32" s="57" t="s">
        <v>59</v>
      </c>
      <c r="F32" s="57" t="s">
        <v>14</v>
      </c>
      <c r="G32" s="103" t="s">
        <v>56</v>
      </c>
      <c r="H32" s="59">
        <v>45726</v>
      </c>
      <c r="I32" s="59">
        <v>46127</v>
      </c>
      <c r="J32" s="59"/>
      <c r="K32" s="59"/>
      <c r="L32" s="44"/>
      <c r="M32" s="44">
        <v>0.75</v>
      </c>
      <c r="N32" s="44">
        <v>1</v>
      </c>
      <c r="O32" s="44">
        <v>1</v>
      </c>
      <c r="P32" s="44">
        <v>1</v>
      </c>
      <c r="Q32" s="44">
        <v>1</v>
      </c>
      <c r="R32" s="44">
        <v>1</v>
      </c>
      <c r="S32" s="44">
        <v>1</v>
      </c>
      <c r="T32" s="44">
        <v>1</v>
      </c>
      <c r="U32" s="44">
        <v>1</v>
      </c>
      <c r="V32" s="44">
        <v>1</v>
      </c>
      <c r="W32" s="44">
        <v>1</v>
      </c>
      <c r="X32" s="44">
        <v>1</v>
      </c>
      <c r="Y32" s="111">
        <v>0.5</v>
      </c>
      <c r="Z32" s="111"/>
      <c r="AA32" s="44"/>
      <c r="AB32" s="44"/>
      <c r="AC32" s="44"/>
      <c r="AD32" s="44"/>
      <c r="AE32" s="44"/>
      <c r="AF32" s="44"/>
      <c r="AG32" s="44"/>
      <c r="AH32" s="44"/>
      <c r="AI32" s="45">
        <f t="shared" si="4"/>
        <v>12.25</v>
      </c>
      <c r="AJ32" s="26"/>
      <c r="AK32" s="19"/>
    </row>
    <row r="33" spans="1:37" ht="16.5" customHeight="1">
      <c r="A33" s="19"/>
      <c r="B33" s="25"/>
      <c r="C33" s="50" t="s">
        <v>62</v>
      </c>
      <c r="D33" s="383"/>
      <c r="E33" s="57" t="s">
        <v>59</v>
      </c>
      <c r="F33" s="57" t="s">
        <v>7</v>
      </c>
      <c r="G33" s="103" t="s">
        <v>56</v>
      </c>
      <c r="H33" s="59">
        <v>45748</v>
      </c>
      <c r="I33" s="59">
        <v>45961</v>
      </c>
      <c r="J33" s="59"/>
      <c r="K33" s="59"/>
      <c r="L33" s="44"/>
      <c r="M33" s="44"/>
      <c r="N33" s="44">
        <v>1</v>
      </c>
      <c r="O33" s="44">
        <v>1</v>
      </c>
      <c r="P33" s="44">
        <v>1</v>
      </c>
      <c r="Q33" s="44">
        <v>1</v>
      </c>
      <c r="R33" s="44">
        <v>1</v>
      </c>
      <c r="S33" s="44">
        <v>1</v>
      </c>
      <c r="T33" s="44">
        <v>1</v>
      </c>
      <c r="U33" s="44"/>
      <c r="V33" s="44"/>
      <c r="W33" s="44"/>
      <c r="X33" s="44"/>
      <c r="Y33" s="44"/>
      <c r="Z33" s="44"/>
      <c r="AA33" s="44"/>
      <c r="AB33" s="44"/>
      <c r="AC33" s="44"/>
      <c r="AD33" s="44"/>
      <c r="AE33" s="44"/>
      <c r="AF33" s="44"/>
      <c r="AG33" s="44"/>
      <c r="AH33" s="44"/>
      <c r="AI33" s="45">
        <f t="shared" si="4"/>
        <v>7</v>
      </c>
      <c r="AJ33" s="26"/>
      <c r="AK33" s="19"/>
    </row>
    <row r="34" spans="1:37" ht="16.5" customHeight="1">
      <c r="A34" s="19"/>
      <c r="B34" s="25"/>
      <c r="C34" s="50" t="s">
        <v>62</v>
      </c>
      <c r="D34" s="383"/>
      <c r="E34" s="57" t="s">
        <v>59</v>
      </c>
      <c r="F34" s="57" t="s">
        <v>18</v>
      </c>
      <c r="G34" s="103" t="s">
        <v>56</v>
      </c>
      <c r="H34" s="59">
        <v>45726</v>
      </c>
      <c r="I34" s="59">
        <v>45989</v>
      </c>
      <c r="J34" s="59"/>
      <c r="K34" s="59"/>
      <c r="L34" s="44"/>
      <c r="M34" s="44">
        <v>0.75</v>
      </c>
      <c r="N34" s="44">
        <v>1</v>
      </c>
      <c r="O34" s="44">
        <v>1</v>
      </c>
      <c r="P34" s="44">
        <v>1</v>
      </c>
      <c r="Q34" s="44">
        <v>1</v>
      </c>
      <c r="R34" s="44">
        <v>1</v>
      </c>
      <c r="S34" s="44">
        <v>1</v>
      </c>
      <c r="T34" s="44">
        <v>1</v>
      </c>
      <c r="U34" s="44">
        <v>1</v>
      </c>
      <c r="V34" s="44"/>
      <c r="W34" s="44"/>
      <c r="X34" s="44"/>
      <c r="Y34" s="44"/>
      <c r="Z34" s="44"/>
      <c r="AA34" s="44"/>
      <c r="AB34" s="44"/>
      <c r="AC34" s="44"/>
      <c r="AD34" s="44"/>
      <c r="AE34" s="44"/>
      <c r="AF34" s="44"/>
      <c r="AG34" s="44"/>
      <c r="AH34" s="44"/>
      <c r="AI34" s="45">
        <f t="shared" si="4"/>
        <v>8.75</v>
      </c>
      <c r="AJ34" s="26"/>
      <c r="AK34" s="19"/>
    </row>
    <row r="35" spans="1:37" ht="16.5" customHeight="1">
      <c r="A35" s="19"/>
      <c r="B35" s="25"/>
      <c r="C35" s="50" t="s">
        <v>62</v>
      </c>
      <c r="D35" s="384"/>
      <c r="E35" s="57" t="s">
        <v>59</v>
      </c>
      <c r="F35" s="57" t="s">
        <v>11</v>
      </c>
      <c r="G35" s="103" t="s">
        <v>56</v>
      </c>
      <c r="H35" s="59">
        <v>45748</v>
      </c>
      <c r="I35" s="59">
        <v>45961</v>
      </c>
      <c r="J35" s="59"/>
      <c r="K35" s="59"/>
      <c r="L35" s="44"/>
      <c r="M35" s="44"/>
      <c r="N35" s="44">
        <v>1</v>
      </c>
      <c r="O35" s="44">
        <v>1</v>
      </c>
      <c r="P35" s="44">
        <v>1</v>
      </c>
      <c r="Q35" s="44">
        <v>1</v>
      </c>
      <c r="R35" s="44">
        <v>1</v>
      </c>
      <c r="S35" s="44">
        <v>1</v>
      </c>
      <c r="T35" s="44">
        <v>1</v>
      </c>
      <c r="U35" s="81"/>
      <c r="V35" s="44"/>
      <c r="W35" s="44"/>
      <c r="X35" s="44"/>
      <c r="Y35" s="44"/>
      <c r="Z35" s="44"/>
      <c r="AA35" s="44"/>
      <c r="AB35" s="44"/>
      <c r="AC35" s="44"/>
      <c r="AD35" s="44"/>
      <c r="AE35" s="44"/>
      <c r="AF35" s="44"/>
      <c r="AG35" s="44"/>
      <c r="AH35" s="44"/>
      <c r="AI35" s="45">
        <f t="shared" si="4"/>
        <v>7</v>
      </c>
      <c r="AJ35" s="26"/>
      <c r="AK35" s="19"/>
    </row>
    <row r="36" spans="1:37" ht="16.5" hidden="1" customHeight="1">
      <c r="A36" s="19"/>
      <c r="B36" s="25"/>
      <c r="C36" s="50" t="s">
        <v>62</v>
      </c>
      <c r="D36" s="385"/>
      <c r="E36" s="57" t="s">
        <v>51</v>
      </c>
      <c r="F36" s="57"/>
      <c r="G36" s="60"/>
      <c r="H36" s="59"/>
      <c r="I36" s="59"/>
      <c r="J36" s="59"/>
      <c r="K36" s="59"/>
      <c r="L36" s="44"/>
      <c r="M36" s="44"/>
      <c r="N36" s="44"/>
      <c r="O36" s="44"/>
      <c r="P36" s="44"/>
      <c r="Q36" s="44"/>
      <c r="R36" s="44"/>
      <c r="S36" s="44"/>
      <c r="T36" s="44"/>
      <c r="U36" s="44"/>
      <c r="V36" s="44"/>
      <c r="W36" s="44"/>
      <c r="X36" s="44"/>
      <c r="Y36" s="44"/>
      <c r="Z36" s="44"/>
      <c r="AA36" s="44"/>
      <c r="AB36" s="44"/>
      <c r="AC36" s="44"/>
      <c r="AD36" s="44"/>
      <c r="AE36" s="44"/>
      <c r="AF36" s="44"/>
      <c r="AG36" s="44"/>
      <c r="AH36" s="44"/>
      <c r="AI36" s="45">
        <v>0</v>
      </c>
      <c r="AJ36" s="26"/>
      <c r="AK36" s="19"/>
    </row>
    <row r="37" spans="1:37" ht="16.5" hidden="1" customHeight="1">
      <c r="A37" s="19"/>
      <c r="B37" s="25"/>
      <c r="C37" s="50" t="s">
        <v>62</v>
      </c>
      <c r="D37" s="383"/>
      <c r="E37" s="57" t="s">
        <v>57</v>
      </c>
      <c r="F37" s="57"/>
      <c r="G37" s="60"/>
      <c r="H37" s="59"/>
      <c r="I37" s="59"/>
      <c r="J37" s="59"/>
      <c r="K37" s="59"/>
      <c r="L37" s="44"/>
      <c r="M37" s="44"/>
      <c r="N37" s="44"/>
      <c r="O37" s="44"/>
      <c r="P37" s="44"/>
      <c r="Q37" s="44"/>
      <c r="R37" s="44"/>
      <c r="S37" s="44"/>
      <c r="T37" s="44"/>
      <c r="U37" s="44"/>
      <c r="V37" s="44"/>
      <c r="W37" s="44"/>
      <c r="X37" s="44"/>
      <c r="Y37" s="44"/>
      <c r="Z37" s="44"/>
      <c r="AA37" s="44"/>
      <c r="AB37" s="44"/>
      <c r="AC37" s="44"/>
      <c r="AD37" s="44"/>
      <c r="AE37" s="44"/>
      <c r="AF37" s="44"/>
      <c r="AG37" s="44"/>
      <c r="AH37" s="44"/>
      <c r="AI37" s="45">
        <v>0</v>
      </c>
      <c r="AJ37" s="26"/>
      <c r="AK37" s="19"/>
    </row>
    <row r="38" spans="1:37" ht="16.5" hidden="1" customHeight="1">
      <c r="A38" s="19"/>
      <c r="B38" s="25"/>
      <c r="C38" s="50" t="s">
        <v>62</v>
      </c>
      <c r="D38" s="384"/>
      <c r="E38" s="57" t="s">
        <v>59</v>
      </c>
      <c r="F38" s="57"/>
      <c r="G38" s="60"/>
      <c r="H38" s="59"/>
      <c r="I38" s="59"/>
      <c r="J38" s="59"/>
      <c r="K38" s="59"/>
      <c r="L38" s="44"/>
      <c r="M38" s="44"/>
      <c r="N38" s="44"/>
      <c r="O38" s="44"/>
      <c r="P38" s="44"/>
      <c r="Q38" s="44"/>
      <c r="R38" s="44"/>
      <c r="S38" s="44"/>
      <c r="T38" s="44"/>
      <c r="U38" s="44"/>
      <c r="V38" s="44"/>
      <c r="W38" s="44"/>
      <c r="X38" s="44"/>
      <c r="Y38" s="44"/>
      <c r="Z38" s="44"/>
      <c r="AA38" s="44"/>
      <c r="AB38" s="44"/>
      <c r="AC38" s="44"/>
      <c r="AD38" s="44"/>
      <c r="AE38" s="44"/>
      <c r="AF38" s="44"/>
      <c r="AG38" s="44"/>
      <c r="AH38" s="44"/>
      <c r="AI38" s="45">
        <v>0</v>
      </c>
      <c r="AJ38" s="26"/>
      <c r="AK38" s="19"/>
    </row>
    <row r="39" spans="1:37" ht="16.5" hidden="1" customHeight="1">
      <c r="A39" s="19"/>
      <c r="B39" s="25"/>
      <c r="C39" s="50" t="s">
        <v>62</v>
      </c>
      <c r="D39" s="385"/>
      <c r="E39" s="57" t="s">
        <v>51</v>
      </c>
      <c r="F39" s="57"/>
      <c r="G39" s="60"/>
      <c r="H39" s="59"/>
      <c r="I39" s="59"/>
      <c r="J39" s="59"/>
      <c r="K39" s="59"/>
      <c r="L39" s="44"/>
      <c r="M39" s="44"/>
      <c r="N39" s="44"/>
      <c r="O39" s="44"/>
      <c r="P39" s="44"/>
      <c r="Q39" s="44"/>
      <c r="R39" s="44"/>
      <c r="S39" s="44"/>
      <c r="T39" s="44"/>
      <c r="U39" s="44"/>
      <c r="V39" s="44"/>
      <c r="W39" s="44"/>
      <c r="X39" s="44"/>
      <c r="Y39" s="44"/>
      <c r="Z39" s="44"/>
      <c r="AA39" s="44"/>
      <c r="AB39" s="44"/>
      <c r="AC39" s="44"/>
      <c r="AD39" s="44"/>
      <c r="AE39" s="44"/>
      <c r="AF39" s="44"/>
      <c r="AG39" s="44"/>
      <c r="AH39" s="44"/>
      <c r="AI39" s="45">
        <v>0</v>
      </c>
      <c r="AJ39" s="26"/>
      <c r="AK39" s="19"/>
    </row>
    <row r="40" spans="1:37" ht="16.5" hidden="1" customHeight="1">
      <c r="A40" s="19"/>
      <c r="B40" s="25"/>
      <c r="C40" s="50" t="s">
        <v>62</v>
      </c>
      <c r="D40" s="383"/>
      <c r="E40" s="57" t="s">
        <v>57</v>
      </c>
      <c r="F40" s="57"/>
      <c r="G40" s="60"/>
      <c r="H40" s="59"/>
      <c r="I40" s="59"/>
      <c r="J40" s="59"/>
      <c r="K40" s="59"/>
      <c r="L40" s="44"/>
      <c r="M40" s="44"/>
      <c r="N40" s="44"/>
      <c r="O40" s="44"/>
      <c r="P40" s="44"/>
      <c r="Q40" s="44"/>
      <c r="R40" s="44"/>
      <c r="S40" s="44"/>
      <c r="T40" s="44"/>
      <c r="U40" s="44"/>
      <c r="V40" s="44"/>
      <c r="W40" s="44"/>
      <c r="X40" s="44"/>
      <c r="Y40" s="44"/>
      <c r="Z40" s="44"/>
      <c r="AA40" s="44"/>
      <c r="AB40" s="44"/>
      <c r="AC40" s="44"/>
      <c r="AD40" s="44"/>
      <c r="AE40" s="44"/>
      <c r="AF40" s="44"/>
      <c r="AG40" s="44"/>
      <c r="AH40" s="44"/>
      <c r="AI40" s="45">
        <v>0</v>
      </c>
      <c r="AJ40" s="26"/>
      <c r="AK40" s="19"/>
    </row>
    <row r="41" spans="1:37" ht="16.5" hidden="1" customHeight="1">
      <c r="A41" s="19"/>
      <c r="B41" s="25"/>
      <c r="C41" s="50" t="s">
        <v>62</v>
      </c>
      <c r="D41" s="384"/>
      <c r="E41" s="57" t="s">
        <v>59</v>
      </c>
      <c r="F41" s="57"/>
      <c r="G41" s="60"/>
      <c r="H41" s="59"/>
      <c r="I41" s="59"/>
      <c r="J41" s="59"/>
      <c r="K41" s="59"/>
      <c r="L41" s="44"/>
      <c r="M41" s="44"/>
      <c r="N41" s="44"/>
      <c r="O41" s="44"/>
      <c r="P41" s="44"/>
      <c r="Q41" s="44"/>
      <c r="R41" s="44"/>
      <c r="S41" s="44"/>
      <c r="T41" s="44"/>
      <c r="U41" s="44"/>
      <c r="V41" s="44"/>
      <c r="W41" s="44"/>
      <c r="X41" s="44"/>
      <c r="Y41" s="44"/>
      <c r="Z41" s="44"/>
      <c r="AA41" s="44"/>
      <c r="AB41" s="44"/>
      <c r="AC41" s="44"/>
      <c r="AD41" s="44"/>
      <c r="AE41" s="44"/>
      <c r="AF41" s="44"/>
      <c r="AG41" s="44"/>
      <c r="AH41" s="44"/>
      <c r="AI41" s="45">
        <v>0</v>
      </c>
      <c r="AJ41" s="26"/>
      <c r="AK41" s="19"/>
    </row>
    <row r="42" spans="1:37" ht="16.5" hidden="1" customHeight="1">
      <c r="A42" s="19"/>
      <c r="B42" s="25"/>
      <c r="C42" s="50" t="s">
        <v>62</v>
      </c>
      <c r="D42" s="386" t="s">
        <v>64</v>
      </c>
      <c r="E42" s="57" t="s">
        <v>51</v>
      </c>
      <c r="F42" s="57"/>
      <c r="G42" s="60"/>
      <c r="H42" s="59"/>
      <c r="I42" s="59"/>
      <c r="J42" s="59"/>
      <c r="K42" s="59"/>
      <c r="L42" s="44"/>
      <c r="M42" s="44"/>
      <c r="N42" s="44"/>
      <c r="O42" s="44"/>
      <c r="P42" s="44"/>
      <c r="Q42" s="44"/>
      <c r="R42" s="44"/>
      <c r="S42" s="44"/>
      <c r="T42" s="44"/>
      <c r="U42" s="44"/>
      <c r="V42" s="44"/>
      <c r="W42" s="44"/>
      <c r="X42" s="44"/>
      <c r="Y42" s="44"/>
      <c r="Z42" s="44"/>
      <c r="AA42" s="44"/>
      <c r="AB42" s="44"/>
      <c r="AC42" s="44"/>
      <c r="AD42" s="44"/>
      <c r="AE42" s="44"/>
      <c r="AF42" s="44"/>
      <c r="AG42" s="44"/>
      <c r="AH42" s="44"/>
      <c r="AI42" s="45">
        <v>0</v>
      </c>
      <c r="AJ42" s="26"/>
      <c r="AK42" s="19"/>
    </row>
    <row r="43" spans="1:37" ht="16.5" hidden="1" customHeight="1">
      <c r="A43" s="19"/>
      <c r="B43" s="25"/>
      <c r="C43" s="50" t="s">
        <v>62</v>
      </c>
      <c r="D43" s="383"/>
      <c r="E43" s="57" t="s">
        <v>57</v>
      </c>
      <c r="F43" s="57"/>
      <c r="G43" s="60"/>
      <c r="H43" s="59"/>
      <c r="I43" s="59"/>
      <c r="J43" s="59"/>
      <c r="K43" s="59"/>
      <c r="L43" s="44"/>
      <c r="M43" s="44"/>
      <c r="N43" s="44"/>
      <c r="O43" s="44"/>
      <c r="P43" s="44"/>
      <c r="Q43" s="44"/>
      <c r="R43" s="44"/>
      <c r="S43" s="44"/>
      <c r="T43" s="44"/>
      <c r="U43" s="44"/>
      <c r="V43" s="44"/>
      <c r="W43" s="44"/>
      <c r="X43" s="44"/>
      <c r="Y43" s="44"/>
      <c r="Z43" s="44"/>
      <c r="AA43" s="44"/>
      <c r="AB43" s="44"/>
      <c r="AC43" s="44"/>
      <c r="AD43" s="44"/>
      <c r="AE43" s="44"/>
      <c r="AF43" s="44"/>
      <c r="AG43" s="44"/>
      <c r="AH43" s="44"/>
      <c r="AI43" s="45">
        <v>0</v>
      </c>
      <c r="AJ43" s="26"/>
      <c r="AK43" s="19"/>
    </row>
    <row r="44" spans="1:37" ht="16.5" hidden="1" customHeight="1">
      <c r="A44" s="19"/>
      <c r="B44" s="25"/>
      <c r="C44" s="50" t="s">
        <v>62</v>
      </c>
      <c r="D44" s="384"/>
      <c r="E44" s="57" t="s">
        <v>59</v>
      </c>
      <c r="F44" s="57"/>
      <c r="G44" s="60"/>
      <c r="H44" s="59"/>
      <c r="I44" s="59"/>
      <c r="J44" s="59"/>
      <c r="K44" s="59"/>
      <c r="L44" s="44"/>
      <c r="M44" s="44"/>
      <c r="N44" s="44"/>
      <c r="O44" s="44"/>
      <c r="P44" s="44"/>
      <c r="Q44" s="44"/>
      <c r="R44" s="44"/>
      <c r="S44" s="44"/>
      <c r="T44" s="44"/>
      <c r="U44" s="44"/>
      <c r="V44" s="44"/>
      <c r="W44" s="44"/>
      <c r="X44" s="44"/>
      <c r="Y44" s="44"/>
      <c r="Z44" s="44"/>
      <c r="AA44" s="44"/>
      <c r="AB44" s="44"/>
      <c r="AC44" s="44"/>
      <c r="AD44" s="44"/>
      <c r="AE44" s="44"/>
      <c r="AF44" s="44"/>
      <c r="AG44" s="44"/>
      <c r="AH44" s="44"/>
      <c r="AI44" s="45">
        <v>0</v>
      </c>
      <c r="AJ44" s="26"/>
      <c r="AK44" s="19"/>
    </row>
    <row r="45" spans="1:37" ht="16.5" customHeight="1">
      <c r="A45" s="19"/>
      <c r="B45" s="25"/>
      <c r="C45" s="61" t="s">
        <v>62</v>
      </c>
      <c r="D45" s="104" t="s">
        <v>60</v>
      </c>
      <c r="E45" s="66"/>
      <c r="F45" s="66"/>
      <c r="G45" s="66" t="s">
        <v>77</v>
      </c>
      <c r="H45" s="66"/>
      <c r="I45" s="66" t="s">
        <v>61</v>
      </c>
      <c r="J45" s="67"/>
      <c r="K45" s="67"/>
      <c r="L45" s="68">
        <f t="shared" ref="L45:Z45" si="5">SUM(L27:L44)</f>
        <v>0</v>
      </c>
      <c r="M45" s="68">
        <f t="shared" si="5"/>
        <v>3</v>
      </c>
      <c r="N45" s="68">
        <f t="shared" si="5"/>
        <v>7</v>
      </c>
      <c r="O45" s="68">
        <f t="shared" si="5"/>
        <v>7</v>
      </c>
      <c r="P45" s="68">
        <f t="shared" si="5"/>
        <v>9</v>
      </c>
      <c r="Q45" s="68">
        <f t="shared" si="5"/>
        <v>9</v>
      </c>
      <c r="R45" s="68">
        <f t="shared" si="5"/>
        <v>9</v>
      </c>
      <c r="S45" s="68">
        <f t="shared" si="5"/>
        <v>9</v>
      </c>
      <c r="T45" s="68">
        <f t="shared" si="5"/>
        <v>7</v>
      </c>
      <c r="U45" s="68">
        <f t="shared" si="5"/>
        <v>5</v>
      </c>
      <c r="V45" s="68">
        <f t="shared" si="5"/>
        <v>3</v>
      </c>
      <c r="W45" s="68">
        <f t="shared" si="5"/>
        <v>3</v>
      </c>
      <c r="X45" s="68">
        <f t="shared" si="5"/>
        <v>3</v>
      </c>
      <c r="Y45" s="68">
        <f t="shared" si="5"/>
        <v>2.5</v>
      </c>
      <c r="Z45" s="68">
        <f t="shared" si="5"/>
        <v>1</v>
      </c>
      <c r="AA45" s="68"/>
      <c r="AB45" s="68"/>
      <c r="AC45" s="68"/>
      <c r="AD45" s="68"/>
      <c r="AE45" s="68"/>
      <c r="AF45" s="68"/>
      <c r="AG45" s="68"/>
      <c r="AH45" s="68"/>
      <c r="AI45" s="69">
        <f>SUM(AI27:AI44)</f>
        <v>77.5</v>
      </c>
      <c r="AJ45" s="26"/>
      <c r="AK45" s="19"/>
    </row>
    <row r="46" spans="1:37" ht="4.5" customHeight="1">
      <c r="A46" s="70"/>
      <c r="B46" s="71"/>
      <c r="C46" s="72"/>
      <c r="D46" s="73"/>
      <c r="E46" s="74"/>
      <c r="F46" s="74"/>
      <c r="G46" s="74"/>
      <c r="H46" s="74"/>
      <c r="I46" s="74"/>
      <c r="J46" s="74"/>
      <c r="K46" s="74"/>
      <c r="L46" s="74"/>
      <c r="M46" s="74"/>
      <c r="N46" s="74"/>
      <c r="O46" s="74"/>
      <c r="P46" s="74"/>
      <c r="Q46" s="74"/>
      <c r="R46" s="74"/>
      <c r="S46" s="74"/>
      <c r="T46" s="74"/>
      <c r="U46" s="74"/>
      <c r="V46" s="74"/>
      <c r="W46" s="74"/>
      <c r="X46" s="74"/>
      <c r="Y46" s="74"/>
      <c r="Z46" s="74"/>
      <c r="AA46" s="74"/>
      <c r="AB46" s="74"/>
      <c r="AC46" s="74"/>
      <c r="AD46" s="74"/>
      <c r="AE46" s="74"/>
      <c r="AF46" s="74"/>
      <c r="AG46" s="74"/>
      <c r="AH46" s="74"/>
      <c r="AI46" s="74"/>
      <c r="AJ46" s="78"/>
      <c r="AK46" s="70"/>
    </row>
    <row r="47" spans="1:37" ht="16.5" customHeight="1">
      <c r="A47" s="19"/>
      <c r="B47" s="25"/>
      <c r="C47" s="387" t="s">
        <v>60</v>
      </c>
      <c r="D47" s="388"/>
      <c r="E47" s="389"/>
      <c r="F47" s="84"/>
      <c r="G47" s="85"/>
      <c r="H47" s="85"/>
      <c r="I47" s="85" t="s">
        <v>65</v>
      </c>
      <c r="J47" s="86"/>
      <c r="K47" s="86"/>
      <c r="L47" s="68">
        <f t="shared" ref="L47:Z47" si="6">L25+L45</f>
        <v>6.5</v>
      </c>
      <c r="M47" s="68">
        <f t="shared" si="6"/>
        <v>12.5</v>
      </c>
      <c r="N47" s="68">
        <f t="shared" si="6"/>
        <v>19</v>
      </c>
      <c r="O47" s="68">
        <f t="shared" si="6"/>
        <v>19</v>
      </c>
      <c r="P47" s="68">
        <f t="shared" si="6"/>
        <v>21</v>
      </c>
      <c r="Q47" s="68">
        <f t="shared" si="6"/>
        <v>21</v>
      </c>
      <c r="R47" s="68">
        <f t="shared" si="6"/>
        <v>21</v>
      </c>
      <c r="S47" s="68">
        <f t="shared" si="6"/>
        <v>19.5</v>
      </c>
      <c r="T47" s="68">
        <f t="shared" si="6"/>
        <v>17</v>
      </c>
      <c r="U47" s="68">
        <f t="shared" si="6"/>
        <v>11</v>
      </c>
      <c r="V47" s="68">
        <f t="shared" si="6"/>
        <v>6.5</v>
      </c>
      <c r="W47" s="68">
        <f t="shared" si="6"/>
        <v>5</v>
      </c>
      <c r="X47" s="68">
        <f t="shared" si="6"/>
        <v>5</v>
      </c>
      <c r="Y47" s="68">
        <f t="shared" si="6"/>
        <v>4.5</v>
      </c>
      <c r="Z47" s="68">
        <f t="shared" si="6"/>
        <v>2</v>
      </c>
      <c r="AA47" s="68"/>
      <c r="AB47" s="68"/>
      <c r="AC47" s="68"/>
      <c r="AD47" s="68"/>
      <c r="AE47" s="68"/>
      <c r="AF47" s="68"/>
      <c r="AG47" s="68"/>
      <c r="AH47" s="68"/>
      <c r="AI47" s="69">
        <f>AI25+AI45</f>
        <v>190.5</v>
      </c>
      <c r="AJ47" s="26"/>
      <c r="AK47" s="19"/>
    </row>
    <row r="48" spans="1:37" ht="16.5" customHeight="1" thickBot="1">
      <c r="A48" s="19"/>
      <c r="B48" s="87"/>
      <c r="C48" s="88"/>
      <c r="D48" s="88"/>
      <c r="E48" s="89"/>
      <c r="F48" s="89"/>
      <c r="G48" s="89"/>
      <c r="H48" s="89"/>
      <c r="I48" s="88"/>
      <c r="J48" s="88"/>
      <c r="K48" s="90"/>
      <c r="L48" s="89"/>
      <c r="M48" s="89"/>
      <c r="N48" s="89"/>
      <c r="O48" s="89"/>
      <c r="P48" s="89"/>
      <c r="Q48" s="89"/>
      <c r="R48" s="89"/>
      <c r="S48" s="89"/>
      <c r="T48" s="89"/>
      <c r="U48" s="89"/>
      <c r="V48" s="89"/>
      <c r="W48" s="89"/>
      <c r="X48" s="89"/>
      <c r="Y48" s="89"/>
      <c r="Z48" s="89"/>
      <c r="AA48" s="89"/>
      <c r="AB48" s="89"/>
      <c r="AC48" s="89"/>
      <c r="AD48" s="89"/>
      <c r="AE48" s="89"/>
      <c r="AF48" s="89"/>
      <c r="AG48" s="89"/>
      <c r="AH48" s="89"/>
      <c r="AI48" s="89"/>
      <c r="AJ48" s="91"/>
      <c r="AK48" s="19"/>
    </row>
    <row r="49" spans="1:45" ht="16.5" customHeight="1">
      <c r="C49" s="106"/>
      <c r="AL49" s="135" t="s">
        <v>102</v>
      </c>
    </row>
    <row r="50" spans="1:45" ht="27.75" customHeight="1">
      <c r="A50" s="19"/>
      <c r="B50" s="19"/>
      <c r="C50" s="149" t="s">
        <v>103</v>
      </c>
      <c r="D50" s="147"/>
      <c r="E50" s="148"/>
      <c r="F50" s="146"/>
      <c r="G50" s="146"/>
      <c r="H50" s="146"/>
      <c r="I50" s="146"/>
      <c r="J50" s="146"/>
      <c r="K50" s="146"/>
      <c r="L50" s="146"/>
      <c r="M50" s="146"/>
      <c r="N50" s="146"/>
      <c r="O50" s="146"/>
      <c r="P50" s="146"/>
      <c r="Q50" s="146"/>
      <c r="R50" s="20"/>
      <c r="S50" s="92" t="s">
        <v>66</v>
      </c>
      <c r="X50" s="92" t="s">
        <v>67</v>
      </c>
      <c r="AJ50" s="19"/>
      <c r="AK50" s="19"/>
      <c r="AL50" s="92" t="s">
        <v>66</v>
      </c>
      <c r="AQ50" s="92" t="s">
        <v>67</v>
      </c>
    </row>
    <row r="51" spans="1:45" ht="16.5" customHeight="1">
      <c r="A51" s="19"/>
      <c r="B51" s="19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20"/>
      <c r="R51" s="20"/>
      <c r="S51" s="93" t="s">
        <v>68</v>
      </c>
      <c r="T51" s="94" t="s">
        <v>69</v>
      </c>
      <c r="U51" s="93" t="s">
        <v>70</v>
      </c>
      <c r="V51" s="93" t="s">
        <v>60</v>
      </c>
      <c r="W51" s="107" t="s">
        <v>80</v>
      </c>
      <c r="X51" s="400" t="s">
        <v>71</v>
      </c>
      <c r="Y51" s="381"/>
      <c r="Z51" s="95">
        <v>172</v>
      </c>
      <c r="AA51" s="108"/>
      <c r="AB51" s="108"/>
      <c r="AC51" s="108"/>
      <c r="AD51" s="108"/>
      <c r="AE51" s="108"/>
      <c r="AF51" s="108"/>
      <c r="AG51" s="108"/>
      <c r="AH51" s="108"/>
      <c r="AJ51" s="19"/>
      <c r="AK51" s="19"/>
      <c r="AL51" s="143" t="s">
        <v>68</v>
      </c>
      <c r="AM51" s="144" t="s">
        <v>69</v>
      </c>
      <c r="AN51" s="143" t="s">
        <v>70</v>
      </c>
      <c r="AO51" s="143" t="s">
        <v>60</v>
      </c>
      <c r="AP51" s="107" t="s">
        <v>80</v>
      </c>
      <c r="AQ51" s="426" t="s">
        <v>71</v>
      </c>
      <c r="AR51" s="427"/>
      <c r="AS51" s="95">
        <v>172</v>
      </c>
    </row>
    <row r="52" spans="1:45" ht="16.5" customHeight="1">
      <c r="F52" s="1"/>
      <c r="G52" s="1"/>
      <c r="H52" s="1"/>
      <c r="I52" s="1"/>
      <c r="J52" s="1"/>
      <c r="K52" s="1"/>
      <c r="L52" s="1" t="s">
        <v>90</v>
      </c>
      <c r="M52" s="1"/>
      <c r="N52" s="1"/>
      <c r="O52" s="1"/>
      <c r="P52" s="1"/>
      <c r="Q52" s="20"/>
      <c r="S52" s="375" t="s">
        <v>53</v>
      </c>
      <c r="T52" s="96" t="s">
        <v>51</v>
      </c>
      <c r="U52" s="95">
        <f>SUMIF($E$7:$E$21,"고급",$AI$7:$AI$21)</f>
        <v>69</v>
      </c>
      <c r="V52" s="378">
        <f>SUM(U52:U54)</f>
        <v>113</v>
      </c>
      <c r="W52" s="107">
        <f>'250117 (제출본-최초)'!$U$46-U52</f>
        <v>-14</v>
      </c>
      <c r="X52" s="399" t="s">
        <v>81</v>
      </c>
      <c r="Y52" s="381"/>
      <c r="Z52" s="95">
        <f>204.5-Z51</f>
        <v>32.5</v>
      </c>
      <c r="AA52" s="109"/>
      <c r="AB52" s="109"/>
      <c r="AC52" s="109"/>
      <c r="AD52" s="109"/>
      <c r="AE52" s="109"/>
      <c r="AF52" s="109"/>
      <c r="AG52" s="109"/>
      <c r="AH52" s="109"/>
      <c r="AL52" s="375" t="s">
        <v>53</v>
      </c>
      <c r="AM52" s="96" t="s">
        <v>51</v>
      </c>
      <c r="AN52" s="95">
        <v>69</v>
      </c>
      <c r="AO52" s="378">
        <f>SUM(AN52:AN54)</f>
        <v>113</v>
      </c>
      <c r="AP52" s="107">
        <f>'250117 (제출본-최초)'!$U$46-AN52</f>
        <v>-14</v>
      </c>
      <c r="AQ52" s="428" t="s">
        <v>81</v>
      </c>
      <c r="AR52" s="427"/>
      <c r="AS52" s="95">
        <f>204.5-AS51</f>
        <v>32.5</v>
      </c>
    </row>
    <row r="53" spans="1:45" ht="16.5" customHeight="1">
      <c r="F53" s="1"/>
      <c r="G53" s="1"/>
      <c r="H53" s="1"/>
      <c r="I53" s="120" t="s">
        <v>91</v>
      </c>
      <c r="J53" s="1"/>
      <c r="K53" s="1"/>
      <c r="L53" s="138">
        <v>250425</v>
      </c>
      <c r="M53" s="139" t="s">
        <v>87</v>
      </c>
      <c r="N53" s="140"/>
      <c r="O53" s="140"/>
      <c r="P53" s="140"/>
      <c r="Q53" s="141"/>
      <c r="S53" s="376"/>
      <c r="T53" s="96" t="s">
        <v>57</v>
      </c>
      <c r="U53" s="95">
        <f>SUMIF($E$7:$E$21,"중급",$AI$7:$AI$21)</f>
        <v>25</v>
      </c>
      <c r="V53" s="376"/>
      <c r="W53" s="107">
        <f>'250117 (제출본-최초)'!$U$47-U53</f>
        <v>0</v>
      </c>
      <c r="X53" s="399" t="s">
        <v>73</v>
      </c>
      <c r="Y53" s="381"/>
      <c r="Z53" s="95">
        <v>204.5</v>
      </c>
      <c r="AA53" s="109"/>
      <c r="AB53" s="109"/>
      <c r="AC53" s="109"/>
      <c r="AD53" s="109"/>
      <c r="AE53" s="109"/>
      <c r="AF53" s="109"/>
      <c r="AG53" s="109"/>
      <c r="AH53" s="109"/>
      <c r="AL53" s="376"/>
      <c r="AM53" s="96" t="s">
        <v>57</v>
      </c>
      <c r="AN53" s="95">
        <v>25</v>
      </c>
      <c r="AO53" s="376"/>
      <c r="AP53" s="107">
        <f>'250117 (제출본-최초)'!$U$47-AN53</f>
        <v>0</v>
      </c>
      <c r="AQ53" s="428" t="s">
        <v>73</v>
      </c>
      <c r="AR53" s="427"/>
      <c r="AS53" s="95">
        <v>204.5</v>
      </c>
    </row>
    <row r="54" spans="1:45" ht="16.5" customHeight="1">
      <c r="F54" s="1"/>
      <c r="G54" s="1"/>
      <c r="H54" s="1"/>
      <c r="I54" s="1"/>
      <c r="J54" s="1"/>
      <c r="K54" s="1"/>
      <c r="L54" s="119"/>
      <c r="M54" s="114" t="s">
        <v>88</v>
      </c>
      <c r="N54" s="1"/>
      <c r="O54" s="1"/>
      <c r="P54" s="1"/>
      <c r="S54" s="377"/>
      <c r="T54" s="96" t="s">
        <v>59</v>
      </c>
      <c r="U54" s="95">
        <f>SUMIF($E$7:$E$21,"초급",$AI$7:$AI$21)</f>
        <v>19</v>
      </c>
      <c r="V54" s="377"/>
      <c r="W54" s="107">
        <f>'250117 (제출본-최초)'!$U$48-U54</f>
        <v>0</v>
      </c>
      <c r="AA54" s="109"/>
      <c r="AB54" s="109"/>
      <c r="AC54" s="109"/>
      <c r="AD54" s="109"/>
      <c r="AE54" s="109"/>
      <c r="AF54" s="109"/>
      <c r="AG54" s="109"/>
      <c r="AH54" s="109"/>
      <c r="AL54" s="377"/>
      <c r="AM54" s="96" t="s">
        <v>59</v>
      </c>
      <c r="AN54" s="95">
        <v>19</v>
      </c>
      <c r="AO54" s="377"/>
      <c r="AP54" s="107">
        <f>'250117 (제출본-최초)'!$U$48-AN54</f>
        <v>0</v>
      </c>
    </row>
    <row r="55" spans="1:45" ht="16.5" customHeight="1">
      <c r="F55" s="1"/>
      <c r="G55" s="1"/>
      <c r="H55" s="1"/>
      <c r="I55" s="1"/>
      <c r="J55" s="1"/>
      <c r="K55" s="1"/>
      <c r="L55" s="137" t="s">
        <v>100</v>
      </c>
      <c r="M55" s="133">
        <v>1</v>
      </c>
      <c r="N55" s="133">
        <v>1</v>
      </c>
      <c r="O55" s="1"/>
      <c r="P55" s="1"/>
      <c r="S55" s="375" t="s">
        <v>62</v>
      </c>
      <c r="T55" s="96" t="s">
        <v>51</v>
      </c>
      <c r="U55" s="95">
        <f>SUMIF($E$25:$E$35,"고급",$AI$25:$AI$35)</f>
        <v>0</v>
      </c>
      <c r="V55" s="378">
        <f>SUM(U55:U57)</f>
        <v>77.5</v>
      </c>
      <c r="W55" s="107">
        <f>'250117 (제출본-최초)'!$U$49-U55</f>
        <v>0</v>
      </c>
      <c r="AL55" s="375" t="s">
        <v>62</v>
      </c>
      <c r="AM55" s="96" t="s">
        <v>51</v>
      </c>
      <c r="AN55" s="95">
        <v>0</v>
      </c>
      <c r="AO55" s="378">
        <f>SUM(AN55:AN57)</f>
        <v>73</v>
      </c>
      <c r="AP55" s="107">
        <f>'250117 (제출본-최초)'!$U$49-AN55</f>
        <v>0</v>
      </c>
    </row>
    <row r="56" spans="1:45" ht="16.5" customHeight="1">
      <c r="F56" s="1"/>
      <c r="G56" s="1"/>
      <c r="H56" s="1"/>
      <c r="I56" s="1"/>
      <c r="J56" s="1"/>
      <c r="K56" s="1"/>
      <c r="L56" s="137" t="s">
        <v>94</v>
      </c>
      <c r="M56" s="133">
        <v>1</v>
      </c>
      <c r="N56" s="134">
        <v>0.5</v>
      </c>
      <c r="O56" s="1"/>
      <c r="P56" s="1"/>
      <c r="S56" s="376"/>
      <c r="T56" s="96" t="s">
        <v>57</v>
      </c>
      <c r="U56" s="145">
        <f>SUMIF($E$25:$E$35,"중급",$AI$25:$AI$35)</f>
        <v>34.5</v>
      </c>
      <c r="V56" s="376"/>
      <c r="W56" s="115">
        <f>'250117 (제출본-최초)'!$U$50-U56</f>
        <v>2.5</v>
      </c>
      <c r="X56" s="116"/>
      <c r="AL56" s="376"/>
      <c r="AM56" s="96" t="s">
        <v>57</v>
      </c>
      <c r="AN56" s="95">
        <v>37</v>
      </c>
      <c r="AO56" s="376"/>
      <c r="AP56" s="136">
        <f>'250117 (제출본-최초)'!$U$50-AN56</f>
        <v>0</v>
      </c>
      <c r="AQ56" s="116"/>
    </row>
    <row r="57" spans="1:45" ht="16.5" customHeight="1">
      <c r="F57" s="1"/>
      <c r="G57" s="1"/>
      <c r="H57" s="1"/>
      <c r="I57" s="1"/>
      <c r="J57" s="1"/>
      <c r="K57" s="1"/>
      <c r="L57" s="137"/>
      <c r="M57" s="118" t="s">
        <v>99</v>
      </c>
      <c r="N57" s="1"/>
      <c r="O57" s="1"/>
      <c r="P57" s="1"/>
      <c r="S57" s="377"/>
      <c r="T57" s="96" t="s">
        <v>59</v>
      </c>
      <c r="U57" s="145">
        <f>SUMIF($E$25:$E$35,"초급",$AI$25:$AI$35)</f>
        <v>43</v>
      </c>
      <c r="V57" s="377"/>
      <c r="W57" s="115">
        <f>'250117 (제출본-최초)'!$U$51-U57</f>
        <v>-7</v>
      </c>
      <c r="X57" s="117" t="s">
        <v>89</v>
      </c>
      <c r="AL57" s="377"/>
      <c r="AM57" s="96" t="s">
        <v>59</v>
      </c>
      <c r="AN57" s="95">
        <v>36</v>
      </c>
      <c r="AO57" s="377"/>
      <c r="AP57" s="136">
        <f>'250117 (제출본-최초)'!$U$51-AN57</f>
        <v>0</v>
      </c>
      <c r="AQ57" s="117"/>
    </row>
    <row r="58" spans="1:45" ht="16.5" customHeight="1">
      <c r="F58" s="1"/>
      <c r="G58" s="1"/>
      <c r="H58" s="1"/>
      <c r="I58" s="1"/>
      <c r="J58" s="1"/>
      <c r="K58" s="1"/>
      <c r="L58" s="137" t="s">
        <v>84</v>
      </c>
      <c r="O58" s="81">
        <v>1</v>
      </c>
      <c r="P58" s="81">
        <v>1</v>
      </c>
      <c r="S58" s="379" t="s">
        <v>74</v>
      </c>
      <c r="T58" s="380"/>
      <c r="U58" s="381"/>
      <c r="V58" s="97">
        <f t="shared" ref="V58:W58" si="7">SUM(V52:V57)</f>
        <v>190.5</v>
      </c>
      <c r="W58" s="107">
        <f t="shared" si="7"/>
        <v>-18.5</v>
      </c>
      <c r="AL58" s="379" t="s">
        <v>74</v>
      </c>
      <c r="AM58" s="380"/>
      <c r="AN58" s="381"/>
      <c r="AO58" s="97">
        <f t="shared" ref="AO58:AP58" si="8">SUM(AO52:AO57)</f>
        <v>186</v>
      </c>
      <c r="AP58" s="107">
        <f t="shared" si="8"/>
        <v>-14</v>
      </c>
    </row>
    <row r="59" spans="1:45" ht="16.5" customHeight="1">
      <c r="F59" s="1"/>
      <c r="G59" s="1"/>
      <c r="H59" s="1"/>
      <c r="I59" s="1"/>
      <c r="J59" s="1"/>
      <c r="K59" s="1"/>
      <c r="L59" s="137" t="s">
        <v>94</v>
      </c>
      <c r="N59" s="113">
        <v>0.5</v>
      </c>
      <c r="O59" s="81">
        <v>1</v>
      </c>
      <c r="P59" s="81">
        <v>1</v>
      </c>
      <c r="S59" s="379" t="s">
        <v>82</v>
      </c>
      <c r="T59" s="380"/>
      <c r="U59" s="381"/>
      <c r="V59" s="97">
        <f>Z53-V58</f>
        <v>14</v>
      </c>
      <c r="AL59" s="379" t="s">
        <v>82</v>
      </c>
      <c r="AM59" s="380"/>
      <c r="AN59" s="381"/>
      <c r="AO59" s="97">
        <f>AS53-AO58</f>
        <v>18.5</v>
      </c>
    </row>
    <row r="60" spans="1:45" ht="16.5" customHeight="1"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</row>
    <row r="61" spans="1:45" ht="16.5" customHeight="1"/>
    <row r="62" spans="1:45" ht="16.5" customHeight="1"/>
    <row r="63" spans="1:45" ht="16.5" customHeight="1"/>
    <row r="64" spans="1:45" ht="16.5" customHeight="1"/>
    <row r="65" ht="16.5" customHeight="1"/>
    <row r="66" ht="16.5" customHeight="1"/>
    <row r="67" ht="16.5" customHeight="1"/>
    <row r="68" ht="16.5" customHeight="1"/>
    <row r="69" ht="16.5" customHeight="1"/>
    <row r="70" ht="16.5" customHeight="1"/>
    <row r="71" ht="16.5" customHeight="1"/>
    <row r="72" ht="16.5" customHeight="1"/>
    <row r="73" ht="16.5" customHeight="1"/>
    <row r="74" ht="16.5" customHeight="1"/>
    <row r="75" ht="16.5" customHeight="1"/>
    <row r="76" ht="16.5" customHeight="1"/>
    <row r="77" ht="16.5" customHeight="1"/>
    <row r="78" ht="16.5" customHeight="1"/>
    <row r="79" ht="16.5" customHeight="1"/>
    <row r="80" ht="16.5" customHeight="1"/>
    <row r="81" ht="16.5" customHeight="1"/>
    <row r="82" ht="16.5" customHeight="1"/>
    <row r="83" ht="16.5" customHeight="1"/>
    <row r="84" ht="16.5" customHeight="1"/>
    <row r="85" ht="16.5" customHeight="1"/>
    <row r="86" ht="16.5" customHeight="1"/>
    <row r="87" ht="16.5" customHeight="1"/>
    <row r="88" ht="16.5" customHeight="1"/>
    <row r="89" ht="16.5" customHeight="1"/>
    <row r="90" ht="16.5" customHeight="1"/>
    <row r="91" ht="16.5" customHeight="1"/>
    <row r="92" ht="16.5" customHeight="1"/>
    <row r="93" ht="16.5" customHeight="1"/>
    <row r="94" ht="16.5" customHeight="1"/>
    <row r="95" ht="16.5" customHeight="1"/>
    <row r="96" ht="16.5" customHeight="1"/>
    <row r="97" ht="16.5" customHeight="1"/>
    <row r="98" ht="16.5" customHeight="1"/>
    <row r="99" ht="16.5" customHeight="1"/>
    <row r="100" ht="16.5" customHeight="1"/>
    <row r="101" ht="16.5" customHeight="1"/>
    <row r="102" ht="16.5" customHeight="1"/>
    <row r="103" ht="16.5" customHeight="1"/>
    <row r="104" ht="16.5" customHeight="1"/>
    <row r="105" ht="16.5" customHeight="1"/>
    <row r="106" ht="16.5" customHeight="1"/>
    <row r="107" ht="16.5" customHeight="1"/>
    <row r="108" ht="16.5" customHeight="1"/>
    <row r="109" ht="16.5" customHeight="1"/>
    <row r="110" ht="16.5" customHeight="1"/>
    <row r="111" ht="16.5" customHeight="1"/>
    <row r="112" ht="16.5" customHeight="1"/>
    <row r="113" ht="16.5" customHeight="1"/>
    <row r="114" ht="16.5" customHeight="1"/>
    <row r="115" ht="16.5" customHeight="1"/>
    <row r="116" ht="16.5" customHeight="1"/>
    <row r="117" ht="16.5" customHeight="1"/>
    <row r="118" ht="16.5" customHeight="1"/>
    <row r="119" ht="16.5" customHeight="1"/>
    <row r="120" ht="16.5" customHeight="1"/>
    <row r="121" ht="16.5" customHeight="1"/>
    <row r="122" ht="16.5" customHeight="1"/>
    <row r="123" ht="16.5" customHeight="1"/>
    <row r="124" ht="16.5" customHeight="1"/>
    <row r="125" ht="16.5" customHeight="1"/>
    <row r="126" ht="16.5" customHeight="1"/>
    <row r="127" ht="16.5" customHeight="1"/>
    <row r="128" ht="16.5" customHeight="1"/>
    <row r="129" ht="16.5" customHeight="1"/>
    <row r="130" ht="16.5" customHeight="1"/>
    <row r="131" ht="16.5" customHeight="1"/>
    <row r="132" ht="16.5" customHeight="1"/>
    <row r="133" ht="16.5" customHeight="1"/>
    <row r="134" ht="16.5" customHeight="1"/>
    <row r="135" ht="16.5" customHeight="1"/>
    <row r="136" ht="16.5" customHeight="1"/>
    <row r="137" ht="16.5" customHeight="1"/>
    <row r="138" ht="16.5" customHeight="1"/>
    <row r="139" ht="16.5" customHeight="1"/>
    <row r="140" ht="16.5" customHeight="1"/>
    <row r="141" ht="16.5" customHeight="1"/>
    <row r="142" ht="16.5" customHeight="1"/>
    <row r="143" ht="16.5" customHeight="1"/>
    <row r="144" ht="16.5" customHeight="1"/>
    <row r="145" ht="16.5" customHeight="1"/>
    <row r="146" ht="16.5" customHeight="1"/>
    <row r="147" ht="16.5" customHeight="1"/>
    <row r="148" ht="16.5" customHeight="1"/>
    <row r="149" ht="16.5" customHeight="1"/>
    <row r="150" ht="16.5" customHeight="1"/>
    <row r="151" ht="16.5" customHeight="1"/>
    <row r="152" ht="16.5" customHeight="1"/>
    <row r="153" ht="16.5" customHeight="1"/>
    <row r="154" ht="16.5" customHeight="1"/>
    <row r="155" ht="16.5" customHeight="1"/>
    <row r="156" ht="16.5" customHeight="1"/>
    <row r="157" ht="16.5" customHeight="1"/>
    <row r="158" ht="16.5" customHeight="1"/>
    <row r="159" ht="16.5" customHeight="1"/>
    <row r="160" ht="16.5" customHeight="1"/>
    <row r="161" ht="16.5" customHeight="1"/>
    <row r="162" ht="16.5" customHeight="1"/>
    <row r="163" ht="16.5" customHeight="1"/>
    <row r="164" ht="16.5" customHeight="1"/>
    <row r="165" ht="16.5" customHeight="1"/>
    <row r="166" ht="16.5" customHeight="1"/>
    <row r="167" ht="16.5" customHeight="1"/>
    <row r="168" ht="16.5" customHeight="1"/>
    <row r="169" ht="16.5" customHeight="1"/>
    <row r="170" ht="16.5" customHeight="1"/>
    <row r="171" ht="16.5" customHeight="1"/>
    <row r="172" ht="16.5" customHeight="1"/>
    <row r="173" ht="16.5" customHeight="1"/>
    <row r="174" ht="16.5" customHeight="1"/>
    <row r="175" ht="16.5" customHeight="1"/>
    <row r="176" ht="16.5" customHeight="1"/>
    <row r="177" ht="16.5" customHeight="1"/>
    <row r="178" ht="16.5" customHeight="1"/>
    <row r="179" ht="16.5" customHeight="1"/>
    <row r="180" ht="16.5" customHeight="1"/>
    <row r="181" ht="16.5" customHeight="1"/>
    <row r="182" ht="16.5" customHeight="1"/>
    <row r="183" ht="16.5" customHeight="1"/>
    <row r="184" ht="16.5" customHeight="1"/>
    <row r="185" ht="16.5" customHeight="1"/>
    <row r="186" ht="16.5" customHeight="1"/>
    <row r="187" ht="16.5" customHeight="1"/>
    <row r="188" ht="16.5" customHeight="1"/>
    <row r="189" ht="16.5" customHeight="1"/>
    <row r="190" ht="16.5" customHeight="1"/>
    <row r="191" ht="16.5" customHeight="1"/>
    <row r="192" ht="16.5" customHeight="1"/>
    <row r="193" ht="16.5" customHeight="1"/>
    <row r="194" ht="16.5" customHeight="1"/>
    <row r="195" ht="16.5" customHeight="1"/>
    <row r="196" ht="16.5" customHeight="1"/>
    <row r="197" ht="16.5" customHeight="1"/>
    <row r="198" ht="16.5" customHeight="1"/>
    <row r="199" ht="16.5" customHeight="1"/>
    <row r="200" ht="16.5" customHeight="1"/>
    <row r="201" ht="16.5" customHeight="1"/>
    <row r="202" ht="16.5" customHeight="1"/>
    <row r="203" ht="16.5" customHeight="1"/>
    <row r="204" ht="16.5" customHeight="1"/>
    <row r="205" ht="16.5" customHeight="1"/>
    <row r="206" ht="16.5" customHeight="1"/>
    <row r="207" ht="16.5" customHeight="1"/>
    <row r="208" ht="16.5" customHeight="1"/>
    <row r="209" ht="16.5" customHeight="1"/>
    <row r="210" ht="16.5" customHeight="1"/>
    <row r="211" ht="16.5" customHeight="1"/>
    <row r="212" ht="16.5" customHeight="1"/>
    <row r="213" ht="16.5" customHeight="1"/>
    <row r="214" ht="16.5" customHeight="1"/>
    <row r="215" ht="16.5" customHeight="1"/>
    <row r="216" ht="16.5" customHeight="1"/>
    <row r="217" ht="16.5" customHeight="1"/>
    <row r="218" ht="16.5" customHeight="1"/>
    <row r="219" ht="16.5" customHeight="1"/>
    <row r="220" ht="16.5" customHeight="1"/>
    <row r="221" ht="16.5" customHeight="1"/>
    <row r="222" ht="16.5" customHeight="1"/>
    <row r="223" ht="16.5" customHeight="1"/>
    <row r="224" ht="16.5" customHeight="1"/>
    <row r="225" ht="16.5" customHeight="1"/>
    <row r="226" ht="16.5" customHeight="1"/>
    <row r="227" ht="16.5" customHeight="1"/>
    <row r="228" ht="16.5" customHeight="1"/>
    <row r="229" ht="16.5" customHeight="1"/>
    <row r="230" ht="16.5" customHeight="1"/>
    <row r="231" ht="16.5" customHeight="1"/>
    <row r="232" ht="16.5" customHeight="1"/>
    <row r="233" ht="16.5" customHeight="1"/>
    <row r="234" ht="16.5" customHeight="1"/>
    <row r="235" ht="16.5" customHeight="1"/>
    <row r="236" ht="16.5" customHeight="1"/>
    <row r="237" ht="16.5" customHeight="1"/>
    <row r="238" ht="16.5" customHeight="1"/>
    <row r="239" ht="16.5" customHeight="1"/>
    <row r="240" ht="16.5" customHeight="1"/>
    <row r="241" ht="16.5" customHeight="1"/>
    <row r="242" ht="16.5" customHeight="1"/>
    <row r="243" ht="16.5" customHeight="1"/>
    <row r="244" ht="16.5" customHeight="1"/>
    <row r="245" ht="16.5" customHeight="1"/>
    <row r="246" ht="16.5" customHeight="1"/>
    <row r="247" ht="16.5" customHeight="1"/>
    <row r="248" ht="16.5" customHeight="1"/>
    <row r="249" ht="16.5" customHeight="1"/>
    <row r="250" ht="16.5" customHeight="1"/>
    <row r="251" ht="16.5" customHeight="1"/>
    <row r="252" ht="16.5" customHeight="1"/>
    <row r="253" ht="16.5" customHeight="1"/>
    <row r="254" ht="16.5" customHeight="1"/>
    <row r="255" ht="16.5" customHeight="1"/>
    <row r="256" ht="16.5" customHeight="1"/>
    <row r="257" ht="16.5" customHeight="1"/>
    <row r="258" ht="16.5" customHeight="1"/>
    <row r="259" ht="16.5" customHeight="1"/>
    <row r="260" ht="16.5" customHeight="1"/>
    <row r="261" ht="16.5" customHeight="1"/>
    <row r="262" ht="16.5" customHeight="1"/>
    <row r="263" ht="16.5" customHeight="1"/>
    <row r="264" ht="16.5" customHeight="1"/>
    <row r="265" ht="16.5" customHeight="1"/>
    <row r="266" ht="16.5" customHeight="1"/>
    <row r="267" ht="16.5" customHeight="1"/>
    <row r="268" ht="16.5" customHeight="1"/>
    <row r="269" ht="16.5" customHeight="1"/>
    <row r="270" ht="16.5" customHeight="1"/>
    <row r="271" ht="16.5" customHeight="1"/>
    <row r="272" ht="16.5" customHeight="1"/>
    <row r="273" ht="16.5" customHeight="1"/>
    <row r="274" ht="16.5" customHeight="1"/>
    <row r="275" ht="16.5" customHeight="1"/>
    <row r="276" ht="16.5" customHeight="1"/>
    <row r="277" ht="16.5" customHeight="1"/>
    <row r="278" ht="16.5" customHeight="1"/>
    <row r="279" ht="16.5" customHeight="1"/>
    <row r="280" ht="16.5" customHeight="1"/>
    <row r="281" ht="16.5" customHeight="1"/>
    <row r="282" ht="16.5" customHeight="1"/>
    <row r="283" ht="16.5" customHeight="1"/>
    <row r="284" ht="16.5" customHeight="1"/>
    <row r="285" ht="16.5" customHeight="1"/>
    <row r="286" ht="16.5" customHeight="1"/>
    <row r="287" ht="16.5" customHeight="1"/>
    <row r="288" ht="16.5" customHeight="1"/>
    <row r="289" ht="16.5" customHeight="1"/>
    <row r="290" ht="16.5" customHeight="1"/>
    <row r="291" ht="16.5" customHeight="1"/>
    <row r="292" ht="16.5" customHeight="1"/>
    <row r="293" ht="16.5" customHeight="1"/>
    <row r="294" ht="16.5" customHeight="1"/>
    <row r="295" ht="16.5" customHeight="1"/>
    <row r="296" ht="16.5" customHeight="1"/>
    <row r="297" ht="16.5" customHeight="1"/>
    <row r="298" ht="16.5" customHeight="1"/>
    <row r="299" ht="16.5" customHeight="1"/>
    <row r="300" ht="16.5" customHeight="1"/>
    <row r="301" ht="16.5" customHeight="1"/>
    <row r="302" ht="16.5" customHeight="1"/>
    <row r="303" ht="16.5" customHeight="1"/>
    <row r="304" ht="16.5" customHeight="1"/>
    <row r="305" ht="16.5" customHeight="1"/>
    <row r="306" ht="16.5" customHeight="1"/>
    <row r="307" ht="16.5" customHeight="1"/>
    <row r="308" ht="16.5" customHeight="1"/>
    <row r="309" ht="16.5" customHeight="1"/>
    <row r="310" ht="16.5" customHeight="1"/>
    <row r="311" ht="16.5" customHeight="1"/>
    <row r="312" ht="16.5" customHeight="1"/>
    <row r="313" ht="16.5" customHeight="1"/>
    <row r="314" ht="16.5" customHeight="1"/>
    <row r="315" ht="16.5" customHeight="1"/>
    <row r="316" ht="16.5" customHeight="1"/>
    <row r="317" ht="16.5" customHeight="1"/>
    <row r="318" ht="16.5" customHeight="1"/>
    <row r="319" ht="16.5" customHeight="1"/>
    <row r="320" ht="16.5" customHeight="1"/>
    <row r="321" ht="16.5" customHeight="1"/>
    <row r="322" ht="16.5" customHeight="1"/>
    <row r="323" ht="16.5" customHeight="1"/>
    <row r="324" ht="16.5" customHeight="1"/>
    <row r="325" ht="16.5" customHeight="1"/>
    <row r="326" ht="16.5" customHeight="1"/>
    <row r="327" ht="16.5" customHeight="1"/>
    <row r="328" ht="16.5" customHeight="1"/>
    <row r="329" ht="16.5" customHeight="1"/>
    <row r="330" ht="16.5" customHeight="1"/>
    <row r="331" ht="16.5" customHeight="1"/>
    <row r="332" ht="16.5" customHeight="1"/>
    <row r="333" ht="16.5" customHeight="1"/>
    <row r="334" ht="16.5" customHeight="1"/>
    <row r="335" ht="16.5" customHeight="1"/>
    <row r="336" ht="16.5" customHeight="1"/>
    <row r="337" ht="16.5" customHeight="1"/>
    <row r="338" ht="16.5" customHeight="1"/>
    <row r="339" ht="16.5" customHeight="1"/>
    <row r="340" ht="16.5" customHeight="1"/>
    <row r="341" ht="16.5" customHeight="1"/>
    <row r="342" ht="16.5" customHeight="1"/>
    <row r="343" ht="16.5" customHeight="1"/>
    <row r="344" ht="16.5" customHeight="1"/>
    <row r="345" ht="16.5" customHeight="1"/>
    <row r="346" ht="16.5" customHeight="1"/>
    <row r="347" ht="16.5" customHeight="1"/>
    <row r="348" ht="16.5" customHeight="1"/>
    <row r="349" ht="16.5" customHeight="1"/>
    <row r="350" ht="16.5" customHeight="1"/>
    <row r="351" ht="16.5" customHeight="1"/>
    <row r="352" ht="16.5" customHeight="1"/>
    <row r="353" ht="16.5" customHeight="1"/>
    <row r="354" ht="16.5" customHeight="1"/>
    <row r="355" ht="16.5" customHeight="1"/>
    <row r="356" ht="16.5" customHeight="1"/>
    <row r="357" ht="16.5" customHeight="1"/>
    <row r="358" ht="16.5" customHeight="1"/>
    <row r="359" ht="16.5" customHeight="1"/>
    <row r="360" ht="16.5" customHeight="1"/>
    <row r="361" ht="16.5" customHeight="1"/>
    <row r="362" ht="16.5" customHeight="1"/>
    <row r="363" ht="16.5" customHeight="1"/>
    <row r="364" ht="16.5" customHeight="1"/>
    <row r="365" ht="16.5" customHeight="1"/>
    <row r="366" ht="16.5" customHeight="1"/>
    <row r="367" ht="16.5" customHeight="1"/>
    <row r="368" ht="16.5" customHeight="1"/>
    <row r="369" ht="16.5" customHeight="1"/>
    <row r="370" ht="16.5" customHeight="1"/>
    <row r="371" ht="16.5" customHeight="1"/>
    <row r="372" ht="16.5" customHeight="1"/>
    <row r="373" ht="16.5" customHeight="1"/>
    <row r="374" ht="16.5" customHeight="1"/>
    <row r="375" ht="16.5" customHeight="1"/>
    <row r="376" ht="16.5" customHeight="1"/>
    <row r="377" ht="16.5" customHeight="1"/>
    <row r="378" ht="16.5" customHeight="1"/>
    <row r="379" ht="16.5" customHeight="1"/>
    <row r="380" ht="16.5" customHeight="1"/>
    <row r="381" ht="16.5" customHeight="1"/>
    <row r="382" ht="16.5" customHeight="1"/>
    <row r="383" ht="16.5" customHeight="1"/>
    <row r="384" ht="16.5" customHeight="1"/>
    <row r="385" ht="16.5" customHeight="1"/>
    <row r="386" ht="16.5" customHeight="1"/>
    <row r="387" ht="16.5" customHeight="1"/>
    <row r="388" ht="16.5" customHeight="1"/>
    <row r="389" ht="16.5" customHeight="1"/>
    <row r="390" ht="16.5" customHeight="1"/>
    <row r="391" ht="16.5" customHeight="1"/>
    <row r="392" ht="16.5" customHeight="1"/>
    <row r="393" ht="16.5" customHeight="1"/>
    <row r="394" ht="16.5" customHeight="1"/>
    <row r="395" ht="16.5" customHeight="1"/>
    <row r="396" ht="16.5" customHeight="1"/>
    <row r="397" ht="16.5" customHeight="1"/>
    <row r="398" ht="16.5" customHeight="1"/>
    <row r="399" ht="16.5" customHeight="1"/>
    <row r="400" ht="16.5" customHeight="1"/>
    <row r="401" ht="16.5" customHeight="1"/>
    <row r="402" ht="16.5" customHeight="1"/>
    <row r="403" ht="16.5" customHeight="1"/>
    <row r="404" ht="16.5" customHeight="1"/>
    <row r="405" ht="16.5" customHeight="1"/>
    <row r="406" ht="16.5" customHeight="1"/>
    <row r="407" ht="16.5" customHeight="1"/>
    <row r="408" ht="16.5" customHeight="1"/>
    <row r="409" ht="16.5" customHeight="1"/>
    <row r="410" ht="16.5" customHeight="1"/>
    <row r="411" ht="16.5" customHeight="1"/>
    <row r="412" ht="16.5" customHeight="1"/>
    <row r="413" ht="16.5" customHeight="1"/>
    <row r="414" ht="16.5" customHeight="1"/>
    <row r="415" ht="16.5" customHeight="1"/>
    <row r="416" ht="16.5" customHeight="1"/>
    <row r="417" ht="16.5" customHeight="1"/>
    <row r="418" ht="16.5" customHeight="1"/>
    <row r="419" ht="16.5" customHeight="1"/>
    <row r="420" ht="16.5" customHeight="1"/>
    <row r="421" ht="16.5" customHeight="1"/>
    <row r="422" ht="16.5" customHeight="1"/>
    <row r="423" ht="16.5" customHeight="1"/>
    <row r="424" ht="16.5" customHeight="1"/>
    <row r="425" ht="16.5" customHeight="1"/>
    <row r="426" ht="16.5" customHeight="1"/>
    <row r="427" ht="16.5" customHeight="1"/>
    <row r="428" ht="16.5" customHeight="1"/>
    <row r="429" ht="16.5" customHeight="1"/>
    <row r="430" ht="16.5" customHeight="1"/>
    <row r="431" ht="16.5" customHeight="1"/>
    <row r="432" ht="16.5" customHeight="1"/>
    <row r="433" ht="16.5" customHeight="1"/>
    <row r="434" ht="16.5" customHeight="1"/>
    <row r="435" ht="16.5" customHeight="1"/>
    <row r="436" ht="16.5" customHeight="1"/>
    <row r="437" ht="16.5" customHeight="1"/>
    <row r="438" ht="16.5" customHeight="1"/>
    <row r="439" ht="16.5" customHeight="1"/>
    <row r="440" ht="16.5" customHeight="1"/>
    <row r="441" ht="16.5" customHeight="1"/>
    <row r="442" ht="16.5" customHeight="1"/>
    <row r="443" ht="16.5" customHeight="1"/>
    <row r="444" ht="16.5" customHeight="1"/>
    <row r="445" ht="16.5" customHeight="1"/>
    <row r="446" ht="16.5" customHeight="1"/>
    <row r="447" ht="16.5" customHeight="1"/>
    <row r="448" ht="16.5" customHeight="1"/>
    <row r="449" ht="16.5" customHeight="1"/>
    <row r="450" ht="16.5" customHeight="1"/>
    <row r="451" ht="16.5" customHeight="1"/>
    <row r="452" ht="16.5" customHeight="1"/>
    <row r="453" ht="16.5" customHeight="1"/>
    <row r="454" ht="16.5" customHeight="1"/>
    <row r="455" ht="16.5" customHeight="1"/>
    <row r="456" ht="16.5" customHeight="1"/>
    <row r="457" ht="16.5" customHeight="1"/>
    <row r="458" ht="16.5" customHeight="1"/>
    <row r="459" ht="16.5" customHeight="1"/>
    <row r="460" ht="16.5" customHeight="1"/>
    <row r="461" ht="16.5" customHeight="1"/>
    <row r="462" ht="16.5" customHeight="1"/>
    <row r="463" ht="16.5" customHeight="1"/>
    <row r="464" ht="16.5" customHeight="1"/>
    <row r="465" ht="16.5" customHeight="1"/>
    <row r="466" ht="16.5" customHeight="1"/>
    <row r="467" ht="16.5" customHeight="1"/>
    <row r="468" ht="16.5" customHeight="1"/>
    <row r="469" ht="16.5" customHeight="1"/>
    <row r="470" ht="16.5" customHeight="1"/>
    <row r="471" ht="16.5" customHeight="1"/>
    <row r="472" ht="16.5" customHeight="1"/>
    <row r="473" ht="16.5" customHeight="1"/>
    <row r="474" ht="16.5" customHeight="1"/>
    <row r="475" ht="16.5" customHeight="1"/>
    <row r="476" ht="16.5" customHeight="1"/>
    <row r="477" ht="16.5" customHeight="1"/>
    <row r="478" ht="16.5" customHeight="1"/>
    <row r="479" ht="16.5" customHeight="1"/>
    <row r="480" ht="16.5" customHeight="1"/>
    <row r="481" ht="16.5" customHeight="1"/>
    <row r="482" ht="16.5" customHeight="1"/>
    <row r="483" ht="16.5" customHeight="1"/>
    <row r="484" ht="16.5" customHeight="1"/>
    <row r="485" ht="16.5" customHeight="1"/>
    <row r="486" ht="16.5" customHeight="1"/>
    <row r="487" ht="16.5" customHeight="1"/>
    <row r="488" ht="16.5" customHeight="1"/>
    <row r="489" ht="16.5" customHeight="1"/>
    <row r="490" ht="16.5" customHeight="1"/>
    <row r="491" ht="16.5" customHeight="1"/>
    <row r="492" ht="16.5" customHeight="1"/>
    <row r="493" ht="16.5" customHeight="1"/>
    <row r="494" ht="16.5" customHeight="1"/>
    <row r="495" ht="16.5" customHeight="1"/>
    <row r="496" ht="16.5" customHeight="1"/>
    <row r="497" ht="16.5" customHeight="1"/>
    <row r="498" ht="16.5" customHeight="1"/>
    <row r="499" ht="16.5" customHeight="1"/>
    <row r="500" ht="16.5" customHeight="1"/>
    <row r="501" ht="16.5" customHeight="1"/>
    <row r="502" ht="16.5" customHeight="1"/>
    <row r="503" ht="16.5" customHeight="1"/>
    <row r="504" ht="16.5" customHeight="1"/>
    <row r="505" ht="16.5" customHeight="1"/>
    <row r="506" ht="16.5" customHeight="1"/>
    <row r="507" ht="16.5" customHeight="1"/>
    <row r="508" ht="16.5" customHeight="1"/>
    <row r="509" ht="16.5" customHeight="1"/>
    <row r="510" ht="16.5" customHeight="1"/>
    <row r="511" ht="16.5" customHeight="1"/>
    <row r="512" ht="16.5" customHeight="1"/>
    <row r="513" ht="16.5" customHeight="1"/>
    <row r="514" ht="16.5" customHeight="1"/>
    <row r="515" ht="16.5" customHeight="1"/>
    <row r="516" ht="16.5" customHeight="1"/>
    <row r="517" ht="16.5" customHeight="1"/>
    <row r="518" ht="16.5" customHeight="1"/>
    <row r="519" ht="16.5" customHeight="1"/>
    <row r="520" ht="16.5" customHeight="1"/>
    <row r="521" ht="16.5" customHeight="1"/>
    <row r="522" ht="16.5" customHeight="1"/>
    <row r="523" ht="16.5" customHeight="1"/>
    <row r="524" ht="16.5" customHeight="1"/>
    <row r="525" ht="16.5" customHeight="1"/>
    <row r="526" ht="16.5" customHeight="1"/>
    <row r="527" ht="16.5" customHeight="1"/>
    <row r="528" ht="16.5" customHeight="1"/>
    <row r="529" ht="16.5" customHeight="1"/>
    <row r="530" ht="16.5" customHeight="1"/>
    <row r="531" ht="16.5" customHeight="1"/>
    <row r="532" ht="16.5" customHeight="1"/>
    <row r="533" ht="16.5" customHeight="1"/>
    <row r="534" ht="16.5" customHeight="1"/>
    <row r="535" ht="16.5" customHeight="1"/>
    <row r="536" ht="16.5" customHeight="1"/>
    <row r="537" ht="16.5" customHeight="1"/>
    <row r="538" ht="16.5" customHeight="1"/>
    <row r="539" ht="16.5" customHeight="1"/>
    <row r="540" ht="16.5" customHeight="1"/>
    <row r="541" ht="16.5" customHeight="1"/>
    <row r="542" ht="16.5" customHeight="1"/>
    <row r="543" ht="16.5" customHeight="1"/>
    <row r="544" ht="16.5" customHeight="1"/>
    <row r="545" ht="16.5" customHeight="1"/>
    <row r="546" ht="16.5" customHeight="1"/>
    <row r="547" ht="16.5" customHeight="1"/>
    <row r="548" ht="16.5" customHeight="1"/>
    <row r="549" ht="16.5" customHeight="1"/>
    <row r="550" ht="16.5" customHeight="1"/>
    <row r="551" ht="16.5" customHeight="1"/>
    <row r="552" ht="16.5" customHeight="1"/>
    <row r="553" ht="16.5" customHeight="1"/>
    <row r="554" ht="16.5" customHeight="1"/>
    <row r="555" ht="16.5" customHeight="1"/>
    <row r="556" ht="16.5" customHeight="1"/>
    <row r="557" ht="16.5" customHeight="1"/>
    <row r="558" ht="16.5" customHeight="1"/>
    <row r="559" ht="16.5" customHeight="1"/>
    <row r="560" ht="16.5" customHeight="1"/>
    <row r="561" ht="16.5" customHeight="1"/>
    <row r="562" ht="16.5" customHeight="1"/>
    <row r="563" ht="16.5" customHeight="1"/>
    <row r="564" ht="16.5" customHeight="1"/>
    <row r="565" ht="16.5" customHeight="1"/>
    <row r="566" ht="16.5" customHeight="1"/>
    <row r="567" ht="16.5" customHeight="1"/>
    <row r="568" ht="16.5" customHeight="1"/>
    <row r="569" ht="16.5" customHeight="1"/>
    <row r="570" ht="16.5" customHeight="1"/>
    <row r="571" ht="16.5" customHeight="1"/>
    <row r="572" ht="16.5" customHeight="1"/>
    <row r="573" ht="16.5" customHeight="1"/>
    <row r="574" ht="16.5" customHeight="1"/>
    <row r="575" ht="16.5" customHeight="1"/>
    <row r="576" ht="16.5" customHeight="1"/>
    <row r="577" ht="16.5" customHeight="1"/>
    <row r="578" ht="16.5" customHeight="1"/>
    <row r="579" ht="16.5" customHeight="1"/>
    <row r="580" ht="16.5" customHeight="1"/>
    <row r="581" ht="16.5" customHeight="1"/>
    <row r="582" ht="16.5" customHeight="1"/>
    <row r="583" ht="16.5" customHeight="1"/>
    <row r="584" ht="16.5" customHeight="1"/>
    <row r="585" ht="16.5" customHeight="1"/>
    <row r="586" ht="16.5" customHeight="1"/>
    <row r="587" ht="16.5" customHeight="1"/>
    <row r="588" ht="16.5" customHeight="1"/>
    <row r="589" ht="16.5" customHeight="1"/>
    <row r="590" ht="16.5" customHeight="1"/>
    <row r="591" ht="16.5" customHeight="1"/>
    <row r="592" ht="16.5" customHeight="1"/>
    <row r="593" ht="16.5" customHeight="1"/>
    <row r="594" ht="16.5" customHeight="1"/>
    <row r="595" ht="16.5" customHeight="1"/>
    <row r="596" ht="16.5" customHeight="1"/>
    <row r="597" ht="16.5" customHeight="1"/>
    <row r="598" ht="16.5" customHeight="1"/>
    <row r="599" ht="16.5" customHeight="1"/>
    <row r="600" ht="16.5" customHeight="1"/>
    <row r="601" ht="16.5" customHeight="1"/>
    <row r="602" ht="16.5" customHeight="1"/>
    <row r="603" ht="16.5" customHeight="1"/>
    <row r="604" ht="16.5" customHeight="1"/>
    <row r="605" ht="16.5" customHeight="1"/>
    <row r="606" ht="16.5" customHeight="1"/>
    <row r="607" ht="16.5" customHeight="1"/>
    <row r="608" ht="16.5" customHeight="1"/>
    <row r="609" ht="16.5" customHeight="1"/>
    <row r="610" ht="16.5" customHeight="1"/>
    <row r="611" ht="16.5" customHeight="1"/>
    <row r="612" ht="16.5" customHeight="1"/>
    <row r="613" ht="16.5" customHeight="1"/>
    <row r="614" ht="16.5" customHeight="1"/>
    <row r="615" ht="16.5" customHeight="1"/>
    <row r="616" ht="16.5" customHeight="1"/>
    <row r="617" ht="16.5" customHeight="1"/>
    <row r="618" ht="16.5" customHeight="1"/>
    <row r="619" ht="16.5" customHeight="1"/>
    <row r="620" ht="16.5" customHeight="1"/>
    <row r="621" ht="16.5" customHeight="1"/>
    <row r="622" ht="16.5" customHeight="1"/>
    <row r="623" ht="16.5" customHeight="1"/>
    <row r="624" ht="16.5" customHeight="1"/>
    <row r="625" ht="16.5" customHeight="1"/>
    <row r="626" ht="16.5" customHeight="1"/>
    <row r="627" ht="16.5" customHeight="1"/>
    <row r="628" ht="16.5" customHeight="1"/>
    <row r="629" ht="16.5" customHeight="1"/>
    <row r="630" ht="16.5" customHeight="1"/>
    <row r="631" ht="16.5" customHeight="1"/>
    <row r="632" ht="16.5" customHeight="1"/>
    <row r="633" ht="16.5" customHeight="1"/>
    <row r="634" ht="16.5" customHeight="1"/>
    <row r="635" ht="16.5" customHeight="1"/>
    <row r="636" ht="16.5" customHeight="1"/>
    <row r="637" ht="16.5" customHeight="1"/>
    <row r="638" ht="16.5" customHeight="1"/>
    <row r="639" ht="16.5" customHeight="1"/>
    <row r="640" ht="16.5" customHeight="1"/>
    <row r="641" ht="16.5" customHeight="1"/>
    <row r="642" ht="16.5" customHeight="1"/>
    <row r="643" ht="16.5" customHeight="1"/>
    <row r="644" ht="16.5" customHeight="1"/>
    <row r="645" ht="16.5" customHeight="1"/>
    <row r="646" ht="16.5" customHeight="1"/>
    <row r="647" ht="16.5" customHeight="1"/>
    <row r="648" ht="16.5" customHeight="1"/>
    <row r="649" ht="16.5" customHeight="1"/>
    <row r="650" ht="16.5" customHeight="1"/>
    <row r="651" ht="16.5" customHeight="1"/>
    <row r="652" ht="16.5" customHeight="1"/>
    <row r="653" ht="16.5" customHeight="1"/>
    <row r="654" ht="16.5" customHeight="1"/>
    <row r="655" ht="16.5" customHeight="1"/>
    <row r="656" ht="16.5" customHeight="1"/>
    <row r="657" ht="16.5" customHeight="1"/>
    <row r="658" ht="16.5" customHeight="1"/>
    <row r="659" ht="16.5" customHeight="1"/>
    <row r="660" ht="16.5" customHeight="1"/>
    <row r="661" ht="16.5" customHeight="1"/>
    <row r="662" ht="16.5" customHeight="1"/>
    <row r="663" ht="16.5" customHeight="1"/>
    <row r="664" ht="16.5" customHeight="1"/>
    <row r="665" ht="16.5" customHeight="1"/>
    <row r="666" ht="16.5" customHeight="1"/>
    <row r="667" ht="16.5" customHeight="1"/>
    <row r="668" ht="16.5" customHeight="1"/>
    <row r="669" ht="16.5" customHeight="1"/>
    <row r="670" ht="16.5" customHeight="1"/>
    <row r="671" ht="16.5" customHeight="1"/>
    <row r="672" ht="16.5" customHeight="1"/>
    <row r="673" ht="16.5" customHeight="1"/>
    <row r="674" ht="16.5" customHeight="1"/>
    <row r="675" ht="16.5" customHeight="1"/>
    <row r="676" ht="16.5" customHeight="1"/>
    <row r="677" ht="16.5" customHeight="1"/>
    <row r="678" ht="16.5" customHeight="1"/>
    <row r="679" ht="16.5" customHeight="1"/>
    <row r="680" ht="16.5" customHeight="1"/>
    <row r="681" ht="16.5" customHeight="1"/>
    <row r="682" ht="16.5" customHeight="1"/>
    <row r="683" ht="16.5" customHeight="1"/>
    <row r="684" ht="16.5" customHeight="1"/>
    <row r="685" ht="16.5" customHeight="1"/>
    <row r="686" ht="16.5" customHeight="1"/>
    <row r="687" ht="16.5" customHeight="1"/>
    <row r="688" ht="16.5" customHeight="1"/>
    <row r="689" ht="16.5" customHeight="1"/>
    <row r="690" ht="16.5" customHeight="1"/>
    <row r="691" ht="16.5" customHeight="1"/>
    <row r="692" ht="16.5" customHeight="1"/>
    <row r="693" ht="16.5" customHeight="1"/>
    <row r="694" ht="16.5" customHeight="1"/>
    <row r="695" ht="16.5" customHeight="1"/>
    <row r="696" ht="16.5" customHeight="1"/>
    <row r="697" ht="16.5" customHeight="1"/>
    <row r="698" ht="16.5" customHeight="1"/>
    <row r="699" ht="16.5" customHeight="1"/>
    <row r="700" ht="16.5" customHeight="1"/>
    <row r="701" ht="16.5" customHeight="1"/>
    <row r="702" ht="16.5" customHeight="1"/>
    <row r="703" ht="16.5" customHeight="1"/>
    <row r="704" ht="16.5" customHeight="1"/>
    <row r="705" ht="16.5" customHeight="1"/>
    <row r="706" ht="16.5" customHeight="1"/>
    <row r="707" ht="16.5" customHeight="1"/>
    <row r="708" ht="16.5" customHeight="1"/>
    <row r="709" ht="16.5" customHeight="1"/>
    <row r="710" ht="16.5" customHeight="1"/>
    <row r="711" ht="16.5" customHeight="1"/>
    <row r="712" ht="16.5" customHeight="1"/>
    <row r="713" ht="16.5" customHeight="1"/>
    <row r="714" ht="16.5" customHeight="1"/>
    <row r="715" ht="16.5" customHeight="1"/>
    <row r="716" ht="16.5" customHeight="1"/>
    <row r="717" ht="16.5" customHeight="1"/>
    <row r="718" ht="16.5" customHeight="1"/>
    <row r="719" ht="16.5" customHeight="1"/>
    <row r="720" ht="16.5" customHeight="1"/>
    <row r="721" ht="16.5" customHeight="1"/>
    <row r="722" ht="16.5" customHeight="1"/>
    <row r="723" ht="16.5" customHeight="1"/>
    <row r="724" ht="16.5" customHeight="1"/>
    <row r="725" ht="16.5" customHeight="1"/>
    <row r="726" ht="16.5" customHeight="1"/>
    <row r="727" ht="16.5" customHeight="1"/>
    <row r="728" ht="16.5" customHeight="1"/>
    <row r="729" ht="16.5" customHeight="1"/>
    <row r="730" ht="16.5" customHeight="1"/>
    <row r="731" ht="16.5" customHeight="1"/>
    <row r="732" ht="16.5" customHeight="1"/>
    <row r="733" ht="16.5" customHeight="1"/>
    <row r="734" ht="16.5" customHeight="1"/>
    <row r="735" ht="16.5" customHeight="1"/>
    <row r="736" ht="16.5" customHeight="1"/>
    <row r="737" ht="16.5" customHeight="1"/>
    <row r="738" ht="16.5" customHeight="1"/>
    <row r="739" ht="16.5" customHeight="1"/>
    <row r="740" ht="16.5" customHeight="1"/>
    <row r="741" ht="16.5" customHeight="1"/>
    <row r="742" ht="16.5" customHeight="1"/>
    <row r="743" ht="16.5" customHeight="1"/>
    <row r="744" ht="16.5" customHeight="1"/>
    <row r="745" ht="16.5" customHeight="1"/>
    <row r="746" ht="16.5" customHeight="1"/>
    <row r="747" ht="16.5" customHeight="1"/>
    <row r="748" ht="16.5" customHeight="1"/>
    <row r="749" ht="16.5" customHeight="1"/>
    <row r="750" ht="16.5" customHeight="1"/>
    <row r="751" ht="16.5" customHeight="1"/>
    <row r="752" ht="16.5" customHeight="1"/>
    <row r="753" ht="16.5" customHeight="1"/>
    <row r="754" ht="16.5" customHeight="1"/>
    <row r="755" ht="16.5" customHeight="1"/>
    <row r="756" ht="16.5" customHeight="1"/>
    <row r="757" ht="16.5" customHeight="1"/>
    <row r="758" ht="16.5" customHeight="1"/>
    <row r="759" ht="16.5" customHeight="1"/>
    <row r="760" ht="16.5" customHeight="1"/>
    <row r="761" ht="16.5" customHeight="1"/>
    <row r="762" ht="16.5" customHeight="1"/>
    <row r="763" ht="16.5" customHeight="1"/>
    <row r="764" ht="16.5" customHeight="1"/>
    <row r="765" ht="16.5" customHeight="1"/>
    <row r="766" ht="16.5" customHeight="1"/>
    <row r="767" ht="16.5" customHeight="1"/>
    <row r="768" ht="16.5" customHeight="1"/>
    <row r="769" ht="16.5" customHeight="1"/>
    <row r="770" ht="16.5" customHeight="1"/>
    <row r="771" ht="16.5" customHeight="1"/>
    <row r="772" ht="16.5" customHeight="1"/>
    <row r="773" ht="16.5" customHeight="1"/>
    <row r="774" ht="16.5" customHeight="1"/>
    <row r="775" ht="16.5" customHeight="1"/>
    <row r="776" ht="16.5" customHeight="1"/>
    <row r="777" ht="16.5" customHeight="1"/>
    <row r="778" ht="16.5" customHeight="1"/>
    <row r="779" ht="16.5" customHeight="1"/>
    <row r="780" ht="16.5" customHeight="1"/>
    <row r="781" ht="16.5" customHeight="1"/>
    <row r="782" ht="16.5" customHeight="1"/>
    <row r="783" ht="16.5" customHeight="1"/>
    <row r="784" ht="16.5" customHeight="1"/>
    <row r="785" ht="16.5" customHeight="1"/>
    <row r="786" ht="16.5" customHeight="1"/>
    <row r="787" ht="16.5" customHeight="1"/>
    <row r="788" ht="16.5" customHeight="1"/>
    <row r="789" ht="16.5" customHeight="1"/>
    <row r="790" ht="16.5" customHeight="1"/>
    <row r="791" ht="16.5" customHeight="1"/>
    <row r="792" ht="16.5" customHeight="1"/>
    <row r="793" ht="16.5" customHeight="1"/>
    <row r="794" ht="16.5" customHeight="1"/>
    <row r="795" ht="16.5" customHeight="1"/>
    <row r="796" ht="16.5" customHeight="1"/>
    <row r="797" ht="16.5" customHeight="1"/>
    <row r="798" ht="16.5" customHeight="1"/>
    <row r="799" ht="16.5" customHeight="1"/>
    <row r="800" ht="16.5" customHeight="1"/>
    <row r="801" ht="16.5" customHeight="1"/>
    <row r="802" ht="16.5" customHeight="1"/>
    <row r="803" ht="16.5" customHeight="1"/>
    <row r="804" ht="16.5" customHeight="1"/>
    <row r="805" ht="16.5" customHeight="1"/>
    <row r="806" ht="16.5" customHeight="1"/>
    <row r="807" ht="16.5" customHeight="1"/>
    <row r="808" ht="16.5" customHeight="1"/>
    <row r="809" ht="16.5" customHeight="1"/>
    <row r="810" ht="16.5" customHeight="1"/>
    <row r="811" ht="16.5" customHeight="1"/>
    <row r="812" ht="16.5" customHeight="1"/>
    <row r="813" ht="16.5" customHeight="1"/>
    <row r="814" ht="16.5" customHeight="1"/>
    <row r="815" ht="16.5" customHeight="1"/>
    <row r="816" ht="16.5" customHeight="1"/>
    <row r="817" ht="16.5" customHeight="1"/>
    <row r="818" ht="16.5" customHeight="1"/>
    <row r="819" ht="16.5" customHeight="1"/>
    <row r="820" ht="16.5" customHeight="1"/>
    <row r="821" ht="16.5" customHeight="1"/>
    <row r="822" ht="16.5" customHeight="1"/>
    <row r="823" ht="16.5" customHeight="1"/>
    <row r="824" ht="16.5" customHeight="1"/>
    <row r="825" ht="16.5" customHeight="1"/>
    <row r="826" ht="16.5" customHeight="1"/>
    <row r="827" ht="16.5" customHeight="1"/>
    <row r="828" ht="16.5" customHeight="1"/>
    <row r="829" ht="16.5" customHeight="1"/>
    <row r="830" ht="16.5" customHeight="1"/>
    <row r="831" ht="16.5" customHeight="1"/>
    <row r="832" ht="16.5" customHeight="1"/>
    <row r="833" ht="16.5" customHeight="1"/>
    <row r="834" ht="16.5" customHeight="1"/>
    <row r="835" ht="16.5" customHeight="1"/>
    <row r="836" ht="16.5" customHeight="1"/>
    <row r="837" ht="16.5" customHeight="1"/>
    <row r="838" ht="16.5" customHeight="1"/>
    <row r="839" ht="16.5" customHeight="1"/>
    <row r="840" ht="16.5" customHeight="1"/>
    <row r="841" ht="16.5" customHeight="1"/>
    <row r="842" ht="16.5" customHeight="1"/>
    <row r="843" ht="16.5" customHeight="1"/>
    <row r="844" ht="16.5" customHeight="1"/>
    <row r="845" ht="16.5" customHeight="1"/>
    <row r="846" ht="16.5" customHeight="1"/>
    <row r="847" ht="16.5" customHeight="1"/>
    <row r="848" ht="16.5" customHeight="1"/>
    <row r="849" ht="16.5" customHeight="1"/>
    <row r="850" ht="16.5" customHeight="1"/>
    <row r="851" ht="16.5" customHeight="1"/>
    <row r="852" ht="16.5" customHeight="1"/>
    <row r="853" ht="16.5" customHeight="1"/>
    <row r="854" ht="16.5" customHeight="1"/>
    <row r="855" ht="16.5" customHeight="1"/>
    <row r="856" ht="16.5" customHeight="1"/>
    <row r="857" ht="16.5" customHeight="1"/>
    <row r="858" ht="16.5" customHeight="1"/>
    <row r="859" ht="16.5" customHeight="1"/>
    <row r="860" ht="16.5" customHeight="1"/>
    <row r="861" ht="16.5" customHeight="1"/>
    <row r="862" ht="16.5" customHeight="1"/>
    <row r="863" ht="16.5" customHeight="1"/>
    <row r="864" ht="16.5" customHeight="1"/>
    <row r="865" ht="16.5" customHeight="1"/>
    <row r="866" ht="16.5" customHeight="1"/>
    <row r="867" ht="16.5" customHeight="1"/>
    <row r="868" ht="16.5" customHeight="1"/>
    <row r="869" ht="16.5" customHeight="1"/>
    <row r="870" ht="16.5" customHeight="1"/>
    <row r="871" ht="16.5" customHeight="1"/>
    <row r="872" ht="16.5" customHeight="1"/>
    <row r="873" ht="16.5" customHeight="1"/>
    <row r="874" ht="16.5" customHeight="1"/>
    <row r="875" ht="16.5" customHeight="1"/>
    <row r="876" ht="16.5" customHeight="1"/>
    <row r="877" ht="16.5" customHeight="1"/>
    <row r="878" ht="16.5" customHeight="1"/>
    <row r="879" ht="16.5" customHeight="1"/>
    <row r="880" ht="16.5" customHeight="1"/>
    <row r="881" ht="16.5" customHeight="1"/>
    <row r="882" ht="16.5" customHeight="1"/>
    <row r="883" ht="16.5" customHeight="1"/>
    <row r="884" ht="16.5" customHeight="1"/>
    <row r="885" ht="16.5" customHeight="1"/>
    <row r="886" ht="16.5" customHeight="1"/>
    <row r="887" ht="16.5" customHeight="1"/>
    <row r="888" ht="16.5" customHeight="1"/>
    <row r="889" ht="16.5" customHeight="1"/>
    <row r="890" ht="16.5" customHeight="1"/>
    <row r="891" ht="16.5" customHeight="1"/>
    <row r="892" ht="16.5" customHeight="1"/>
    <row r="893" ht="16.5" customHeight="1"/>
    <row r="894" ht="16.5" customHeight="1"/>
    <row r="895" ht="16.5" customHeight="1"/>
    <row r="896" ht="16.5" customHeight="1"/>
    <row r="897" ht="16.5" customHeight="1"/>
    <row r="898" ht="16.5" customHeight="1"/>
    <row r="899" ht="16.5" customHeight="1"/>
    <row r="900" ht="16.5" customHeight="1"/>
    <row r="901" ht="16.5" customHeight="1"/>
    <row r="902" ht="16.5" customHeight="1"/>
    <row r="903" ht="16.5" customHeight="1"/>
    <row r="904" ht="16.5" customHeight="1"/>
    <row r="905" ht="16.5" customHeight="1"/>
    <row r="906" ht="16.5" customHeight="1"/>
    <row r="907" ht="16.5" customHeight="1"/>
    <row r="908" ht="16.5" customHeight="1"/>
    <row r="909" ht="16.5" customHeight="1"/>
    <row r="910" ht="16.5" customHeight="1"/>
    <row r="911" ht="16.5" customHeight="1"/>
    <row r="912" ht="16.5" customHeight="1"/>
    <row r="913" ht="16.5" customHeight="1"/>
    <row r="914" ht="16.5" customHeight="1"/>
    <row r="915" ht="16.5" customHeight="1"/>
    <row r="916" ht="16.5" customHeight="1"/>
    <row r="917" ht="16.5" customHeight="1"/>
    <row r="918" ht="16.5" customHeight="1"/>
    <row r="919" ht="16.5" customHeight="1"/>
    <row r="920" ht="16.5" customHeight="1"/>
    <row r="921" ht="16.5" customHeight="1"/>
    <row r="922" ht="16.5" customHeight="1"/>
    <row r="923" ht="16.5" customHeight="1"/>
    <row r="924" ht="16.5" customHeight="1"/>
    <row r="925" ht="16.5" customHeight="1"/>
    <row r="926" ht="16.5" customHeight="1"/>
    <row r="927" ht="16.5" customHeight="1"/>
    <row r="928" ht="16.5" customHeight="1"/>
    <row r="929" ht="16.5" customHeight="1"/>
    <row r="930" ht="16.5" customHeight="1"/>
    <row r="931" ht="16.5" customHeight="1"/>
    <row r="932" ht="16.5" customHeight="1"/>
    <row r="933" ht="16.5" customHeight="1"/>
    <row r="934" ht="16.5" customHeight="1"/>
    <row r="935" ht="16.5" customHeight="1"/>
    <row r="936" ht="16.5" customHeight="1"/>
    <row r="937" ht="16.5" customHeight="1"/>
    <row r="938" ht="16.5" customHeight="1"/>
    <row r="939" ht="16.5" customHeight="1"/>
    <row r="940" ht="16.5" customHeight="1"/>
    <row r="941" ht="16.5" customHeight="1"/>
    <row r="942" ht="16.5" customHeight="1"/>
    <row r="943" ht="16.5" customHeight="1"/>
    <row r="944" ht="16.5" customHeight="1"/>
    <row r="945" ht="16.5" customHeight="1"/>
    <row r="946" ht="16.5" customHeight="1"/>
    <row r="947" ht="16.5" customHeight="1"/>
    <row r="948" ht="16.5" customHeight="1"/>
    <row r="949" ht="16.5" customHeight="1"/>
    <row r="950" ht="16.5" customHeight="1"/>
    <row r="951" ht="16.5" customHeight="1"/>
    <row r="952" ht="16.5" customHeight="1"/>
    <row r="953" ht="16.5" customHeight="1"/>
    <row r="954" ht="16.5" customHeight="1"/>
    <row r="955" ht="16.5" customHeight="1"/>
    <row r="956" ht="16.5" customHeight="1"/>
    <row r="957" ht="16.5" customHeight="1"/>
    <row r="958" ht="16.5" customHeight="1"/>
    <row r="959" ht="16.5" customHeight="1"/>
    <row r="960" ht="16.5" customHeight="1"/>
    <row r="961" ht="16.5" customHeight="1"/>
    <row r="962" ht="16.5" customHeight="1"/>
    <row r="963" ht="16.5" customHeight="1"/>
    <row r="964" ht="16.5" customHeight="1"/>
    <row r="965" ht="16.5" customHeight="1"/>
    <row r="966" ht="16.5" customHeight="1"/>
    <row r="967" ht="16.5" customHeight="1"/>
    <row r="968" ht="16.5" customHeight="1"/>
    <row r="969" ht="16.5" customHeight="1"/>
    <row r="970" ht="16.5" customHeight="1"/>
    <row r="971" ht="16.5" customHeight="1"/>
    <row r="972" ht="16.5" customHeight="1"/>
    <row r="973" ht="16.5" customHeight="1"/>
    <row r="974" ht="16.5" customHeight="1"/>
    <row r="975" ht="16.5" customHeight="1"/>
    <row r="976" ht="16.5" customHeight="1"/>
    <row r="977" ht="16.5" customHeight="1"/>
    <row r="978" ht="16.5" customHeight="1"/>
    <row r="979" ht="16.5" customHeight="1"/>
    <row r="980" ht="16.5" customHeight="1"/>
    <row r="981" ht="16.5" customHeight="1"/>
    <row r="982" ht="16.5" customHeight="1"/>
    <row r="983" ht="16.5" customHeight="1"/>
    <row r="984" ht="16.5" customHeight="1"/>
    <row r="985" ht="16.5" customHeight="1"/>
    <row r="986" ht="16.5" customHeight="1"/>
    <row r="987" ht="16.5" customHeight="1"/>
    <row r="988" ht="16.5" customHeight="1"/>
    <row r="989" ht="16.5" customHeight="1"/>
    <row r="990" ht="16.5" customHeight="1"/>
    <row r="991" ht="16.5" customHeight="1"/>
    <row r="992" ht="16.5" customHeight="1"/>
    <row r="993" ht="16.5" customHeight="1"/>
    <row r="994" ht="16.5" customHeight="1"/>
    <row r="995" ht="16.5" customHeight="1"/>
    <row r="996" ht="16.5" customHeight="1"/>
    <row r="997" ht="16.5" customHeight="1"/>
    <row r="998" ht="16.5" customHeight="1"/>
    <row r="999" ht="16.5" customHeight="1"/>
    <row r="1000" ht="16.5" customHeight="1"/>
    <row r="1001" ht="16.5" customHeight="1"/>
  </sheetData>
  <mergeCells count="29">
    <mergeCell ref="S59:U59"/>
    <mergeCell ref="AL59:AN59"/>
    <mergeCell ref="S55:S57"/>
    <mergeCell ref="V55:V57"/>
    <mergeCell ref="AL55:AL57"/>
    <mergeCell ref="AO55:AO57"/>
    <mergeCell ref="S58:U58"/>
    <mergeCell ref="AL58:AN58"/>
    <mergeCell ref="AQ51:AR51"/>
    <mergeCell ref="S52:S54"/>
    <mergeCell ref="V52:V54"/>
    <mergeCell ref="X52:Y52"/>
    <mergeCell ref="AL52:AL54"/>
    <mergeCell ref="AO52:AO54"/>
    <mergeCell ref="AQ52:AR52"/>
    <mergeCell ref="X53:Y53"/>
    <mergeCell ref="AQ53:AR53"/>
    <mergeCell ref="X51:Y51"/>
    <mergeCell ref="D28:D35"/>
    <mergeCell ref="D36:D38"/>
    <mergeCell ref="D39:D41"/>
    <mergeCell ref="D42:D44"/>
    <mergeCell ref="C47:E47"/>
    <mergeCell ref="D22:D24"/>
    <mergeCell ref="C3:AI3"/>
    <mergeCell ref="C4:D4"/>
    <mergeCell ref="L5:M5"/>
    <mergeCell ref="N5:W5"/>
    <mergeCell ref="D9:D21"/>
  </mergeCells>
  <phoneticPr fontId="22" type="noConversion"/>
  <pageMargins left="0.25" right="0.25" top="0.75" bottom="0.75" header="0.3" footer="0.3"/>
  <pageSetup paperSize="9" scale="43" orientation="landscape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AA1000"/>
  <sheetViews>
    <sheetView workbookViewId="0"/>
  </sheetViews>
  <sheetFormatPr baseColWidth="10" defaultColWidth="14.5" defaultRowHeight="15" customHeight="1"/>
  <cols>
    <col min="1" max="2" width="10.83203125" customWidth="1"/>
    <col min="3" max="3" width="5.5" customWidth="1"/>
    <col min="4" max="5" width="10.83203125" customWidth="1"/>
    <col min="6" max="6" width="5.83203125" customWidth="1"/>
    <col min="7" max="7" width="10.83203125" customWidth="1"/>
    <col min="8" max="27" width="10.6640625" customWidth="1"/>
  </cols>
  <sheetData>
    <row r="1" spans="1:27" ht="16.5" customHeight="1">
      <c r="A1" s="1"/>
      <c r="B1" s="1"/>
      <c r="C1" s="2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</row>
    <row r="2" spans="1:27" ht="16.5" customHeight="1">
      <c r="A2" s="3" t="s">
        <v>0</v>
      </c>
      <c r="B2" s="1"/>
      <c r="C2" s="4"/>
      <c r="D2" s="5"/>
      <c r="E2" s="5"/>
      <c r="F2" s="5"/>
      <c r="G2" s="5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</row>
    <row r="3" spans="1:27" ht="27" customHeight="1">
      <c r="A3" s="429" t="s">
        <v>1</v>
      </c>
      <c r="B3" s="430"/>
      <c r="C3" s="6"/>
      <c r="D3" s="429" t="s">
        <v>2</v>
      </c>
      <c r="E3" s="396"/>
      <c r="F3" s="396"/>
      <c r="G3" s="396"/>
      <c r="H3" s="430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</row>
    <row r="4" spans="1:27" ht="27" customHeight="1">
      <c r="A4" s="431"/>
      <c r="B4" s="432"/>
      <c r="C4" s="6"/>
      <c r="D4" s="431"/>
      <c r="E4" s="435"/>
      <c r="F4" s="435"/>
      <c r="G4" s="435"/>
      <c r="H4" s="432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</row>
    <row r="5" spans="1:27" ht="27.75" customHeight="1">
      <c r="A5" s="433"/>
      <c r="B5" s="434"/>
      <c r="C5" s="6"/>
      <c r="D5" s="433"/>
      <c r="E5" s="436"/>
      <c r="F5" s="436"/>
      <c r="G5" s="436"/>
      <c r="H5" s="434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</row>
    <row r="6" spans="1:27" ht="16.5" customHeight="1">
      <c r="A6" s="1"/>
      <c r="B6" s="1"/>
      <c r="C6" s="7"/>
      <c r="D6" s="8"/>
      <c r="E6" s="8"/>
      <c r="F6" s="8"/>
      <c r="G6" s="8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</row>
    <row r="7" spans="1:27" ht="16.5" customHeight="1">
      <c r="A7" s="437" t="s">
        <v>3</v>
      </c>
      <c r="B7" s="9" t="s">
        <v>4</v>
      </c>
      <c r="C7" s="2"/>
      <c r="D7" s="9" t="s">
        <v>5</v>
      </c>
      <c r="E7" s="10" t="s">
        <v>6</v>
      </c>
      <c r="F7" s="11"/>
      <c r="G7" s="10" t="s">
        <v>7</v>
      </c>
      <c r="H7" s="437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</row>
    <row r="8" spans="1:27" ht="16.5" customHeight="1">
      <c r="A8" s="438"/>
      <c r="B8" s="12">
        <v>383</v>
      </c>
      <c r="C8" s="2"/>
      <c r="D8" s="12">
        <v>702</v>
      </c>
      <c r="E8" s="12"/>
      <c r="F8" s="13"/>
      <c r="G8" s="12"/>
      <c r="H8" s="438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</row>
    <row r="9" spans="1:27" ht="16.5" customHeight="1">
      <c r="A9" s="438"/>
      <c r="B9" s="14">
        <v>45695</v>
      </c>
      <c r="C9" s="2"/>
      <c r="D9" s="14">
        <v>45691</v>
      </c>
      <c r="E9" s="14">
        <v>45726</v>
      </c>
      <c r="F9" s="15"/>
      <c r="G9" s="14">
        <v>45748</v>
      </c>
      <c r="H9" s="438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</row>
    <row r="10" spans="1:27" ht="16.5" customHeight="1">
      <c r="A10" s="438"/>
      <c r="B10" s="9" t="s">
        <v>8</v>
      </c>
      <c r="C10" s="2"/>
      <c r="D10" s="9" t="s">
        <v>9</v>
      </c>
      <c r="E10" s="10" t="s">
        <v>10</v>
      </c>
      <c r="F10" s="11"/>
      <c r="G10" s="10" t="s">
        <v>11</v>
      </c>
      <c r="H10" s="438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</row>
    <row r="11" spans="1:27" ht="16.5" customHeight="1">
      <c r="A11" s="438"/>
      <c r="B11" s="12">
        <v>346</v>
      </c>
      <c r="C11" s="2"/>
      <c r="D11" s="12">
        <v>58</v>
      </c>
      <c r="E11" s="12"/>
      <c r="F11" s="16"/>
      <c r="G11" s="12"/>
      <c r="H11" s="438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</row>
    <row r="12" spans="1:27" ht="16.5" customHeight="1">
      <c r="A12" s="438"/>
      <c r="B12" s="14">
        <v>45691</v>
      </c>
      <c r="C12" s="2"/>
      <c r="D12" s="14">
        <v>45691</v>
      </c>
      <c r="E12" s="14">
        <v>45726</v>
      </c>
      <c r="F12" s="15"/>
      <c r="G12" s="14">
        <v>45748</v>
      </c>
      <c r="H12" s="438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</row>
    <row r="13" spans="1:27" ht="16.5" customHeight="1">
      <c r="A13" s="438"/>
      <c r="B13" s="9" t="s">
        <v>12</v>
      </c>
      <c r="C13" s="2"/>
      <c r="D13" s="9" t="s">
        <v>13</v>
      </c>
      <c r="E13" s="10" t="s">
        <v>14</v>
      </c>
      <c r="F13" s="17"/>
      <c r="G13" s="9" t="s">
        <v>15</v>
      </c>
      <c r="H13" s="438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</row>
    <row r="14" spans="1:27" ht="16.5" customHeight="1">
      <c r="A14" s="438"/>
      <c r="B14" s="12">
        <v>1012</v>
      </c>
      <c r="C14" s="2"/>
      <c r="D14" s="12">
        <v>63</v>
      </c>
      <c r="E14" s="12"/>
      <c r="F14" s="13"/>
      <c r="G14" s="18"/>
      <c r="H14" s="438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</row>
    <row r="15" spans="1:27" ht="16.5" customHeight="1">
      <c r="A15" s="438"/>
      <c r="B15" s="14">
        <v>45691</v>
      </c>
      <c r="C15" s="2"/>
      <c r="D15" s="14">
        <v>45691</v>
      </c>
      <c r="E15" s="14">
        <v>45726</v>
      </c>
      <c r="F15" s="15"/>
      <c r="G15" s="14">
        <v>45748</v>
      </c>
      <c r="H15" s="438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</row>
    <row r="16" spans="1:27" ht="16.5" customHeight="1">
      <c r="A16" s="438"/>
      <c r="B16" s="9" t="s">
        <v>16</v>
      </c>
      <c r="C16" s="2"/>
      <c r="D16" s="9" t="s">
        <v>17</v>
      </c>
      <c r="E16" s="10" t="s">
        <v>18</v>
      </c>
      <c r="F16" s="11"/>
      <c r="G16" s="9" t="s">
        <v>19</v>
      </c>
      <c r="H16" s="438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</row>
    <row r="17" spans="1:27" ht="16.5" customHeight="1">
      <c r="A17" s="438"/>
      <c r="B17" s="12">
        <v>419</v>
      </c>
      <c r="C17" s="2"/>
      <c r="D17" s="12">
        <v>1017</v>
      </c>
      <c r="E17" s="12"/>
      <c r="F17" s="13"/>
      <c r="G17" s="18"/>
      <c r="H17" s="438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</row>
    <row r="18" spans="1:27" ht="16.5" customHeight="1">
      <c r="A18" s="438"/>
      <c r="B18" s="14">
        <v>45720</v>
      </c>
      <c r="C18" s="2"/>
      <c r="D18" s="14">
        <v>45691</v>
      </c>
      <c r="E18" s="14">
        <v>45726</v>
      </c>
      <c r="F18" s="15"/>
      <c r="G18" s="14">
        <v>45748</v>
      </c>
      <c r="H18" s="438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</row>
    <row r="19" spans="1:27" ht="16.5" customHeight="1">
      <c r="A19" s="438"/>
      <c r="B19" s="9" t="s">
        <v>20</v>
      </c>
      <c r="C19" s="2"/>
      <c r="D19" s="9" t="s">
        <v>21</v>
      </c>
      <c r="E19" s="10" t="s">
        <v>22</v>
      </c>
      <c r="F19" s="11"/>
      <c r="G19" s="437"/>
      <c r="H19" s="438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</row>
    <row r="20" spans="1:27" ht="16.5" customHeight="1">
      <c r="A20" s="438"/>
      <c r="B20" s="12">
        <v>320</v>
      </c>
      <c r="C20" s="2"/>
      <c r="D20" s="12"/>
      <c r="E20" s="12"/>
      <c r="F20" s="13"/>
      <c r="G20" s="438"/>
      <c r="H20" s="438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</row>
    <row r="21" spans="1:27" ht="16.5" customHeight="1">
      <c r="A21" s="439"/>
      <c r="B21" s="14">
        <v>45720</v>
      </c>
      <c r="C21" s="2"/>
      <c r="D21" s="14">
        <v>45733</v>
      </c>
      <c r="E21" s="14">
        <v>45748</v>
      </c>
      <c r="F21" s="15"/>
      <c r="G21" s="439"/>
      <c r="H21" s="439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</row>
    <row r="22" spans="1:27" ht="16.5" customHeight="1">
      <c r="A22" s="1"/>
      <c r="B22" s="1"/>
      <c r="C22" s="2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</row>
    <row r="23" spans="1:27" ht="16.5" customHeight="1">
      <c r="A23" s="1"/>
      <c r="B23" s="1"/>
      <c r="C23" s="2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</row>
    <row r="24" spans="1:27" ht="16.5" customHeight="1">
      <c r="A24" s="1"/>
      <c r="B24" s="1"/>
      <c r="C24" s="2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</row>
    <row r="25" spans="1:27" ht="16.5" customHeight="1">
      <c r="A25" s="1"/>
      <c r="B25" s="1"/>
      <c r="C25" s="2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</row>
    <row r="26" spans="1:27" ht="16.5" customHeight="1">
      <c r="A26" s="1"/>
      <c r="B26" s="1"/>
      <c r="C26" s="2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</row>
    <row r="27" spans="1:27" ht="16.5" customHeight="1">
      <c r="A27" s="1"/>
      <c r="B27" s="1"/>
      <c r="C27" s="2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</row>
    <row r="28" spans="1:27" ht="16.5" customHeight="1">
      <c r="A28" s="1"/>
      <c r="B28" s="1"/>
      <c r="C28" s="2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</row>
    <row r="29" spans="1:27" ht="16.5" customHeight="1">
      <c r="A29" s="1"/>
      <c r="B29" s="1"/>
      <c r="C29" s="2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</row>
    <row r="30" spans="1:27" ht="16.5" customHeight="1">
      <c r="A30" s="1"/>
      <c r="B30" s="1"/>
      <c r="C30" s="2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</row>
    <row r="31" spans="1:27" ht="16.5" customHeight="1">
      <c r="A31" s="1"/>
      <c r="B31" s="1"/>
      <c r="C31" s="2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</row>
    <row r="32" spans="1:27" ht="16.5" customHeight="1">
      <c r="A32" s="1"/>
      <c r="B32" s="1"/>
      <c r="C32" s="2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</row>
    <row r="33" spans="1:27" ht="16.5" customHeight="1">
      <c r="A33" s="1"/>
      <c r="B33" s="1"/>
      <c r="C33" s="2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</row>
    <row r="34" spans="1:27" ht="16.5" customHeight="1">
      <c r="A34" s="1"/>
      <c r="B34" s="1"/>
      <c r="C34" s="2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</row>
    <row r="35" spans="1:27" ht="16.5" customHeight="1">
      <c r="A35" s="1"/>
      <c r="B35" s="1"/>
      <c r="C35" s="2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</row>
    <row r="36" spans="1:27" ht="16.5" customHeight="1">
      <c r="A36" s="1"/>
      <c r="B36" s="1"/>
      <c r="C36" s="2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</row>
    <row r="37" spans="1:27" ht="16.5" customHeight="1">
      <c r="A37" s="1"/>
      <c r="B37" s="1"/>
      <c r="C37" s="2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</row>
    <row r="38" spans="1:27" ht="16.5" customHeight="1">
      <c r="A38" s="1"/>
      <c r="B38" s="1"/>
      <c r="C38" s="2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</row>
    <row r="39" spans="1:27" ht="16.5" customHeight="1">
      <c r="A39" s="1"/>
      <c r="B39" s="1"/>
      <c r="C39" s="2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</row>
    <row r="40" spans="1:27" ht="16.5" customHeight="1">
      <c r="A40" s="1"/>
      <c r="B40" s="1"/>
      <c r="C40" s="2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</row>
    <row r="41" spans="1:27" ht="16.5" customHeight="1">
      <c r="A41" s="1"/>
      <c r="B41" s="1"/>
      <c r="C41" s="2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</row>
    <row r="42" spans="1:27" ht="16.5" customHeight="1">
      <c r="A42" s="1"/>
      <c r="B42" s="1"/>
      <c r="C42" s="2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</row>
    <row r="43" spans="1:27" ht="16.5" customHeight="1">
      <c r="A43" s="1"/>
      <c r="B43" s="1"/>
      <c r="C43" s="2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</row>
    <row r="44" spans="1:27" ht="16.5" customHeight="1">
      <c r="A44" s="1"/>
      <c r="B44" s="1"/>
      <c r="C44" s="2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</row>
    <row r="45" spans="1:27" ht="16.5" customHeight="1">
      <c r="A45" s="1"/>
      <c r="B45" s="1"/>
      <c r="C45" s="2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</row>
    <row r="46" spans="1:27" ht="16.5" customHeight="1">
      <c r="A46" s="1"/>
      <c r="B46" s="1"/>
      <c r="C46" s="2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</row>
    <row r="47" spans="1:27" ht="16.5" customHeight="1">
      <c r="A47" s="1"/>
      <c r="B47" s="1"/>
      <c r="C47" s="2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</row>
    <row r="48" spans="1:27" ht="16.5" customHeight="1">
      <c r="A48" s="1"/>
      <c r="B48" s="1"/>
      <c r="C48" s="2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</row>
    <row r="49" spans="1:27" ht="16.5" customHeight="1">
      <c r="A49" s="1"/>
      <c r="B49" s="1"/>
      <c r="C49" s="2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</row>
    <row r="50" spans="1:27" ht="16.5" customHeight="1">
      <c r="A50" s="1"/>
      <c r="B50" s="1"/>
      <c r="C50" s="2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</row>
    <row r="51" spans="1:27" ht="16.5" customHeight="1">
      <c r="A51" s="1"/>
      <c r="B51" s="1"/>
      <c r="C51" s="2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</row>
    <row r="52" spans="1:27" ht="16.5" customHeight="1">
      <c r="A52" s="1"/>
      <c r="B52" s="1"/>
      <c r="C52" s="2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</row>
    <row r="53" spans="1:27" ht="16.5" customHeight="1">
      <c r="A53" s="1"/>
      <c r="B53" s="1"/>
      <c r="C53" s="2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</row>
    <row r="54" spans="1:27" ht="16.5" customHeight="1">
      <c r="A54" s="1"/>
      <c r="B54" s="1"/>
      <c r="C54" s="2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</row>
    <row r="55" spans="1:27" ht="16.5" customHeight="1">
      <c r="A55" s="1"/>
      <c r="B55" s="1"/>
      <c r="C55" s="2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</row>
    <row r="56" spans="1:27" ht="16.5" customHeight="1">
      <c r="A56" s="1"/>
      <c r="B56" s="1"/>
      <c r="C56" s="2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</row>
    <row r="57" spans="1:27" ht="16.5" customHeight="1">
      <c r="A57" s="1"/>
      <c r="B57" s="1"/>
      <c r="C57" s="2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</row>
    <row r="58" spans="1:27" ht="16.5" customHeight="1">
      <c r="A58" s="1"/>
      <c r="B58" s="1"/>
      <c r="C58" s="2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</row>
    <row r="59" spans="1:27" ht="16.5" customHeight="1">
      <c r="A59" s="1"/>
      <c r="B59" s="1"/>
      <c r="C59" s="2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</row>
    <row r="60" spans="1:27" ht="16.5" customHeight="1">
      <c r="A60" s="1"/>
      <c r="B60" s="1"/>
      <c r="C60" s="2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</row>
    <row r="61" spans="1:27" ht="16.5" customHeight="1">
      <c r="A61" s="1"/>
      <c r="B61" s="1"/>
      <c r="C61" s="2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</row>
    <row r="62" spans="1:27" ht="16.5" customHeight="1">
      <c r="A62" s="1"/>
      <c r="B62" s="1"/>
      <c r="C62" s="2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</row>
    <row r="63" spans="1:27" ht="16.5" customHeight="1">
      <c r="A63" s="1"/>
      <c r="B63" s="1"/>
      <c r="C63" s="2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</row>
    <row r="64" spans="1:27" ht="16.5" customHeight="1">
      <c r="A64" s="1"/>
      <c r="B64" s="1"/>
      <c r="C64" s="2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</row>
    <row r="65" spans="1:27" ht="16.5" customHeight="1">
      <c r="A65" s="1"/>
      <c r="B65" s="1"/>
      <c r="C65" s="2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</row>
    <row r="66" spans="1:27" ht="16.5" customHeight="1">
      <c r="A66" s="1"/>
      <c r="B66" s="1"/>
      <c r="C66" s="2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</row>
    <row r="67" spans="1:27" ht="16.5" customHeight="1">
      <c r="A67" s="1"/>
      <c r="B67" s="1"/>
      <c r="C67" s="2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</row>
    <row r="68" spans="1:27" ht="16.5" customHeight="1">
      <c r="A68" s="1"/>
      <c r="B68" s="1"/>
      <c r="C68" s="2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</row>
    <row r="69" spans="1:27" ht="16.5" customHeight="1">
      <c r="A69" s="1"/>
      <c r="B69" s="1"/>
      <c r="C69" s="2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</row>
    <row r="70" spans="1:27" ht="16.5" customHeight="1">
      <c r="A70" s="1"/>
      <c r="B70" s="1"/>
      <c r="C70" s="2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</row>
    <row r="71" spans="1:27" ht="16.5" customHeight="1">
      <c r="A71" s="1"/>
      <c r="B71" s="1"/>
      <c r="C71" s="2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</row>
    <row r="72" spans="1:27" ht="16.5" customHeight="1">
      <c r="A72" s="1"/>
      <c r="B72" s="1"/>
      <c r="C72" s="2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</row>
    <row r="73" spans="1:27" ht="16.5" customHeight="1">
      <c r="A73" s="1"/>
      <c r="B73" s="1"/>
      <c r="C73" s="2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</row>
    <row r="74" spans="1:27" ht="16.5" customHeight="1">
      <c r="A74" s="1"/>
      <c r="B74" s="1"/>
      <c r="C74" s="2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</row>
    <row r="75" spans="1:27" ht="16.5" customHeight="1">
      <c r="A75" s="1"/>
      <c r="B75" s="1"/>
      <c r="C75" s="2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</row>
    <row r="76" spans="1:27" ht="16.5" customHeight="1">
      <c r="A76" s="1"/>
      <c r="B76" s="1"/>
      <c r="C76" s="2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</row>
    <row r="77" spans="1:27" ht="16.5" customHeight="1">
      <c r="A77" s="1"/>
      <c r="B77" s="1"/>
      <c r="C77" s="2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</row>
    <row r="78" spans="1:27" ht="16.5" customHeight="1">
      <c r="A78" s="1"/>
      <c r="B78" s="1"/>
      <c r="C78" s="2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</row>
    <row r="79" spans="1:27" ht="16.5" customHeight="1">
      <c r="A79" s="1"/>
      <c r="B79" s="1"/>
      <c r="C79" s="2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</row>
    <row r="80" spans="1:27" ht="16.5" customHeight="1">
      <c r="A80" s="1"/>
      <c r="B80" s="1"/>
      <c r="C80" s="2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</row>
    <row r="81" spans="1:27" ht="16.5" customHeight="1">
      <c r="A81" s="1"/>
      <c r="B81" s="1"/>
      <c r="C81" s="2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</row>
    <row r="82" spans="1:27" ht="16.5" customHeight="1">
      <c r="A82" s="1"/>
      <c r="B82" s="1"/>
      <c r="C82" s="2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</row>
    <row r="83" spans="1:27" ht="16.5" customHeight="1">
      <c r="A83" s="1"/>
      <c r="B83" s="1"/>
      <c r="C83" s="2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</row>
    <row r="84" spans="1:27" ht="16.5" customHeight="1">
      <c r="A84" s="1"/>
      <c r="B84" s="1"/>
      <c r="C84" s="2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</row>
    <row r="85" spans="1:27" ht="16.5" customHeight="1">
      <c r="A85" s="1"/>
      <c r="B85" s="1"/>
      <c r="C85" s="2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</row>
    <row r="86" spans="1:27" ht="16.5" customHeight="1">
      <c r="A86" s="1"/>
      <c r="B86" s="1"/>
      <c r="C86" s="2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</row>
    <row r="87" spans="1:27" ht="16.5" customHeight="1">
      <c r="A87" s="1"/>
      <c r="B87" s="1"/>
      <c r="C87" s="2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</row>
    <row r="88" spans="1:27" ht="16.5" customHeight="1">
      <c r="A88" s="1"/>
      <c r="B88" s="1"/>
      <c r="C88" s="2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</row>
    <row r="89" spans="1:27" ht="16.5" customHeight="1">
      <c r="A89" s="1"/>
      <c r="B89" s="1"/>
      <c r="C89" s="2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</row>
    <row r="90" spans="1:27" ht="16.5" customHeight="1">
      <c r="A90" s="1"/>
      <c r="B90" s="1"/>
      <c r="C90" s="2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</row>
    <row r="91" spans="1:27" ht="16.5" customHeight="1">
      <c r="A91" s="1"/>
      <c r="B91" s="1"/>
      <c r="C91" s="2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</row>
    <row r="92" spans="1:27" ht="16.5" customHeight="1">
      <c r="A92" s="1"/>
      <c r="B92" s="1"/>
      <c r="C92" s="2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</row>
    <row r="93" spans="1:27" ht="16.5" customHeight="1">
      <c r="A93" s="1"/>
      <c r="B93" s="1"/>
      <c r="C93" s="2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</row>
    <row r="94" spans="1:27" ht="16.5" customHeight="1">
      <c r="A94" s="1"/>
      <c r="B94" s="1"/>
      <c r="C94" s="2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</row>
    <row r="95" spans="1:27" ht="16.5" customHeight="1">
      <c r="A95" s="1"/>
      <c r="B95" s="1"/>
      <c r="C95" s="2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</row>
    <row r="96" spans="1:27" ht="16.5" customHeight="1">
      <c r="A96" s="1"/>
      <c r="B96" s="1"/>
      <c r="C96" s="2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</row>
    <row r="97" spans="1:27" ht="16.5" customHeight="1">
      <c r="A97" s="1"/>
      <c r="B97" s="1"/>
      <c r="C97" s="2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</row>
    <row r="98" spans="1:27" ht="16.5" customHeight="1">
      <c r="A98" s="1"/>
      <c r="B98" s="1"/>
      <c r="C98" s="2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</row>
    <row r="99" spans="1:27" ht="16.5" customHeight="1">
      <c r="A99" s="1"/>
      <c r="B99" s="1"/>
      <c r="C99" s="2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</row>
    <row r="100" spans="1:27" ht="16.5" customHeight="1">
      <c r="A100" s="1"/>
      <c r="B100" s="1"/>
      <c r="C100" s="2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</row>
    <row r="101" spans="1:27" ht="16.5" customHeight="1">
      <c r="A101" s="1"/>
      <c r="B101" s="1"/>
      <c r="C101" s="2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</row>
    <row r="102" spans="1:27" ht="16.5" customHeight="1">
      <c r="A102" s="1"/>
      <c r="B102" s="1"/>
      <c r="C102" s="2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</row>
    <row r="103" spans="1:27" ht="16.5" customHeight="1">
      <c r="A103" s="1"/>
      <c r="B103" s="1"/>
      <c r="C103" s="2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</row>
    <row r="104" spans="1:27" ht="16.5" customHeight="1">
      <c r="A104" s="1"/>
      <c r="B104" s="1"/>
      <c r="C104" s="2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</row>
    <row r="105" spans="1:27" ht="16.5" customHeight="1">
      <c r="A105" s="1"/>
      <c r="B105" s="1"/>
      <c r="C105" s="2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</row>
    <row r="106" spans="1:27" ht="16.5" customHeight="1">
      <c r="A106" s="1"/>
      <c r="B106" s="1"/>
      <c r="C106" s="2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</row>
    <row r="107" spans="1:27" ht="16.5" customHeight="1">
      <c r="A107" s="1"/>
      <c r="B107" s="1"/>
      <c r="C107" s="2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</row>
    <row r="108" spans="1:27" ht="16.5" customHeight="1">
      <c r="A108" s="1"/>
      <c r="B108" s="1"/>
      <c r="C108" s="2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</row>
    <row r="109" spans="1:27" ht="16.5" customHeight="1">
      <c r="A109" s="1"/>
      <c r="B109" s="1"/>
      <c r="C109" s="2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</row>
    <row r="110" spans="1:27" ht="16.5" customHeight="1">
      <c r="A110" s="1"/>
      <c r="B110" s="1"/>
      <c r="C110" s="2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</row>
    <row r="111" spans="1:27" ht="16.5" customHeight="1">
      <c r="A111" s="1"/>
      <c r="B111" s="1"/>
      <c r="C111" s="2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</row>
    <row r="112" spans="1:27" ht="16.5" customHeight="1">
      <c r="A112" s="1"/>
      <c r="B112" s="1"/>
      <c r="C112" s="2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</row>
    <row r="113" spans="1:27" ht="16.5" customHeight="1">
      <c r="A113" s="1"/>
      <c r="B113" s="1"/>
      <c r="C113" s="2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</row>
    <row r="114" spans="1:27" ht="16.5" customHeight="1">
      <c r="A114" s="1"/>
      <c r="B114" s="1"/>
      <c r="C114" s="2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</row>
    <row r="115" spans="1:27" ht="16.5" customHeight="1">
      <c r="A115" s="1"/>
      <c r="B115" s="1"/>
      <c r="C115" s="2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</row>
    <row r="116" spans="1:27" ht="16.5" customHeight="1">
      <c r="A116" s="1"/>
      <c r="B116" s="1"/>
      <c r="C116" s="2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</row>
    <row r="117" spans="1:27" ht="16.5" customHeight="1">
      <c r="A117" s="1"/>
      <c r="B117" s="1"/>
      <c r="C117" s="2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</row>
    <row r="118" spans="1:27" ht="16.5" customHeight="1">
      <c r="A118" s="1"/>
      <c r="B118" s="1"/>
      <c r="C118" s="2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</row>
    <row r="119" spans="1:27" ht="16.5" customHeight="1">
      <c r="A119" s="1"/>
      <c r="B119" s="1"/>
      <c r="C119" s="2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</row>
    <row r="120" spans="1:27" ht="16.5" customHeight="1">
      <c r="A120" s="1"/>
      <c r="B120" s="1"/>
      <c r="C120" s="2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</row>
    <row r="121" spans="1:27" ht="16.5" customHeight="1">
      <c r="A121" s="1"/>
      <c r="B121" s="1"/>
      <c r="C121" s="2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</row>
    <row r="122" spans="1:27" ht="16.5" customHeight="1">
      <c r="A122" s="1"/>
      <c r="B122" s="1"/>
      <c r="C122" s="2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</row>
    <row r="123" spans="1:27" ht="16.5" customHeight="1">
      <c r="A123" s="1"/>
      <c r="B123" s="1"/>
      <c r="C123" s="2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</row>
    <row r="124" spans="1:27" ht="16.5" customHeight="1">
      <c r="A124" s="1"/>
      <c r="B124" s="1"/>
      <c r="C124" s="2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</row>
    <row r="125" spans="1:27" ht="16.5" customHeight="1">
      <c r="A125" s="1"/>
      <c r="B125" s="1"/>
      <c r="C125" s="2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</row>
    <row r="126" spans="1:27" ht="16.5" customHeight="1">
      <c r="A126" s="1"/>
      <c r="B126" s="1"/>
      <c r="C126" s="2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</row>
    <row r="127" spans="1:27" ht="16.5" customHeight="1">
      <c r="A127" s="1"/>
      <c r="B127" s="1"/>
      <c r="C127" s="2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</row>
    <row r="128" spans="1:27" ht="16.5" customHeight="1">
      <c r="A128" s="1"/>
      <c r="B128" s="1"/>
      <c r="C128" s="2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</row>
    <row r="129" spans="1:27" ht="16.5" customHeight="1">
      <c r="A129" s="1"/>
      <c r="B129" s="1"/>
      <c r="C129" s="2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</row>
    <row r="130" spans="1:27" ht="16.5" customHeight="1">
      <c r="A130" s="1"/>
      <c r="B130" s="1"/>
      <c r="C130" s="2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</row>
    <row r="131" spans="1:27" ht="16.5" customHeight="1">
      <c r="A131" s="1"/>
      <c r="B131" s="1"/>
      <c r="C131" s="2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</row>
    <row r="132" spans="1:27" ht="16.5" customHeight="1">
      <c r="A132" s="1"/>
      <c r="B132" s="1"/>
      <c r="C132" s="2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</row>
    <row r="133" spans="1:27" ht="16.5" customHeight="1">
      <c r="A133" s="1"/>
      <c r="B133" s="1"/>
      <c r="C133" s="2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</row>
    <row r="134" spans="1:27" ht="16.5" customHeight="1">
      <c r="A134" s="1"/>
      <c r="B134" s="1"/>
      <c r="C134" s="2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</row>
    <row r="135" spans="1:27" ht="16.5" customHeight="1">
      <c r="A135" s="1"/>
      <c r="B135" s="1"/>
      <c r="C135" s="2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</row>
    <row r="136" spans="1:27" ht="16.5" customHeight="1">
      <c r="A136" s="1"/>
      <c r="B136" s="1"/>
      <c r="C136" s="2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</row>
    <row r="137" spans="1:27" ht="16.5" customHeight="1">
      <c r="A137" s="1"/>
      <c r="B137" s="1"/>
      <c r="C137" s="2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</row>
    <row r="138" spans="1:27" ht="16.5" customHeight="1">
      <c r="A138" s="1"/>
      <c r="B138" s="1"/>
      <c r="C138" s="2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</row>
    <row r="139" spans="1:27" ht="16.5" customHeight="1">
      <c r="A139" s="1"/>
      <c r="B139" s="1"/>
      <c r="C139" s="2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</row>
    <row r="140" spans="1:27" ht="16.5" customHeight="1">
      <c r="A140" s="1"/>
      <c r="B140" s="1"/>
      <c r="C140" s="2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</row>
    <row r="141" spans="1:27" ht="16.5" customHeight="1">
      <c r="A141" s="1"/>
      <c r="B141" s="1"/>
      <c r="C141" s="2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</row>
    <row r="142" spans="1:27" ht="16.5" customHeight="1">
      <c r="A142" s="1"/>
      <c r="B142" s="1"/>
      <c r="C142" s="2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</row>
    <row r="143" spans="1:27" ht="16.5" customHeight="1">
      <c r="A143" s="1"/>
      <c r="B143" s="1"/>
      <c r="C143" s="2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</row>
    <row r="144" spans="1:27" ht="16.5" customHeight="1">
      <c r="A144" s="1"/>
      <c r="B144" s="1"/>
      <c r="C144" s="2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</row>
    <row r="145" spans="1:27" ht="16.5" customHeight="1">
      <c r="A145" s="1"/>
      <c r="B145" s="1"/>
      <c r="C145" s="2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</row>
    <row r="146" spans="1:27" ht="16.5" customHeight="1">
      <c r="A146" s="1"/>
      <c r="B146" s="1"/>
      <c r="C146" s="2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</row>
    <row r="147" spans="1:27" ht="16.5" customHeight="1">
      <c r="A147" s="1"/>
      <c r="B147" s="1"/>
      <c r="C147" s="2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</row>
    <row r="148" spans="1:27" ht="16.5" customHeight="1">
      <c r="A148" s="1"/>
      <c r="B148" s="1"/>
      <c r="C148" s="2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</row>
    <row r="149" spans="1:27" ht="16.5" customHeight="1">
      <c r="A149" s="1"/>
      <c r="B149" s="1"/>
      <c r="C149" s="2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</row>
    <row r="150" spans="1:27" ht="16.5" customHeight="1">
      <c r="A150" s="1"/>
      <c r="B150" s="1"/>
      <c r="C150" s="2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</row>
    <row r="151" spans="1:27" ht="16.5" customHeight="1">
      <c r="A151" s="1"/>
      <c r="B151" s="1"/>
      <c r="C151" s="2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</row>
    <row r="152" spans="1:27" ht="16.5" customHeight="1">
      <c r="A152" s="1"/>
      <c r="B152" s="1"/>
      <c r="C152" s="2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</row>
    <row r="153" spans="1:27" ht="16.5" customHeight="1">
      <c r="A153" s="1"/>
      <c r="B153" s="1"/>
      <c r="C153" s="2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</row>
    <row r="154" spans="1:27" ht="16.5" customHeight="1">
      <c r="A154" s="1"/>
      <c r="B154" s="1"/>
      <c r="C154" s="2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</row>
    <row r="155" spans="1:27" ht="16.5" customHeight="1">
      <c r="A155" s="1"/>
      <c r="B155" s="1"/>
      <c r="C155" s="2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</row>
    <row r="156" spans="1:27" ht="16.5" customHeight="1">
      <c r="A156" s="1"/>
      <c r="B156" s="1"/>
      <c r="C156" s="2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</row>
    <row r="157" spans="1:27" ht="16.5" customHeight="1">
      <c r="A157" s="1"/>
      <c r="B157" s="1"/>
      <c r="C157" s="2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</row>
    <row r="158" spans="1:27" ht="16.5" customHeight="1">
      <c r="A158" s="1"/>
      <c r="B158" s="1"/>
      <c r="C158" s="2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</row>
    <row r="159" spans="1:27" ht="16.5" customHeight="1">
      <c r="A159" s="1"/>
      <c r="B159" s="1"/>
      <c r="C159" s="2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</row>
    <row r="160" spans="1:27" ht="16.5" customHeight="1">
      <c r="A160" s="1"/>
      <c r="B160" s="1"/>
      <c r="C160" s="2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</row>
    <row r="161" spans="1:27" ht="16.5" customHeight="1">
      <c r="A161" s="1"/>
      <c r="B161" s="1"/>
      <c r="C161" s="2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</row>
    <row r="162" spans="1:27" ht="16.5" customHeight="1">
      <c r="A162" s="1"/>
      <c r="B162" s="1"/>
      <c r="C162" s="2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</row>
    <row r="163" spans="1:27" ht="16.5" customHeight="1">
      <c r="A163" s="1"/>
      <c r="B163" s="1"/>
      <c r="C163" s="2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</row>
    <row r="164" spans="1:27" ht="16.5" customHeight="1">
      <c r="A164" s="1"/>
      <c r="B164" s="1"/>
      <c r="C164" s="2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</row>
    <row r="165" spans="1:27" ht="16.5" customHeight="1">
      <c r="A165" s="1"/>
      <c r="B165" s="1"/>
      <c r="C165" s="2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</row>
    <row r="166" spans="1:27" ht="16.5" customHeight="1">
      <c r="A166" s="1"/>
      <c r="B166" s="1"/>
      <c r="C166" s="2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</row>
    <row r="167" spans="1:27" ht="16.5" customHeight="1">
      <c r="A167" s="1"/>
      <c r="B167" s="1"/>
      <c r="C167" s="2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</row>
    <row r="168" spans="1:27" ht="16.5" customHeight="1">
      <c r="A168" s="1"/>
      <c r="B168" s="1"/>
      <c r="C168" s="2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</row>
    <row r="169" spans="1:27" ht="16.5" customHeight="1">
      <c r="A169" s="1"/>
      <c r="B169" s="1"/>
      <c r="C169" s="2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</row>
    <row r="170" spans="1:27" ht="16.5" customHeight="1">
      <c r="A170" s="1"/>
      <c r="B170" s="1"/>
      <c r="C170" s="2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</row>
    <row r="171" spans="1:27" ht="16.5" customHeight="1">
      <c r="A171" s="1"/>
      <c r="B171" s="1"/>
      <c r="C171" s="2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</row>
    <row r="172" spans="1:27" ht="16.5" customHeight="1">
      <c r="A172" s="1"/>
      <c r="B172" s="1"/>
      <c r="C172" s="2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</row>
    <row r="173" spans="1:27" ht="16.5" customHeight="1">
      <c r="A173" s="1"/>
      <c r="B173" s="1"/>
      <c r="C173" s="2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</row>
    <row r="174" spans="1:27" ht="16.5" customHeight="1">
      <c r="A174" s="1"/>
      <c r="B174" s="1"/>
      <c r="C174" s="2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</row>
    <row r="175" spans="1:27" ht="16.5" customHeight="1">
      <c r="A175" s="1"/>
      <c r="B175" s="1"/>
      <c r="C175" s="2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</row>
    <row r="176" spans="1:27" ht="16.5" customHeight="1">
      <c r="A176" s="1"/>
      <c r="B176" s="1"/>
      <c r="C176" s="2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</row>
    <row r="177" spans="1:27" ht="16.5" customHeight="1">
      <c r="A177" s="1"/>
      <c r="B177" s="1"/>
      <c r="C177" s="2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</row>
    <row r="178" spans="1:27" ht="16.5" customHeight="1">
      <c r="A178" s="1"/>
      <c r="B178" s="1"/>
      <c r="C178" s="2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</row>
    <row r="179" spans="1:27" ht="16.5" customHeight="1">
      <c r="A179" s="1"/>
      <c r="B179" s="1"/>
      <c r="C179" s="2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</row>
    <row r="180" spans="1:27" ht="16.5" customHeight="1">
      <c r="A180" s="1"/>
      <c r="B180" s="1"/>
      <c r="C180" s="2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</row>
    <row r="181" spans="1:27" ht="16.5" customHeight="1">
      <c r="A181" s="1"/>
      <c r="B181" s="1"/>
      <c r="C181" s="2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</row>
    <row r="182" spans="1:27" ht="16.5" customHeight="1">
      <c r="A182" s="1"/>
      <c r="B182" s="1"/>
      <c r="C182" s="2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</row>
    <row r="183" spans="1:27" ht="16.5" customHeight="1">
      <c r="A183" s="1"/>
      <c r="B183" s="1"/>
      <c r="C183" s="2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</row>
    <row r="184" spans="1:27" ht="16.5" customHeight="1">
      <c r="A184" s="1"/>
      <c r="B184" s="1"/>
      <c r="C184" s="2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</row>
    <row r="185" spans="1:27" ht="16.5" customHeight="1">
      <c r="A185" s="1"/>
      <c r="B185" s="1"/>
      <c r="C185" s="2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</row>
    <row r="186" spans="1:27" ht="16.5" customHeight="1">
      <c r="A186" s="1"/>
      <c r="B186" s="1"/>
      <c r="C186" s="2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</row>
    <row r="187" spans="1:27" ht="16.5" customHeight="1">
      <c r="A187" s="1"/>
      <c r="B187" s="1"/>
      <c r="C187" s="2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</row>
    <row r="188" spans="1:27" ht="16.5" customHeight="1">
      <c r="A188" s="1"/>
      <c r="B188" s="1"/>
      <c r="C188" s="2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</row>
    <row r="189" spans="1:27" ht="16.5" customHeight="1">
      <c r="A189" s="1"/>
      <c r="B189" s="1"/>
      <c r="C189" s="2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</row>
    <row r="190" spans="1:27" ht="16.5" customHeight="1">
      <c r="A190" s="1"/>
      <c r="B190" s="1"/>
      <c r="C190" s="2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</row>
    <row r="191" spans="1:27" ht="16.5" customHeight="1">
      <c r="A191" s="1"/>
      <c r="B191" s="1"/>
      <c r="C191" s="2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</row>
    <row r="192" spans="1:27" ht="16.5" customHeight="1">
      <c r="A192" s="1"/>
      <c r="B192" s="1"/>
      <c r="C192" s="2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</row>
    <row r="193" spans="1:27" ht="16.5" customHeight="1">
      <c r="A193" s="1"/>
      <c r="B193" s="1"/>
      <c r="C193" s="2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</row>
    <row r="194" spans="1:27" ht="16.5" customHeight="1">
      <c r="A194" s="1"/>
      <c r="B194" s="1"/>
      <c r="C194" s="2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</row>
    <row r="195" spans="1:27" ht="16.5" customHeight="1">
      <c r="A195" s="1"/>
      <c r="B195" s="1"/>
      <c r="C195" s="2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</row>
    <row r="196" spans="1:27" ht="16.5" customHeight="1">
      <c r="A196" s="1"/>
      <c r="B196" s="1"/>
      <c r="C196" s="2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</row>
    <row r="197" spans="1:27" ht="16.5" customHeight="1">
      <c r="A197" s="1"/>
      <c r="B197" s="1"/>
      <c r="C197" s="2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</row>
    <row r="198" spans="1:27" ht="16.5" customHeight="1">
      <c r="A198" s="1"/>
      <c r="B198" s="1"/>
      <c r="C198" s="2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</row>
    <row r="199" spans="1:27" ht="16.5" customHeight="1">
      <c r="A199" s="1"/>
      <c r="B199" s="1"/>
      <c r="C199" s="2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</row>
    <row r="200" spans="1:27" ht="16.5" customHeight="1">
      <c r="A200" s="1"/>
      <c r="B200" s="1"/>
      <c r="C200" s="2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</row>
    <row r="201" spans="1:27" ht="16.5" customHeight="1">
      <c r="A201" s="1"/>
      <c r="B201" s="1"/>
      <c r="C201" s="2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</row>
    <row r="202" spans="1:27" ht="16.5" customHeight="1">
      <c r="A202" s="1"/>
      <c r="B202" s="1"/>
      <c r="C202" s="2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</row>
    <row r="203" spans="1:27" ht="16.5" customHeight="1">
      <c r="A203" s="1"/>
      <c r="B203" s="1"/>
      <c r="C203" s="2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</row>
    <row r="204" spans="1:27" ht="16.5" customHeight="1">
      <c r="A204" s="1"/>
      <c r="B204" s="1"/>
      <c r="C204" s="2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</row>
    <row r="205" spans="1:27" ht="16.5" customHeight="1">
      <c r="A205" s="1"/>
      <c r="B205" s="1"/>
      <c r="C205" s="2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</row>
    <row r="206" spans="1:27" ht="16.5" customHeight="1">
      <c r="A206" s="1"/>
      <c r="B206" s="1"/>
      <c r="C206" s="2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</row>
    <row r="207" spans="1:27" ht="16.5" customHeight="1">
      <c r="A207" s="1"/>
      <c r="B207" s="1"/>
      <c r="C207" s="2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</row>
    <row r="208" spans="1:27" ht="16.5" customHeight="1">
      <c r="A208" s="1"/>
      <c r="B208" s="1"/>
      <c r="C208" s="2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</row>
    <row r="209" spans="1:27" ht="16.5" customHeight="1">
      <c r="A209" s="1"/>
      <c r="B209" s="1"/>
      <c r="C209" s="2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</row>
    <row r="210" spans="1:27" ht="16.5" customHeight="1">
      <c r="A210" s="1"/>
      <c r="B210" s="1"/>
      <c r="C210" s="2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</row>
    <row r="211" spans="1:27" ht="16.5" customHeight="1">
      <c r="A211" s="1"/>
      <c r="B211" s="1"/>
      <c r="C211" s="2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</row>
    <row r="212" spans="1:27" ht="16.5" customHeight="1">
      <c r="A212" s="1"/>
      <c r="B212" s="1"/>
      <c r="C212" s="2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</row>
    <row r="213" spans="1:27" ht="16.5" customHeight="1">
      <c r="A213" s="1"/>
      <c r="B213" s="1"/>
      <c r="C213" s="2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</row>
    <row r="214" spans="1:27" ht="16.5" customHeight="1">
      <c r="A214" s="1"/>
      <c r="B214" s="1"/>
      <c r="C214" s="2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</row>
    <row r="215" spans="1:27" ht="16.5" customHeight="1">
      <c r="A215" s="1"/>
      <c r="B215" s="1"/>
      <c r="C215" s="2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</row>
    <row r="216" spans="1:27" ht="16.5" customHeight="1">
      <c r="A216" s="1"/>
      <c r="B216" s="1"/>
      <c r="C216" s="2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</row>
    <row r="217" spans="1:27" ht="16.5" customHeight="1">
      <c r="A217" s="1"/>
      <c r="B217" s="1"/>
      <c r="C217" s="2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</row>
    <row r="218" spans="1:27" ht="16.5" customHeight="1">
      <c r="A218" s="1"/>
      <c r="B218" s="1"/>
      <c r="C218" s="2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</row>
    <row r="219" spans="1:27" ht="16.5" customHeight="1">
      <c r="A219" s="1"/>
      <c r="B219" s="1"/>
      <c r="C219" s="2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</row>
    <row r="220" spans="1:27" ht="16.5" customHeight="1">
      <c r="A220" s="1"/>
      <c r="B220" s="1"/>
      <c r="C220" s="2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</row>
    <row r="221" spans="1:27" ht="16.5" customHeight="1">
      <c r="A221" s="1"/>
      <c r="B221" s="1"/>
      <c r="C221" s="2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</row>
    <row r="222" spans="1:27" ht="16.5" customHeight="1">
      <c r="A222" s="1"/>
      <c r="B222" s="1"/>
      <c r="C222" s="2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</row>
    <row r="223" spans="1:27" ht="16.5" customHeight="1">
      <c r="A223" s="1"/>
      <c r="B223" s="1"/>
      <c r="C223" s="2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</row>
    <row r="224" spans="1:27" ht="16.5" customHeight="1">
      <c r="A224" s="1"/>
      <c r="B224" s="1"/>
      <c r="C224" s="2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</row>
    <row r="225" spans="1:27" ht="16.5" customHeight="1">
      <c r="A225" s="1"/>
      <c r="B225" s="1"/>
      <c r="C225" s="2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</row>
    <row r="226" spans="1:27" ht="16.5" customHeight="1">
      <c r="A226" s="1"/>
      <c r="B226" s="1"/>
      <c r="C226" s="2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</row>
    <row r="227" spans="1:27" ht="16.5" customHeight="1">
      <c r="A227" s="1"/>
      <c r="B227" s="1"/>
      <c r="C227" s="2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</row>
    <row r="228" spans="1:27" ht="16.5" customHeight="1">
      <c r="A228" s="1"/>
      <c r="B228" s="1"/>
      <c r="C228" s="2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</row>
    <row r="229" spans="1:27" ht="16.5" customHeight="1">
      <c r="A229" s="1"/>
      <c r="B229" s="1"/>
      <c r="C229" s="2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</row>
    <row r="230" spans="1:27" ht="16.5" customHeight="1">
      <c r="A230" s="1"/>
      <c r="B230" s="1"/>
      <c r="C230" s="2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</row>
    <row r="231" spans="1:27" ht="16.5" customHeight="1">
      <c r="A231" s="1"/>
      <c r="B231" s="1"/>
      <c r="C231" s="2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</row>
    <row r="232" spans="1:27" ht="16.5" customHeight="1">
      <c r="A232" s="1"/>
      <c r="B232" s="1"/>
      <c r="C232" s="2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</row>
    <row r="233" spans="1:27" ht="16.5" customHeight="1">
      <c r="A233" s="1"/>
      <c r="B233" s="1"/>
      <c r="C233" s="2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</row>
    <row r="234" spans="1:27" ht="16.5" customHeight="1">
      <c r="A234" s="1"/>
      <c r="B234" s="1"/>
      <c r="C234" s="2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</row>
    <row r="235" spans="1:27" ht="16.5" customHeight="1">
      <c r="A235" s="1"/>
      <c r="B235" s="1"/>
      <c r="C235" s="2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</row>
    <row r="236" spans="1:27" ht="16.5" customHeight="1">
      <c r="A236" s="1"/>
      <c r="B236" s="1"/>
      <c r="C236" s="2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</row>
    <row r="237" spans="1:27" ht="16.5" customHeight="1">
      <c r="A237" s="1"/>
      <c r="B237" s="1"/>
      <c r="C237" s="2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</row>
    <row r="238" spans="1:27" ht="16.5" customHeight="1">
      <c r="A238" s="1"/>
      <c r="B238" s="1"/>
      <c r="C238" s="2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</row>
    <row r="239" spans="1:27" ht="16.5" customHeight="1">
      <c r="A239" s="1"/>
      <c r="B239" s="1"/>
      <c r="C239" s="2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</row>
    <row r="240" spans="1:27" ht="16.5" customHeight="1">
      <c r="A240" s="1"/>
      <c r="B240" s="1"/>
      <c r="C240" s="2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</row>
    <row r="241" spans="1:27" ht="16.5" customHeight="1">
      <c r="A241" s="1"/>
      <c r="B241" s="1"/>
      <c r="C241" s="2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</row>
    <row r="242" spans="1:27" ht="16.5" customHeight="1">
      <c r="A242" s="1"/>
      <c r="B242" s="1"/>
      <c r="C242" s="2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</row>
    <row r="243" spans="1:27" ht="16.5" customHeight="1">
      <c r="A243" s="1"/>
      <c r="B243" s="1"/>
      <c r="C243" s="2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</row>
    <row r="244" spans="1:27" ht="16.5" customHeight="1">
      <c r="A244" s="1"/>
      <c r="B244" s="1"/>
      <c r="C244" s="2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</row>
    <row r="245" spans="1:27" ht="16.5" customHeight="1">
      <c r="A245" s="1"/>
      <c r="B245" s="1"/>
      <c r="C245" s="2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</row>
    <row r="246" spans="1:27" ht="16.5" customHeight="1">
      <c r="A246" s="1"/>
      <c r="B246" s="1"/>
      <c r="C246" s="2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</row>
    <row r="247" spans="1:27" ht="16.5" customHeight="1">
      <c r="A247" s="1"/>
      <c r="B247" s="1"/>
      <c r="C247" s="2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</row>
    <row r="248" spans="1:27" ht="16.5" customHeight="1">
      <c r="A248" s="1"/>
      <c r="B248" s="1"/>
      <c r="C248" s="2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</row>
    <row r="249" spans="1:27" ht="16.5" customHeight="1">
      <c r="A249" s="1"/>
      <c r="B249" s="1"/>
      <c r="C249" s="2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</row>
    <row r="250" spans="1:27" ht="16.5" customHeight="1">
      <c r="A250" s="1"/>
      <c r="B250" s="1"/>
      <c r="C250" s="2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</row>
    <row r="251" spans="1:27" ht="16.5" customHeight="1">
      <c r="A251" s="1"/>
      <c r="B251" s="1"/>
      <c r="C251" s="2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</row>
    <row r="252" spans="1:27" ht="16.5" customHeight="1">
      <c r="A252" s="1"/>
      <c r="B252" s="1"/>
      <c r="C252" s="2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</row>
    <row r="253" spans="1:27" ht="16.5" customHeight="1">
      <c r="A253" s="1"/>
      <c r="B253" s="1"/>
      <c r="C253" s="2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</row>
    <row r="254" spans="1:27" ht="16.5" customHeight="1">
      <c r="A254" s="1"/>
      <c r="B254" s="1"/>
      <c r="C254" s="2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</row>
    <row r="255" spans="1:27" ht="16.5" customHeight="1">
      <c r="A255" s="1"/>
      <c r="B255" s="1"/>
      <c r="C255" s="2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</row>
    <row r="256" spans="1:27" ht="16.5" customHeight="1">
      <c r="A256" s="1"/>
      <c r="B256" s="1"/>
      <c r="C256" s="2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</row>
    <row r="257" spans="1:27" ht="16.5" customHeight="1">
      <c r="A257" s="1"/>
      <c r="B257" s="1"/>
      <c r="C257" s="2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</row>
    <row r="258" spans="1:27" ht="16.5" customHeight="1">
      <c r="A258" s="1"/>
      <c r="B258" s="1"/>
      <c r="C258" s="2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</row>
    <row r="259" spans="1:27" ht="16.5" customHeight="1">
      <c r="A259" s="1"/>
      <c r="B259" s="1"/>
      <c r="C259" s="2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</row>
    <row r="260" spans="1:27" ht="16.5" customHeight="1">
      <c r="A260" s="1"/>
      <c r="B260" s="1"/>
      <c r="C260" s="2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</row>
    <row r="261" spans="1:27" ht="16.5" customHeight="1">
      <c r="A261" s="1"/>
      <c r="B261" s="1"/>
      <c r="C261" s="2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</row>
    <row r="262" spans="1:27" ht="16.5" customHeight="1">
      <c r="A262" s="1"/>
      <c r="B262" s="1"/>
      <c r="C262" s="2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</row>
    <row r="263" spans="1:27" ht="16.5" customHeight="1">
      <c r="A263" s="1"/>
      <c r="B263" s="1"/>
      <c r="C263" s="2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</row>
    <row r="264" spans="1:27" ht="16.5" customHeight="1">
      <c r="A264" s="1"/>
      <c r="B264" s="1"/>
      <c r="C264" s="2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</row>
    <row r="265" spans="1:27" ht="16.5" customHeight="1">
      <c r="A265" s="1"/>
      <c r="B265" s="1"/>
      <c r="C265" s="2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</row>
    <row r="266" spans="1:27" ht="16.5" customHeight="1">
      <c r="A266" s="1"/>
      <c r="B266" s="1"/>
      <c r="C266" s="2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</row>
    <row r="267" spans="1:27" ht="16.5" customHeight="1">
      <c r="A267" s="1"/>
      <c r="B267" s="1"/>
      <c r="C267" s="2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</row>
    <row r="268" spans="1:27" ht="16.5" customHeight="1">
      <c r="A268" s="1"/>
      <c r="B268" s="1"/>
      <c r="C268" s="2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</row>
    <row r="269" spans="1:27" ht="16.5" customHeight="1">
      <c r="A269" s="1"/>
      <c r="B269" s="1"/>
      <c r="C269" s="2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</row>
    <row r="270" spans="1:27" ht="16.5" customHeight="1">
      <c r="A270" s="1"/>
      <c r="B270" s="1"/>
      <c r="C270" s="2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</row>
    <row r="271" spans="1:27" ht="16.5" customHeight="1">
      <c r="A271" s="1"/>
      <c r="B271" s="1"/>
      <c r="C271" s="2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</row>
    <row r="272" spans="1:27" ht="16.5" customHeight="1">
      <c r="A272" s="1"/>
      <c r="B272" s="1"/>
      <c r="C272" s="2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</row>
    <row r="273" spans="1:27" ht="16.5" customHeight="1">
      <c r="A273" s="1"/>
      <c r="B273" s="1"/>
      <c r="C273" s="2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</row>
    <row r="274" spans="1:27" ht="16.5" customHeight="1">
      <c r="A274" s="1"/>
      <c r="B274" s="1"/>
      <c r="C274" s="2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</row>
    <row r="275" spans="1:27" ht="16.5" customHeight="1">
      <c r="A275" s="1"/>
      <c r="B275" s="1"/>
      <c r="C275" s="2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</row>
    <row r="276" spans="1:27" ht="16.5" customHeight="1">
      <c r="A276" s="1"/>
      <c r="B276" s="1"/>
      <c r="C276" s="2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</row>
    <row r="277" spans="1:27" ht="16.5" customHeight="1">
      <c r="A277" s="1"/>
      <c r="B277" s="1"/>
      <c r="C277" s="2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</row>
    <row r="278" spans="1:27" ht="16.5" customHeight="1">
      <c r="A278" s="1"/>
      <c r="B278" s="1"/>
      <c r="C278" s="2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</row>
    <row r="279" spans="1:27" ht="16.5" customHeight="1">
      <c r="A279" s="1"/>
      <c r="B279" s="1"/>
      <c r="C279" s="2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</row>
    <row r="280" spans="1:27" ht="16.5" customHeight="1">
      <c r="A280" s="1"/>
      <c r="B280" s="1"/>
      <c r="C280" s="2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</row>
    <row r="281" spans="1:27" ht="16.5" customHeight="1">
      <c r="A281" s="1"/>
      <c r="B281" s="1"/>
      <c r="C281" s="2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</row>
    <row r="282" spans="1:27" ht="16.5" customHeight="1">
      <c r="A282" s="1"/>
      <c r="B282" s="1"/>
      <c r="C282" s="2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</row>
    <row r="283" spans="1:27" ht="16.5" customHeight="1">
      <c r="A283" s="1"/>
      <c r="B283" s="1"/>
      <c r="C283" s="2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</row>
    <row r="284" spans="1:27" ht="16.5" customHeight="1">
      <c r="A284" s="1"/>
      <c r="B284" s="1"/>
      <c r="C284" s="2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</row>
    <row r="285" spans="1:27" ht="16.5" customHeight="1">
      <c r="A285" s="1"/>
      <c r="B285" s="1"/>
      <c r="C285" s="2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</row>
    <row r="286" spans="1:27" ht="16.5" customHeight="1">
      <c r="A286" s="1"/>
      <c r="B286" s="1"/>
      <c r="C286" s="2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</row>
    <row r="287" spans="1:27" ht="16.5" customHeight="1">
      <c r="A287" s="1"/>
      <c r="B287" s="1"/>
      <c r="C287" s="2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</row>
    <row r="288" spans="1:27" ht="16.5" customHeight="1">
      <c r="A288" s="1"/>
      <c r="B288" s="1"/>
      <c r="C288" s="2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</row>
    <row r="289" spans="1:27" ht="16.5" customHeight="1">
      <c r="A289" s="1"/>
      <c r="B289" s="1"/>
      <c r="C289" s="2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</row>
    <row r="290" spans="1:27" ht="16.5" customHeight="1">
      <c r="A290" s="1"/>
      <c r="B290" s="1"/>
      <c r="C290" s="2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</row>
    <row r="291" spans="1:27" ht="16.5" customHeight="1">
      <c r="A291" s="1"/>
      <c r="B291" s="1"/>
      <c r="C291" s="2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</row>
    <row r="292" spans="1:27" ht="16.5" customHeight="1">
      <c r="A292" s="1"/>
      <c r="B292" s="1"/>
      <c r="C292" s="2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</row>
    <row r="293" spans="1:27" ht="16.5" customHeight="1">
      <c r="A293" s="1"/>
      <c r="B293" s="1"/>
      <c r="C293" s="2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</row>
    <row r="294" spans="1:27" ht="16.5" customHeight="1">
      <c r="A294" s="1"/>
      <c r="B294" s="1"/>
      <c r="C294" s="2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</row>
    <row r="295" spans="1:27" ht="16.5" customHeight="1">
      <c r="A295" s="1"/>
      <c r="B295" s="1"/>
      <c r="C295" s="2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</row>
    <row r="296" spans="1:27" ht="16.5" customHeight="1">
      <c r="A296" s="1"/>
      <c r="B296" s="1"/>
      <c r="C296" s="2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</row>
    <row r="297" spans="1:27" ht="16.5" customHeight="1">
      <c r="A297" s="1"/>
      <c r="B297" s="1"/>
      <c r="C297" s="2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</row>
    <row r="298" spans="1:27" ht="16.5" customHeight="1">
      <c r="A298" s="1"/>
      <c r="B298" s="1"/>
      <c r="C298" s="2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</row>
    <row r="299" spans="1:27" ht="16.5" customHeight="1">
      <c r="A299" s="1"/>
      <c r="B299" s="1"/>
      <c r="C299" s="2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</row>
    <row r="300" spans="1:27" ht="16.5" customHeight="1">
      <c r="A300" s="1"/>
      <c r="B300" s="1"/>
      <c r="C300" s="2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</row>
    <row r="301" spans="1:27" ht="16.5" customHeight="1">
      <c r="A301" s="1"/>
      <c r="B301" s="1"/>
      <c r="C301" s="2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</row>
    <row r="302" spans="1:27" ht="16.5" customHeight="1">
      <c r="A302" s="1"/>
      <c r="B302" s="1"/>
      <c r="C302" s="2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</row>
    <row r="303" spans="1:27" ht="16.5" customHeight="1">
      <c r="A303" s="1"/>
      <c r="B303" s="1"/>
      <c r="C303" s="2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</row>
    <row r="304" spans="1:27" ht="16.5" customHeight="1">
      <c r="A304" s="1"/>
      <c r="B304" s="1"/>
      <c r="C304" s="2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</row>
    <row r="305" spans="1:27" ht="16.5" customHeight="1">
      <c r="A305" s="1"/>
      <c r="B305" s="1"/>
      <c r="C305" s="2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</row>
    <row r="306" spans="1:27" ht="16.5" customHeight="1">
      <c r="A306" s="1"/>
      <c r="B306" s="1"/>
      <c r="C306" s="2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</row>
    <row r="307" spans="1:27" ht="16.5" customHeight="1">
      <c r="A307" s="1"/>
      <c r="B307" s="1"/>
      <c r="C307" s="2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</row>
    <row r="308" spans="1:27" ht="16.5" customHeight="1">
      <c r="A308" s="1"/>
      <c r="B308" s="1"/>
      <c r="C308" s="2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</row>
    <row r="309" spans="1:27" ht="16.5" customHeight="1">
      <c r="A309" s="1"/>
      <c r="B309" s="1"/>
      <c r="C309" s="2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</row>
    <row r="310" spans="1:27" ht="16.5" customHeight="1">
      <c r="A310" s="1"/>
      <c r="B310" s="1"/>
      <c r="C310" s="2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</row>
    <row r="311" spans="1:27" ht="16.5" customHeight="1">
      <c r="A311" s="1"/>
      <c r="B311" s="1"/>
      <c r="C311" s="2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</row>
    <row r="312" spans="1:27" ht="16.5" customHeight="1">
      <c r="A312" s="1"/>
      <c r="B312" s="1"/>
      <c r="C312" s="2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</row>
    <row r="313" spans="1:27" ht="16.5" customHeight="1">
      <c r="A313" s="1"/>
      <c r="B313" s="1"/>
      <c r="C313" s="2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</row>
    <row r="314" spans="1:27" ht="16.5" customHeight="1">
      <c r="A314" s="1"/>
      <c r="B314" s="1"/>
      <c r="C314" s="2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</row>
    <row r="315" spans="1:27" ht="16.5" customHeight="1">
      <c r="A315" s="1"/>
      <c r="B315" s="1"/>
      <c r="C315" s="2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</row>
    <row r="316" spans="1:27" ht="16.5" customHeight="1">
      <c r="A316" s="1"/>
      <c r="B316" s="1"/>
      <c r="C316" s="2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</row>
    <row r="317" spans="1:27" ht="16.5" customHeight="1">
      <c r="A317" s="1"/>
      <c r="B317" s="1"/>
      <c r="C317" s="2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</row>
    <row r="318" spans="1:27" ht="16.5" customHeight="1">
      <c r="A318" s="1"/>
      <c r="B318" s="1"/>
      <c r="C318" s="2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</row>
    <row r="319" spans="1:27" ht="16.5" customHeight="1">
      <c r="A319" s="1"/>
      <c r="B319" s="1"/>
      <c r="C319" s="2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</row>
    <row r="320" spans="1:27" ht="16.5" customHeight="1">
      <c r="A320" s="1"/>
      <c r="B320" s="1"/>
      <c r="C320" s="2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</row>
    <row r="321" spans="1:27" ht="16.5" customHeight="1">
      <c r="A321" s="1"/>
      <c r="B321" s="1"/>
      <c r="C321" s="2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</row>
    <row r="322" spans="1:27" ht="16.5" customHeight="1">
      <c r="A322" s="1"/>
      <c r="B322" s="1"/>
      <c r="C322" s="2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</row>
    <row r="323" spans="1:27" ht="16.5" customHeight="1">
      <c r="A323" s="1"/>
      <c r="B323" s="1"/>
      <c r="C323" s="2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</row>
    <row r="324" spans="1:27" ht="16.5" customHeight="1">
      <c r="A324" s="1"/>
      <c r="B324" s="1"/>
      <c r="C324" s="2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</row>
    <row r="325" spans="1:27" ht="16.5" customHeight="1">
      <c r="A325" s="1"/>
      <c r="B325" s="1"/>
      <c r="C325" s="2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</row>
    <row r="326" spans="1:27" ht="16.5" customHeight="1">
      <c r="A326" s="1"/>
      <c r="B326" s="1"/>
      <c r="C326" s="2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</row>
    <row r="327" spans="1:27" ht="16.5" customHeight="1">
      <c r="A327" s="1"/>
      <c r="B327" s="1"/>
      <c r="C327" s="2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</row>
    <row r="328" spans="1:27" ht="16.5" customHeight="1">
      <c r="A328" s="1"/>
      <c r="B328" s="1"/>
      <c r="C328" s="2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</row>
    <row r="329" spans="1:27" ht="16.5" customHeight="1">
      <c r="A329" s="1"/>
      <c r="B329" s="1"/>
      <c r="C329" s="2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</row>
    <row r="330" spans="1:27" ht="16.5" customHeight="1">
      <c r="A330" s="1"/>
      <c r="B330" s="1"/>
      <c r="C330" s="2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</row>
    <row r="331" spans="1:27" ht="16.5" customHeight="1">
      <c r="A331" s="1"/>
      <c r="B331" s="1"/>
      <c r="C331" s="2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</row>
    <row r="332" spans="1:27" ht="16.5" customHeight="1">
      <c r="A332" s="1"/>
      <c r="B332" s="1"/>
      <c r="C332" s="2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</row>
    <row r="333" spans="1:27" ht="16.5" customHeight="1">
      <c r="A333" s="1"/>
      <c r="B333" s="1"/>
      <c r="C333" s="2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</row>
    <row r="334" spans="1:27" ht="16.5" customHeight="1">
      <c r="A334" s="1"/>
      <c r="B334" s="1"/>
      <c r="C334" s="2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</row>
    <row r="335" spans="1:27" ht="16.5" customHeight="1">
      <c r="A335" s="1"/>
      <c r="B335" s="1"/>
      <c r="C335" s="2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</row>
    <row r="336" spans="1:27" ht="16.5" customHeight="1">
      <c r="A336" s="1"/>
      <c r="B336" s="1"/>
      <c r="C336" s="2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</row>
    <row r="337" spans="1:27" ht="16.5" customHeight="1">
      <c r="A337" s="1"/>
      <c r="B337" s="1"/>
      <c r="C337" s="2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</row>
    <row r="338" spans="1:27" ht="16.5" customHeight="1">
      <c r="A338" s="1"/>
      <c r="B338" s="1"/>
      <c r="C338" s="2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</row>
    <row r="339" spans="1:27" ht="16.5" customHeight="1">
      <c r="A339" s="1"/>
      <c r="B339" s="1"/>
      <c r="C339" s="2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</row>
    <row r="340" spans="1:27" ht="16.5" customHeight="1">
      <c r="A340" s="1"/>
      <c r="B340" s="1"/>
      <c r="C340" s="2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</row>
    <row r="341" spans="1:27" ht="16.5" customHeight="1">
      <c r="A341" s="1"/>
      <c r="B341" s="1"/>
      <c r="C341" s="2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</row>
    <row r="342" spans="1:27" ht="16.5" customHeight="1">
      <c r="A342" s="1"/>
      <c r="B342" s="1"/>
      <c r="C342" s="2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</row>
    <row r="343" spans="1:27" ht="16.5" customHeight="1">
      <c r="A343" s="1"/>
      <c r="B343" s="1"/>
      <c r="C343" s="2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</row>
    <row r="344" spans="1:27" ht="16.5" customHeight="1">
      <c r="A344" s="1"/>
      <c r="B344" s="1"/>
      <c r="C344" s="2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</row>
    <row r="345" spans="1:27" ht="16.5" customHeight="1">
      <c r="A345" s="1"/>
      <c r="B345" s="1"/>
      <c r="C345" s="2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</row>
    <row r="346" spans="1:27" ht="16.5" customHeight="1">
      <c r="A346" s="1"/>
      <c r="B346" s="1"/>
      <c r="C346" s="2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</row>
    <row r="347" spans="1:27" ht="16.5" customHeight="1">
      <c r="A347" s="1"/>
      <c r="B347" s="1"/>
      <c r="C347" s="2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</row>
    <row r="348" spans="1:27" ht="16.5" customHeight="1">
      <c r="A348" s="1"/>
      <c r="B348" s="1"/>
      <c r="C348" s="2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</row>
    <row r="349" spans="1:27" ht="16.5" customHeight="1">
      <c r="A349" s="1"/>
      <c r="B349" s="1"/>
      <c r="C349" s="2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</row>
    <row r="350" spans="1:27" ht="16.5" customHeight="1">
      <c r="A350" s="1"/>
      <c r="B350" s="1"/>
      <c r="C350" s="2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</row>
    <row r="351" spans="1:27" ht="16.5" customHeight="1">
      <c r="A351" s="1"/>
      <c r="B351" s="1"/>
      <c r="C351" s="2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</row>
    <row r="352" spans="1:27" ht="16.5" customHeight="1">
      <c r="A352" s="1"/>
      <c r="B352" s="1"/>
      <c r="C352" s="2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</row>
    <row r="353" spans="1:27" ht="16.5" customHeight="1">
      <c r="A353" s="1"/>
      <c r="B353" s="1"/>
      <c r="C353" s="2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</row>
    <row r="354" spans="1:27" ht="16.5" customHeight="1">
      <c r="A354" s="1"/>
      <c r="B354" s="1"/>
      <c r="C354" s="2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</row>
    <row r="355" spans="1:27" ht="16.5" customHeight="1">
      <c r="A355" s="1"/>
      <c r="B355" s="1"/>
      <c r="C355" s="2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</row>
    <row r="356" spans="1:27" ht="16.5" customHeight="1">
      <c r="A356" s="1"/>
      <c r="B356" s="1"/>
      <c r="C356" s="2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</row>
    <row r="357" spans="1:27" ht="16.5" customHeight="1">
      <c r="A357" s="1"/>
      <c r="B357" s="1"/>
      <c r="C357" s="2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</row>
    <row r="358" spans="1:27" ht="16.5" customHeight="1">
      <c r="A358" s="1"/>
      <c r="B358" s="1"/>
      <c r="C358" s="2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</row>
    <row r="359" spans="1:27" ht="16.5" customHeight="1">
      <c r="A359" s="1"/>
      <c r="B359" s="1"/>
      <c r="C359" s="2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</row>
    <row r="360" spans="1:27" ht="16.5" customHeight="1">
      <c r="A360" s="1"/>
      <c r="B360" s="1"/>
      <c r="C360" s="2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</row>
    <row r="361" spans="1:27" ht="16.5" customHeight="1">
      <c r="A361" s="1"/>
      <c r="B361" s="1"/>
      <c r="C361" s="2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</row>
    <row r="362" spans="1:27" ht="16.5" customHeight="1">
      <c r="A362" s="1"/>
      <c r="B362" s="1"/>
      <c r="C362" s="2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</row>
    <row r="363" spans="1:27" ht="16.5" customHeight="1">
      <c r="A363" s="1"/>
      <c r="B363" s="1"/>
      <c r="C363" s="2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</row>
    <row r="364" spans="1:27" ht="16.5" customHeight="1">
      <c r="A364" s="1"/>
      <c r="B364" s="1"/>
      <c r="C364" s="2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</row>
    <row r="365" spans="1:27" ht="16.5" customHeight="1">
      <c r="A365" s="1"/>
      <c r="B365" s="1"/>
      <c r="C365" s="2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</row>
    <row r="366" spans="1:27" ht="16.5" customHeight="1">
      <c r="A366" s="1"/>
      <c r="B366" s="1"/>
      <c r="C366" s="2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</row>
    <row r="367" spans="1:27" ht="16.5" customHeight="1">
      <c r="A367" s="1"/>
      <c r="B367" s="1"/>
      <c r="C367" s="2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</row>
    <row r="368" spans="1:27" ht="16.5" customHeight="1">
      <c r="A368" s="1"/>
      <c r="B368" s="1"/>
      <c r="C368" s="2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</row>
    <row r="369" spans="1:27" ht="16.5" customHeight="1">
      <c r="A369" s="1"/>
      <c r="B369" s="1"/>
      <c r="C369" s="2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</row>
    <row r="370" spans="1:27" ht="16.5" customHeight="1">
      <c r="A370" s="1"/>
      <c r="B370" s="1"/>
      <c r="C370" s="2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</row>
    <row r="371" spans="1:27" ht="16.5" customHeight="1">
      <c r="A371" s="1"/>
      <c r="B371" s="1"/>
      <c r="C371" s="2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</row>
    <row r="372" spans="1:27" ht="16.5" customHeight="1">
      <c r="A372" s="1"/>
      <c r="B372" s="1"/>
      <c r="C372" s="2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</row>
    <row r="373" spans="1:27" ht="16.5" customHeight="1">
      <c r="A373" s="1"/>
      <c r="B373" s="1"/>
      <c r="C373" s="2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</row>
    <row r="374" spans="1:27" ht="16.5" customHeight="1">
      <c r="A374" s="1"/>
      <c r="B374" s="1"/>
      <c r="C374" s="2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</row>
    <row r="375" spans="1:27" ht="16.5" customHeight="1">
      <c r="A375" s="1"/>
      <c r="B375" s="1"/>
      <c r="C375" s="2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</row>
    <row r="376" spans="1:27" ht="16.5" customHeight="1">
      <c r="A376" s="1"/>
      <c r="B376" s="1"/>
      <c r="C376" s="2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</row>
    <row r="377" spans="1:27" ht="16.5" customHeight="1">
      <c r="A377" s="1"/>
      <c r="B377" s="1"/>
      <c r="C377" s="2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</row>
    <row r="378" spans="1:27" ht="16.5" customHeight="1">
      <c r="A378" s="1"/>
      <c r="B378" s="1"/>
      <c r="C378" s="2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</row>
    <row r="379" spans="1:27" ht="16.5" customHeight="1">
      <c r="A379" s="1"/>
      <c r="B379" s="1"/>
      <c r="C379" s="2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</row>
    <row r="380" spans="1:27" ht="16.5" customHeight="1">
      <c r="A380" s="1"/>
      <c r="B380" s="1"/>
      <c r="C380" s="2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</row>
    <row r="381" spans="1:27" ht="16.5" customHeight="1">
      <c r="A381" s="1"/>
      <c r="B381" s="1"/>
      <c r="C381" s="2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</row>
    <row r="382" spans="1:27" ht="16.5" customHeight="1">
      <c r="A382" s="1"/>
      <c r="B382" s="1"/>
      <c r="C382" s="2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</row>
    <row r="383" spans="1:27" ht="16.5" customHeight="1">
      <c r="A383" s="1"/>
      <c r="B383" s="1"/>
      <c r="C383" s="2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</row>
    <row r="384" spans="1:27" ht="16.5" customHeight="1">
      <c r="A384" s="1"/>
      <c r="B384" s="1"/>
      <c r="C384" s="2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</row>
    <row r="385" spans="1:27" ht="16.5" customHeight="1">
      <c r="A385" s="1"/>
      <c r="B385" s="1"/>
      <c r="C385" s="2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</row>
    <row r="386" spans="1:27" ht="16.5" customHeight="1">
      <c r="A386" s="1"/>
      <c r="B386" s="1"/>
      <c r="C386" s="2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</row>
    <row r="387" spans="1:27" ht="16.5" customHeight="1">
      <c r="A387" s="1"/>
      <c r="B387" s="1"/>
      <c r="C387" s="2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</row>
    <row r="388" spans="1:27" ht="16.5" customHeight="1">
      <c r="A388" s="1"/>
      <c r="B388" s="1"/>
      <c r="C388" s="2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</row>
    <row r="389" spans="1:27" ht="16.5" customHeight="1">
      <c r="A389" s="1"/>
      <c r="B389" s="1"/>
      <c r="C389" s="2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</row>
    <row r="390" spans="1:27" ht="16.5" customHeight="1">
      <c r="A390" s="1"/>
      <c r="B390" s="1"/>
      <c r="C390" s="2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</row>
    <row r="391" spans="1:27" ht="16.5" customHeight="1">
      <c r="A391" s="1"/>
      <c r="B391" s="1"/>
      <c r="C391" s="2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</row>
    <row r="392" spans="1:27" ht="16.5" customHeight="1">
      <c r="A392" s="1"/>
      <c r="B392" s="1"/>
      <c r="C392" s="2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</row>
    <row r="393" spans="1:27" ht="16.5" customHeight="1">
      <c r="A393" s="1"/>
      <c r="B393" s="1"/>
      <c r="C393" s="2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</row>
    <row r="394" spans="1:27" ht="16.5" customHeight="1">
      <c r="A394" s="1"/>
      <c r="B394" s="1"/>
      <c r="C394" s="2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</row>
    <row r="395" spans="1:27" ht="16.5" customHeight="1">
      <c r="A395" s="1"/>
      <c r="B395" s="1"/>
      <c r="C395" s="2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</row>
    <row r="396" spans="1:27" ht="16.5" customHeight="1">
      <c r="A396" s="1"/>
      <c r="B396" s="1"/>
      <c r="C396" s="2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</row>
    <row r="397" spans="1:27" ht="16.5" customHeight="1">
      <c r="A397" s="1"/>
      <c r="B397" s="1"/>
      <c r="C397" s="2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</row>
    <row r="398" spans="1:27" ht="16.5" customHeight="1">
      <c r="A398" s="1"/>
      <c r="B398" s="1"/>
      <c r="C398" s="2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</row>
    <row r="399" spans="1:27" ht="16.5" customHeight="1">
      <c r="A399" s="1"/>
      <c r="B399" s="1"/>
      <c r="C399" s="2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</row>
    <row r="400" spans="1:27" ht="16.5" customHeight="1">
      <c r="A400" s="1"/>
      <c r="B400" s="1"/>
      <c r="C400" s="2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</row>
    <row r="401" spans="1:27" ht="16.5" customHeight="1">
      <c r="A401" s="1"/>
      <c r="B401" s="1"/>
      <c r="C401" s="2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</row>
    <row r="402" spans="1:27" ht="16.5" customHeight="1">
      <c r="A402" s="1"/>
      <c r="B402" s="1"/>
      <c r="C402" s="2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</row>
    <row r="403" spans="1:27" ht="16.5" customHeight="1">
      <c r="A403" s="1"/>
      <c r="B403" s="1"/>
      <c r="C403" s="2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</row>
    <row r="404" spans="1:27" ht="16.5" customHeight="1">
      <c r="A404" s="1"/>
      <c r="B404" s="1"/>
      <c r="C404" s="2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</row>
    <row r="405" spans="1:27" ht="16.5" customHeight="1">
      <c r="A405" s="1"/>
      <c r="B405" s="1"/>
      <c r="C405" s="2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</row>
    <row r="406" spans="1:27" ht="16.5" customHeight="1">
      <c r="A406" s="1"/>
      <c r="B406" s="1"/>
      <c r="C406" s="2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</row>
    <row r="407" spans="1:27" ht="16.5" customHeight="1">
      <c r="A407" s="1"/>
      <c r="B407" s="1"/>
      <c r="C407" s="2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</row>
    <row r="408" spans="1:27" ht="16.5" customHeight="1">
      <c r="A408" s="1"/>
      <c r="B408" s="1"/>
      <c r="C408" s="2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</row>
    <row r="409" spans="1:27" ht="16.5" customHeight="1">
      <c r="A409" s="1"/>
      <c r="B409" s="1"/>
      <c r="C409" s="2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</row>
    <row r="410" spans="1:27" ht="16.5" customHeight="1">
      <c r="A410" s="1"/>
      <c r="B410" s="1"/>
      <c r="C410" s="2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</row>
    <row r="411" spans="1:27" ht="16.5" customHeight="1">
      <c r="A411" s="1"/>
      <c r="B411" s="1"/>
      <c r="C411" s="2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</row>
    <row r="412" spans="1:27" ht="16.5" customHeight="1">
      <c r="A412" s="1"/>
      <c r="B412" s="1"/>
      <c r="C412" s="2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</row>
    <row r="413" spans="1:27" ht="16.5" customHeight="1">
      <c r="A413" s="1"/>
      <c r="B413" s="1"/>
      <c r="C413" s="2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</row>
    <row r="414" spans="1:27" ht="16.5" customHeight="1">
      <c r="A414" s="1"/>
      <c r="B414" s="1"/>
      <c r="C414" s="2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</row>
    <row r="415" spans="1:27" ht="16.5" customHeight="1">
      <c r="A415" s="1"/>
      <c r="B415" s="1"/>
      <c r="C415" s="2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</row>
    <row r="416" spans="1:27" ht="16.5" customHeight="1">
      <c r="A416" s="1"/>
      <c r="B416" s="1"/>
      <c r="C416" s="2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</row>
    <row r="417" spans="1:27" ht="16.5" customHeight="1">
      <c r="A417" s="1"/>
      <c r="B417" s="1"/>
      <c r="C417" s="2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</row>
    <row r="418" spans="1:27" ht="16.5" customHeight="1">
      <c r="A418" s="1"/>
      <c r="B418" s="1"/>
      <c r="C418" s="2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</row>
    <row r="419" spans="1:27" ht="16.5" customHeight="1">
      <c r="A419" s="1"/>
      <c r="B419" s="1"/>
      <c r="C419" s="2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</row>
    <row r="420" spans="1:27" ht="16.5" customHeight="1">
      <c r="A420" s="1"/>
      <c r="B420" s="1"/>
      <c r="C420" s="2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</row>
    <row r="421" spans="1:27" ht="16.5" customHeight="1">
      <c r="A421" s="1"/>
      <c r="B421" s="1"/>
      <c r="C421" s="2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</row>
    <row r="422" spans="1:27" ht="16.5" customHeight="1">
      <c r="A422" s="1"/>
      <c r="B422" s="1"/>
      <c r="C422" s="2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</row>
    <row r="423" spans="1:27" ht="16.5" customHeight="1">
      <c r="A423" s="1"/>
      <c r="B423" s="1"/>
      <c r="C423" s="2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</row>
    <row r="424" spans="1:27" ht="16.5" customHeight="1">
      <c r="A424" s="1"/>
      <c r="B424" s="1"/>
      <c r="C424" s="2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</row>
    <row r="425" spans="1:27" ht="16.5" customHeight="1">
      <c r="A425" s="1"/>
      <c r="B425" s="1"/>
      <c r="C425" s="2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</row>
    <row r="426" spans="1:27" ht="16.5" customHeight="1">
      <c r="A426" s="1"/>
      <c r="B426" s="1"/>
      <c r="C426" s="2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</row>
    <row r="427" spans="1:27" ht="16.5" customHeight="1">
      <c r="A427" s="1"/>
      <c r="B427" s="1"/>
      <c r="C427" s="2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</row>
    <row r="428" spans="1:27" ht="16.5" customHeight="1">
      <c r="A428" s="1"/>
      <c r="B428" s="1"/>
      <c r="C428" s="2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</row>
    <row r="429" spans="1:27" ht="16.5" customHeight="1">
      <c r="A429" s="1"/>
      <c r="B429" s="1"/>
      <c r="C429" s="2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</row>
    <row r="430" spans="1:27" ht="16.5" customHeight="1">
      <c r="A430" s="1"/>
      <c r="B430" s="1"/>
      <c r="C430" s="2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</row>
    <row r="431" spans="1:27" ht="16.5" customHeight="1">
      <c r="A431" s="1"/>
      <c r="B431" s="1"/>
      <c r="C431" s="2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</row>
    <row r="432" spans="1:27" ht="16.5" customHeight="1">
      <c r="A432" s="1"/>
      <c r="B432" s="1"/>
      <c r="C432" s="2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</row>
    <row r="433" spans="1:27" ht="16.5" customHeight="1">
      <c r="A433" s="1"/>
      <c r="B433" s="1"/>
      <c r="C433" s="2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</row>
    <row r="434" spans="1:27" ht="16.5" customHeight="1">
      <c r="A434" s="1"/>
      <c r="B434" s="1"/>
      <c r="C434" s="2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</row>
    <row r="435" spans="1:27" ht="16.5" customHeight="1">
      <c r="A435" s="1"/>
      <c r="B435" s="1"/>
      <c r="C435" s="2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</row>
    <row r="436" spans="1:27" ht="16.5" customHeight="1">
      <c r="A436" s="1"/>
      <c r="B436" s="1"/>
      <c r="C436" s="2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</row>
    <row r="437" spans="1:27" ht="16.5" customHeight="1">
      <c r="A437" s="1"/>
      <c r="B437" s="1"/>
      <c r="C437" s="2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</row>
    <row r="438" spans="1:27" ht="16.5" customHeight="1">
      <c r="A438" s="1"/>
      <c r="B438" s="1"/>
      <c r="C438" s="2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</row>
    <row r="439" spans="1:27" ht="16.5" customHeight="1">
      <c r="A439" s="1"/>
      <c r="B439" s="1"/>
      <c r="C439" s="2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</row>
    <row r="440" spans="1:27" ht="16.5" customHeight="1">
      <c r="A440" s="1"/>
      <c r="B440" s="1"/>
      <c r="C440" s="2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</row>
    <row r="441" spans="1:27" ht="16.5" customHeight="1">
      <c r="A441" s="1"/>
      <c r="B441" s="1"/>
      <c r="C441" s="2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</row>
    <row r="442" spans="1:27" ht="16.5" customHeight="1">
      <c r="A442" s="1"/>
      <c r="B442" s="1"/>
      <c r="C442" s="2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</row>
    <row r="443" spans="1:27" ht="16.5" customHeight="1">
      <c r="A443" s="1"/>
      <c r="B443" s="1"/>
      <c r="C443" s="2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</row>
    <row r="444" spans="1:27" ht="16.5" customHeight="1">
      <c r="A444" s="1"/>
      <c r="B444" s="1"/>
      <c r="C444" s="2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</row>
    <row r="445" spans="1:27" ht="16.5" customHeight="1">
      <c r="A445" s="1"/>
      <c r="B445" s="1"/>
      <c r="C445" s="2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</row>
    <row r="446" spans="1:27" ht="16.5" customHeight="1">
      <c r="A446" s="1"/>
      <c r="B446" s="1"/>
      <c r="C446" s="2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</row>
    <row r="447" spans="1:27" ht="16.5" customHeight="1">
      <c r="A447" s="1"/>
      <c r="B447" s="1"/>
      <c r="C447" s="2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</row>
    <row r="448" spans="1:27" ht="16.5" customHeight="1">
      <c r="A448" s="1"/>
      <c r="B448" s="1"/>
      <c r="C448" s="2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</row>
    <row r="449" spans="1:27" ht="16.5" customHeight="1">
      <c r="A449" s="1"/>
      <c r="B449" s="1"/>
      <c r="C449" s="2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</row>
    <row r="450" spans="1:27" ht="16.5" customHeight="1">
      <c r="A450" s="1"/>
      <c r="B450" s="1"/>
      <c r="C450" s="2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</row>
    <row r="451" spans="1:27" ht="16.5" customHeight="1">
      <c r="A451" s="1"/>
      <c r="B451" s="1"/>
      <c r="C451" s="2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</row>
    <row r="452" spans="1:27" ht="16.5" customHeight="1">
      <c r="A452" s="1"/>
      <c r="B452" s="1"/>
      <c r="C452" s="2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</row>
    <row r="453" spans="1:27" ht="16.5" customHeight="1">
      <c r="A453" s="1"/>
      <c r="B453" s="1"/>
      <c r="C453" s="2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</row>
    <row r="454" spans="1:27" ht="16.5" customHeight="1">
      <c r="A454" s="1"/>
      <c r="B454" s="1"/>
      <c r="C454" s="2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</row>
    <row r="455" spans="1:27" ht="16.5" customHeight="1">
      <c r="A455" s="1"/>
      <c r="B455" s="1"/>
      <c r="C455" s="2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</row>
    <row r="456" spans="1:27" ht="16.5" customHeight="1">
      <c r="A456" s="1"/>
      <c r="B456" s="1"/>
      <c r="C456" s="2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</row>
    <row r="457" spans="1:27" ht="16.5" customHeight="1">
      <c r="A457" s="1"/>
      <c r="B457" s="1"/>
      <c r="C457" s="2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</row>
    <row r="458" spans="1:27" ht="16.5" customHeight="1">
      <c r="A458" s="1"/>
      <c r="B458" s="1"/>
      <c r="C458" s="2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</row>
    <row r="459" spans="1:27" ht="16.5" customHeight="1">
      <c r="A459" s="1"/>
      <c r="B459" s="1"/>
      <c r="C459" s="2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</row>
    <row r="460" spans="1:27" ht="16.5" customHeight="1">
      <c r="A460" s="1"/>
      <c r="B460" s="1"/>
      <c r="C460" s="2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</row>
    <row r="461" spans="1:27" ht="16.5" customHeight="1">
      <c r="A461" s="1"/>
      <c r="B461" s="1"/>
      <c r="C461" s="2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</row>
    <row r="462" spans="1:27" ht="16.5" customHeight="1">
      <c r="A462" s="1"/>
      <c r="B462" s="1"/>
      <c r="C462" s="2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</row>
    <row r="463" spans="1:27" ht="16.5" customHeight="1">
      <c r="A463" s="1"/>
      <c r="B463" s="1"/>
      <c r="C463" s="2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</row>
    <row r="464" spans="1:27" ht="16.5" customHeight="1">
      <c r="A464" s="1"/>
      <c r="B464" s="1"/>
      <c r="C464" s="2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</row>
    <row r="465" spans="1:27" ht="16.5" customHeight="1">
      <c r="A465" s="1"/>
      <c r="B465" s="1"/>
      <c r="C465" s="2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</row>
    <row r="466" spans="1:27" ht="16.5" customHeight="1">
      <c r="A466" s="1"/>
      <c r="B466" s="1"/>
      <c r="C466" s="2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</row>
    <row r="467" spans="1:27" ht="16.5" customHeight="1">
      <c r="A467" s="1"/>
      <c r="B467" s="1"/>
      <c r="C467" s="2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</row>
    <row r="468" spans="1:27" ht="16.5" customHeight="1">
      <c r="A468" s="1"/>
      <c r="B468" s="1"/>
      <c r="C468" s="2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</row>
    <row r="469" spans="1:27" ht="16.5" customHeight="1">
      <c r="A469" s="1"/>
      <c r="B469" s="1"/>
      <c r="C469" s="2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</row>
    <row r="470" spans="1:27" ht="16.5" customHeight="1">
      <c r="A470" s="1"/>
      <c r="B470" s="1"/>
      <c r="C470" s="2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</row>
    <row r="471" spans="1:27" ht="16.5" customHeight="1">
      <c r="A471" s="1"/>
      <c r="B471" s="1"/>
      <c r="C471" s="2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</row>
    <row r="472" spans="1:27" ht="16.5" customHeight="1">
      <c r="A472" s="1"/>
      <c r="B472" s="1"/>
      <c r="C472" s="2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</row>
    <row r="473" spans="1:27" ht="16.5" customHeight="1">
      <c r="A473" s="1"/>
      <c r="B473" s="1"/>
      <c r="C473" s="2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</row>
    <row r="474" spans="1:27" ht="16.5" customHeight="1">
      <c r="A474" s="1"/>
      <c r="B474" s="1"/>
      <c r="C474" s="2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</row>
    <row r="475" spans="1:27" ht="16.5" customHeight="1">
      <c r="A475" s="1"/>
      <c r="B475" s="1"/>
      <c r="C475" s="2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</row>
    <row r="476" spans="1:27" ht="16.5" customHeight="1">
      <c r="A476" s="1"/>
      <c r="B476" s="1"/>
      <c r="C476" s="2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</row>
    <row r="477" spans="1:27" ht="16.5" customHeight="1">
      <c r="A477" s="1"/>
      <c r="B477" s="1"/>
      <c r="C477" s="2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</row>
    <row r="478" spans="1:27" ht="16.5" customHeight="1">
      <c r="A478" s="1"/>
      <c r="B478" s="1"/>
      <c r="C478" s="2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</row>
    <row r="479" spans="1:27" ht="16.5" customHeight="1">
      <c r="A479" s="1"/>
      <c r="B479" s="1"/>
      <c r="C479" s="2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</row>
    <row r="480" spans="1:27" ht="16.5" customHeight="1">
      <c r="A480" s="1"/>
      <c r="B480" s="1"/>
      <c r="C480" s="2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</row>
    <row r="481" spans="1:27" ht="16.5" customHeight="1">
      <c r="A481" s="1"/>
      <c r="B481" s="1"/>
      <c r="C481" s="2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</row>
    <row r="482" spans="1:27" ht="16.5" customHeight="1">
      <c r="A482" s="1"/>
      <c r="B482" s="1"/>
      <c r="C482" s="2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</row>
    <row r="483" spans="1:27" ht="16.5" customHeight="1">
      <c r="A483" s="1"/>
      <c r="B483" s="1"/>
      <c r="C483" s="2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</row>
    <row r="484" spans="1:27" ht="16.5" customHeight="1">
      <c r="A484" s="1"/>
      <c r="B484" s="1"/>
      <c r="C484" s="2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</row>
    <row r="485" spans="1:27" ht="16.5" customHeight="1">
      <c r="A485" s="1"/>
      <c r="B485" s="1"/>
      <c r="C485" s="2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</row>
    <row r="486" spans="1:27" ht="16.5" customHeight="1">
      <c r="A486" s="1"/>
      <c r="B486" s="1"/>
      <c r="C486" s="2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</row>
    <row r="487" spans="1:27" ht="16.5" customHeight="1">
      <c r="A487" s="1"/>
      <c r="B487" s="1"/>
      <c r="C487" s="2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</row>
    <row r="488" spans="1:27" ht="16.5" customHeight="1">
      <c r="A488" s="1"/>
      <c r="B488" s="1"/>
      <c r="C488" s="2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</row>
    <row r="489" spans="1:27" ht="16.5" customHeight="1">
      <c r="A489" s="1"/>
      <c r="B489" s="1"/>
      <c r="C489" s="2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</row>
    <row r="490" spans="1:27" ht="16.5" customHeight="1">
      <c r="A490" s="1"/>
      <c r="B490" s="1"/>
      <c r="C490" s="2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</row>
    <row r="491" spans="1:27" ht="16.5" customHeight="1">
      <c r="A491" s="1"/>
      <c r="B491" s="1"/>
      <c r="C491" s="2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</row>
    <row r="492" spans="1:27" ht="16.5" customHeight="1">
      <c r="A492" s="1"/>
      <c r="B492" s="1"/>
      <c r="C492" s="2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</row>
    <row r="493" spans="1:27" ht="16.5" customHeight="1">
      <c r="A493" s="1"/>
      <c r="B493" s="1"/>
      <c r="C493" s="2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</row>
    <row r="494" spans="1:27" ht="16.5" customHeight="1">
      <c r="A494" s="1"/>
      <c r="B494" s="1"/>
      <c r="C494" s="2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</row>
    <row r="495" spans="1:27" ht="16.5" customHeight="1">
      <c r="A495" s="1"/>
      <c r="B495" s="1"/>
      <c r="C495" s="2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</row>
    <row r="496" spans="1:27" ht="16.5" customHeight="1">
      <c r="A496" s="1"/>
      <c r="B496" s="1"/>
      <c r="C496" s="2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</row>
    <row r="497" spans="1:27" ht="16.5" customHeight="1">
      <c r="A497" s="1"/>
      <c r="B497" s="1"/>
      <c r="C497" s="2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</row>
    <row r="498" spans="1:27" ht="16.5" customHeight="1">
      <c r="A498" s="1"/>
      <c r="B498" s="1"/>
      <c r="C498" s="2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</row>
    <row r="499" spans="1:27" ht="16.5" customHeight="1">
      <c r="A499" s="1"/>
      <c r="B499" s="1"/>
      <c r="C499" s="2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</row>
    <row r="500" spans="1:27" ht="16.5" customHeight="1">
      <c r="A500" s="1"/>
      <c r="B500" s="1"/>
      <c r="C500" s="2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</row>
    <row r="501" spans="1:27" ht="16.5" customHeight="1">
      <c r="A501" s="1"/>
      <c r="B501" s="1"/>
      <c r="C501" s="2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</row>
    <row r="502" spans="1:27" ht="16.5" customHeight="1">
      <c r="A502" s="1"/>
      <c r="B502" s="1"/>
      <c r="C502" s="2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</row>
    <row r="503" spans="1:27" ht="16.5" customHeight="1">
      <c r="A503" s="1"/>
      <c r="B503" s="1"/>
      <c r="C503" s="2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</row>
    <row r="504" spans="1:27" ht="16.5" customHeight="1">
      <c r="A504" s="1"/>
      <c r="B504" s="1"/>
      <c r="C504" s="2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</row>
    <row r="505" spans="1:27" ht="16.5" customHeight="1">
      <c r="A505" s="1"/>
      <c r="B505" s="1"/>
      <c r="C505" s="2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</row>
    <row r="506" spans="1:27" ht="16.5" customHeight="1">
      <c r="A506" s="1"/>
      <c r="B506" s="1"/>
      <c r="C506" s="2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</row>
    <row r="507" spans="1:27" ht="16.5" customHeight="1">
      <c r="A507" s="1"/>
      <c r="B507" s="1"/>
      <c r="C507" s="2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</row>
    <row r="508" spans="1:27" ht="16.5" customHeight="1">
      <c r="A508" s="1"/>
      <c r="B508" s="1"/>
      <c r="C508" s="2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</row>
    <row r="509" spans="1:27" ht="16.5" customHeight="1">
      <c r="A509" s="1"/>
      <c r="B509" s="1"/>
      <c r="C509" s="2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</row>
    <row r="510" spans="1:27" ht="16.5" customHeight="1">
      <c r="A510" s="1"/>
      <c r="B510" s="1"/>
      <c r="C510" s="2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</row>
    <row r="511" spans="1:27" ht="16.5" customHeight="1">
      <c r="A511" s="1"/>
      <c r="B511" s="1"/>
      <c r="C511" s="2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</row>
    <row r="512" spans="1:27" ht="16.5" customHeight="1">
      <c r="A512" s="1"/>
      <c r="B512" s="1"/>
      <c r="C512" s="2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</row>
    <row r="513" spans="1:27" ht="16.5" customHeight="1">
      <c r="A513" s="1"/>
      <c r="B513" s="1"/>
      <c r="C513" s="2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</row>
    <row r="514" spans="1:27" ht="16.5" customHeight="1">
      <c r="A514" s="1"/>
      <c r="B514" s="1"/>
      <c r="C514" s="2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</row>
    <row r="515" spans="1:27" ht="16.5" customHeight="1">
      <c r="A515" s="1"/>
      <c r="B515" s="1"/>
      <c r="C515" s="2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</row>
    <row r="516" spans="1:27" ht="16.5" customHeight="1">
      <c r="A516" s="1"/>
      <c r="B516" s="1"/>
      <c r="C516" s="2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</row>
    <row r="517" spans="1:27" ht="16.5" customHeight="1">
      <c r="A517" s="1"/>
      <c r="B517" s="1"/>
      <c r="C517" s="2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</row>
    <row r="518" spans="1:27" ht="16.5" customHeight="1">
      <c r="A518" s="1"/>
      <c r="B518" s="1"/>
      <c r="C518" s="2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</row>
    <row r="519" spans="1:27" ht="16.5" customHeight="1">
      <c r="A519" s="1"/>
      <c r="B519" s="1"/>
      <c r="C519" s="2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</row>
    <row r="520" spans="1:27" ht="16.5" customHeight="1">
      <c r="A520" s="1"/>
      <c r="B520" s="1"/>
      <c r="C520" s="2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</row>
    <row r="521" spans="1:27" ht="16.5" customHeight="1">
      <c r="A521" s="1"/>
      <c r="B521" s="1"/>
      <c r="C521" s="2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</row>
    <row r="522" spans="1:27" ht="16.5" customHeight="1">
      <c r="A522" s="1"/>
      <c r="B522" s="1"/>
      <c r="C522" s="2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</row>
    <row r="523" spans="1:27" ht="16.5" customHeight="1">
      <c r="A523" s="1"/>
      <c r="B523" s="1"/>
      <c r="C523" s="2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</row>
    <row r="524" spans="1:27" ht="16.5" customHeight="1">
      <c r="A524" s="1"/>
      <c r="B524" s="1"/>
      <c r="C524" s="2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</row>
    <row r="525" spans="1:27" ht="16.5" customHeight="1">
      <c r="A525" s="1"/>
      <c r="B525" s="1"/>
      <c r="C525" s="2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</row>
    <row r="526" spans="1:27" ht="16.5" customHeight="1">
      <c r="A526" s="1"/>
      <c r="B526" s="1"/>
      <c r="C526" s="2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</row>
    <row r="527" spans="1:27" ht="16.5" customHeight="1">
      <c r="A527" s="1"/>
      <c r="B527" s="1"/>
      <c r="C527" s="2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</row>
    <row r="528" spans="1:27" ht="16.5" customHeight="1">
      <c r="A528" s="1"/>
      <c r="B528" s="1"/>
      <c r="C528" s="2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</row>
    <row r="529" spans="1:27" ht="16.5" customHeight="1">
      <c r="A529" s="1"/>
      <c r="B529" s="1"/>
      <c r="C529" s="2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</row>
    <row r="530" spans="1:27" ht="16.5" customHeight="1">
      <c r="A530" s="1"/>
      <c r="B530" s="1"/>
      <c r="C530" s="2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</row>
    <row r="531" spans="1:27" ht="16.5" customHeight="1">
      <c r="A531" s="1"/>
      <c r="B531" s="1"/>
      <c r="C531" s="2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</row>
    <row r="532" spans="1:27" ht="16.5" customHeight="1">
      <c r="A532" s="1"/>
      <c r="B532" s="1"/>
      <c r="C532" s="2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</row>
    <row r="533" spans="1:27" ht="16.5" customHeight="1">
      <c r="A533" s="1"/>
      <c r="B533" s="1"/>
      <c r="C533" s="2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</row>
    <row r="534" spans="1:27" ht="16.5" customHeight="1">
      <c r="A534" s="1"/>
      <c r="B534" s="1"/>
      <c r="C534" s="2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</row>
    <row r="535" spans="1:27" ht="16.5" customHeight="1">
      <c r="A535" s="1"/>
      <c r="B535" s="1"/>
      <c r="C535" s="2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</row>
    <row r="536" spans="1:27" ht="16.5" customHeight="1">
      <c r="A536" s="1"/>
      <c r="B536" s="1"/>
      <c r="C536" s="2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</row>
    <row r="537" spans="1:27" ht="16.5" customHeight="1">
      <c r="A537" s="1"/>
      <c r="B537" s="1"/>
      <c r="C537" s="2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</row>
    <row r="538" spans="1:27" ht="16.5" customHeight="1">
      <c r="A538" s="1"/>
      <c r="B538" s="1"/>
      <c r="C538" s="2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</row>
    <row r="539" spans="1:27" ht="16.5" customHeight="1">
      <c r="A539" s="1"/>
      <c r="B539" s="1"/>
      <c r="C539" s="2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</row>
    <row r="540" spans="1:27" ht="16.5" customHeight="1">
      <c r="A540" s="1"/>
      <c r="B540" s="1"/>
      <c r="C540" s="2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</row>
    <row r="541" spans="1:27" ht="16.5" customHeight="1">
      <c r="A541" s="1"/>
      <c r="B541" s="1"/>
      <c r="C541" s="2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</row>
    <row r="542" spans="1:27" ht="16.5" customHeight="1">
      <c r="A542" s="1"/>
      <c r="B542" s="1"/>
      <c r="C542" s="2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</row>
    <row r="543" spans="1:27" ht="16.5" customHeight="1">
      <c r="A543" s="1"/>
      <c r="B543" s="1"/>
      <c r="C543" s="2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</row>
    <row r="544" spans="1:27" ht="16.5" customHeight="1">
      <c r="A544" s="1"/>
      <c r="B544" s="1"/>
      <c r="C544" s="2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</row>
    <row r="545" spans="1:27" ht="16.5" customHeight="1">
      <c r="A545" s="1"/>
      <c r="B545" s="1"/>
      <c r="C545" s="2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</row>
    <row r="546" spans="1:27" ht="16.5" customHeight="1">
      <c r="A546" s="1"/>
      <c r="B546" s="1"/>
      <c r="C546" s="2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</row>
    <row r="547" spans="1:27" ht="16.5" customHeight="1">
      <c r="A547" s="1"/>
      <c r="B547" s="1"/>
      <c r="C547" s="2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</row>
    <row r="548" spans="1:27" ht="16.5" customHeight="1">
      <c r="A548" s="1"/>
      <c r="B548" s="1"/>
      <c r="C548" s="2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</row>
    <row r="549" spans="1:27" ht="16.5" customHeight="1">
      <c r="A549" s="1"/>
      <c r="B549" s="1"/>
      <c r="C549" s="2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</row>
    <row r="550" spans="1:27" ht="16.5" customHeight="1">
      <c r="A550" s="1"/>
      <c r="B550" s="1"/>
      <c r="C550" s="2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</row>
    <row r="551" spans="1:27" ht="16.5" customHeight="1">
      <c r="A551" s="1"/>
      <c r="B551" s="1"/>
      <c r="C551" s="2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</row>
    <row r="552" spans="1:27" ht="16.5" customHeight="1">
      <c r="A552" s="1"/>
      <c r="B552" s="1"/>
      <c r="C552" s="2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</row>
    <row r="553" spans="1:27" ht="16.5" customHeight="1">
      <c r="A553" s="1"/>
      <c r="B553" s="1"/>
      <c r="C553" s="2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</row>
    <row r="554" spans="1:27" ht="16.5" customHeight="1">
      <c r="A554" s="1"/>
      <c r="B554" s="1"/>
      <c r="C554" s="2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</row>
    <row r="555" spans="1:27" ht="16.5" customHeight="1">
      <c r="A555" s="1"/>
      <c r="B555" s="1"/>
      <c r="C555" s="2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</row>
    <row r="556" spans="1:27" ht="16.5" customHeight="1">
      <c r="A556" s="1"/>
      <c r="B556" s="1"/>
      <c r="C556" s="2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</row>
    <row r="557" spans="1:27" ht="16.5" customHeight="1">
      <c r="A557" s="1"/>
      <c r="B557" s="1"/>
      <c r="C557" s="2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</row>
    <row r="558" spans="1:27" ht="16.5" customHeight="1">
      <c r="A558" s="1"/>
      <c r="B558" s="1"/>
      <c r="C558" s="2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</row>
    <row r="559" spans="1:27" ht="16.5" customHeight="1">
      <c r="A559" s="1"/>
      <c r="B559" s="1"/>
      <c r="C559" s="2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</row>
    <row r="560" spans="1:27" ht="16.5" customHeight="1">
      <c r="A560" s="1"/>
      <c r="B560" s="1"/>
      <c r="C560" s="2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</row>
    <row r="561" spans="1:27" ht="16.5" customHeight="1">
      <c r="A561" s="1"/>
      <c r="B561" s="1"/>
      <c r="C561" s="2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</row>
    <row r="562" spans="1:27" ht="16.5" customHeight="1">
      <c r="A562" s="1"/>
      <c r="B562" s="1"/>
      <c r="C562" s="2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</row>
    <row r="563" spans="1:27" ht="16.5" customHeight="1">
      <c r="A563" s="1"/>
      <c r="B563" s="1"/>
      <c r="C563" s="2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</row>
    <row r="564" spans="1:27" ht="16.5" customHeight="1">
      <c r="A564" s="1"/>
      <c r="B564" s="1"/>
      <c r="C564" s="2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</row>
    <row r="565" spans="1:27" ht="16.5" customHeight="1">
      <c r="A565" s="1"/>
      <c r="B565" s="1"/>
      <c r="C565" s="2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</row>
    <row r="566" spans="1:27" ht="16.5" customHeight="1">
      <c r="A566" s="1"/>
      <c r="B566" s="1"/>
      <c r="C566" s="2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</row>
    <row r="567" spans="1:27" ht="16.5" customHeight="1">
      <c r="A567" s="1"/>
      <c r="B567" s="1"/>
      <c r="C567" s="2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</row>
    <row r="568" spans="1:27" ht="16.5" customHeight="1">
      <c r="A568" s="1"/>
      <c r="B568" s="1"/>
      <c r="C568" s="2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</row>
    <row r="569" spans="1:27" ht="16.5" customHeight="1">
      <c r="A569" s="1"/>
      <c r="B569" s="1"/>
      <c r="C569" s="2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</row>
    <row r="570" spans="1:27" ht="16.5" customHeight="1">
      <c r="A570" s="1"/>
      <c r="B570" s="1"/>
      <c r="C570" s="2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</row>
    <row r="571" spans="1:27" ht="16.5" customHeight="1">
      <c r="A571" s="1"/>
      <c r="B571" s="1"/>
      <c r="C571" s="2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</row>
    <row r="572" spans="1:27" ht="16.5" customHeight="1">
      <c r="A572" s="1"/>
      <c r="B572" s="1"/>
      <c r="C572" s="2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</row>
    <row r="573" spans="1:27" ht="16.5" customHeight="1">
      <c r="A573" s="1"/>
      <c r="B573" s="1"/>
      <c r="C573" s="2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</row>
    <row r="574" spans="1:27" ht="16.5" customHeight="1">
      <c r="A574" s="1"/>
      <c r="B574" s="1"/>
      <c r="C574" s="2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</row>
    <row r="575" spans="1:27" ht="16.5" customHeight="1">
      <c r="A575" s="1"/>
      <c r="B575" s="1"/>
      <c r="C575" s="2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</row>
    <row r="576" spans="1:27" ht="16.5" customHeight="1">
      <c r="A576" s="1"/>
      <c r="B576" s="1"/>
      <c r="C576" s="2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</row>
    <row r="577" spans="1:27" ht="16.5" customHeight="1">
      <c r="A577" s="1"/>
      <c r="B577" s="1"/>
      <c r="C577" s="2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</row>
    <row r="578" spans="1:27" ht="16.5" customHeight="1">
      <c r="A578" s="1"/>
      <c r="B578" s="1"/>
      <c r="C578" s="2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</row>
    <row r="579" spans="1:27" ht="16.5" customHeight="1">
      <c r="A579" s="1"/>
      <c r="B579" s="1"/>
      <c r="C579" s="2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</row>
    <row r="580" spans="1:27" ht="16.5" customHeight="1">
      <c r="A580" s="1"/>
      <c r="B580" s="1"/>
      <c r="C580" s="2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</row>
    <row r="581" spans="1:27" ht="16.5" customHeight="1">
      <c r="A581" s="1"/>
      <c r="B581" s="1"/>
      <c r="C581" s="2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</row>
    <row r="582" spans="1:27" ht="16.5" customHeight="1">
      <c r="A582" s="1"/>
      <c r="B582" s="1"/>
      <c r="C582" s="2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</row>
    <row r="583" spans="1:27" ht="16.5" customHeight="1">
      <c r="A583" s="1"/>
      <c r="B583" s="1"/>
      <c r="C583" s="2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</row>
    <row r="584" spans="1:27" ht="16.5" customHeight="1">
      <c r="A584" s="1"/>
      <c r="B584" s="1"/>
      <c r="C584" s="2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</row>
    <row r="585" spans="1:27" ht="16.5" customHeight="1">
      <c r="A585" s="1"/>
      <c r="B585" s="1"/>
      <c r="C585" s="2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</row>
    <row r="586" spans="1:27" ht="16.5" customHeight="1">
      <c r="A586" s="1"/>
      <c r="B586" s="1"/>
      <c r="C586" s="2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</row>
    <row r="587" spans="1:27" ht="16.5" customHeight="1">
      <c r="A587" s="1"/>
      <c r="B587" s="1"/>
      <c r="C587" s="2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</row>
    <row r="588" spans="1:27" ht="16.5" customHeight="1">
      <c r="A588" s="1"/>
      <c r="B588" s="1"/>
      <c r="C588" s="2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</row>
    <row r="589" spans="1:27" ht="16.5" customHeight="1">
      <c r="A589" s="1"/>
      <c r="B589" s="1"/>
      <c r="C589" s="2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</row>
    <row r="590" spans="1:27" ht="16.5" customHeight="1">
      <c r="A590" s="1"/>
      <c r="B590" s="1"/>
      <c r="C590" s="2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</row>
    <row r="591" spans="1:27" ht="16.5" customHeight="1">
      <c r="A591" s="1"/>
      <c r="B591" s="1"/>
      <c r="C591" s="2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</row>
    <row r="592" spans="1:27" ht="16.5" customHeight="1">
      <c r="A592" s="1"/>
      <c r="B592" s="1"/>
      <c r="C592" s="2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</row>
    <row r="593" spans="1:27" ht="16.5" customHeight="1">
      <c r="A593" s="1"/>
      <c r="B593" s="1"/>
      <c r="C593" s="2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</row>
    <row r="594" spans="1:27" ht="16.5" customHeight="1">
      <c r="A594" s="1"/>
      <c r="B594" s="1"/>
      <c r="C594" s="2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</row>
    <row r="595" spans="1:27" ht="16.5" customHeight="1">
      <c r="A595" s="1"/>
      <c r="B595" s="1"/>
      <c r="C595" s="2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</row>
    <row r="596" spans="1:27" ht="16.5" customHeight="1">
      <c r="A596" s="1"/>
      <c r="B596" s="1"/>
      <c r="C596" s="2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</row>
    <row r="597" spans="1:27" ht="16.5" customHeight="1">
      <c r="A597" s="1"/>
      <c r="B597" s="1"/>
      <c r="C597" s="2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</row>
    <row r="598" spans="1:27" ht="16.5" customHeight="1">
      <c r="A598" s="1"/>
      <c r="B598" s="1"/>
      <c r="C598" s="2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</row>
    <row r="599" spans="1:27" ht="16.5" customHeight="1">
      <c r="A599" s="1"/>
      <c r="B599" s="1"/>
      <c r="C599" s="2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</row>
    <row r="600" spans="1:27" ht="16.5" customHeight="1">
      <c r="A600" s="1"/>
      <c r="B600" s="1"/>
      <c r="C600" s="2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</row>
    <row r="601" spans="1:27" ht="16.5" customHeight="1">
      <c r="A601" s="1"/>
      <c r="B601" s="1"/>
      <c r="C601" s="2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</row>
    <row r="602" spans="1:27" ht="16.5" customHeight="1">
      <c r="A602" s="1"/>
      <c r="B602" s="1"/>
      <c r="C602" s="2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</row>
    <row r="603" spans="1:27" ht="16.5" customHeight="1">
      <c r="A603" s="1"/>
      <c r="B603" s="1"/>
      <c r="C603" s="2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</row>
    <row r="604" spans="1:27" ht="16.5" customHeight="1">
      <c r="A604" s="1"/>
      <c r="B604" s="1"/>
      <c r="C604" s="2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</row>
    <row r="605" spans="1:27" ht="16.5" customHeight="1">
      <c r="A605" s="1"/>
      <c r="B605" s="1"/>
      <c r="C605" s="2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</row>
    <row r="606" spans="1:27" ht="16.5" customHeight="1">
      <c r="A606" s="1"/>
      <c r="B606" s="1"/>
      <c r="C606" s="2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</row>
    <row r="607" spans="1:27" ht="16.5" customHeight="1">
      <c r="A607" s="1"/>
      <c r="B607" s="1"/>
      <c r="C607" s="2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</row>
    <row r="608" spans="1:27" ht="16.5" customHeight="1">
      <c r="A608" s="1"/>
      <c r="B608" s="1"/>
      <c r="C608" s="2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</row>
    <row r="609" spans="1:27" ht="16.5" customHeight="1">
      <c r="A609" s="1"/>
      <c r="B609" s="1"/>
      <c r="C609" s="2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</row>
    <row r="610" spans="1:27" ht="16.5" customHeight="1">
      <c r="A610" s="1"/>
      <c r="B610" s="1"/>
      <c r="C610" s="2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</row>
    <row r="611" spans="1:27" ht="16.5" customHeight="1">
      <c r="A611" s="1"/>
      <c r="B611" s="1"/>
      <c r="C611" s="2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</row>
    <row r="612" spans="1:27" ht="16.5" customHeight="1">
      <c r="A612" s="1"/>
      <c r="B612" s="1"/>
      <c r="C612" s="2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</row>
    <row r="613" spans="1:27" ht="16.5" customHeight="1">
      <c r="A613" s="1"/>
      <c r="B613" s="1"/>
      <c r="C613" s="2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</row>
    <row r="614" spans="1:27" ht="16.5" customHeight="1">
      <c r="A614" s="1"/>
      <c r="B614" s="1"/>
      <c r="C614" s="2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</row>
    <row r="615" spans="1:27" ht="16.5" customHeight="1">
      <c r="A615" s="1"/>
      <c r="B615" s="1"/>
      <c r="C615" s="2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</row>
    <row r="616" spans="1:27" ht="16.5" customHeight="1">
      <c r="A616" s="1"/>
      <c r="B616" s="1"/>
      <c r="C616" s="2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</row>
    <row r="617" spans="1:27" ht="16.5" customHeight="1">
      <c r="A617" s="1"/>
      <c r="B617" s="1"/>
      <c r="C617" s="2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</row>
    <row r="618" spans="1:27" ht="16.5" customHeight="1">
      <c r="A618" s="1"/>
      <c r="B618" s="1"/>
      <c r="C618" s="2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</row>
    <row r="619" spans="1:27" ht="16.5" customHeight="1">
      <c r="A619" s="1"/>
      <c r="B619" s="1"/>
      <c r="C619" s="2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</row>
    <row r="620" spans="1:27" ht="16.5" customHeight="1">
      <c r="A620" s="1"/>
      <c r="B620" s="1"/>
      <c r="C620" s="2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</row>
    <row r="621" spans="1:27" ht="16.5" customHeight="1">
      <c r="A621" s="1"/>
      <c r="B621" s="1"/>
      <c r="C621" s="2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</row>
    <row r="622" spans="1:27" ht="16.5" customHeight="1">
      <c r="A622" s="1"/>
      <c r="B622" s="1"/>
      <c r="C622" s="2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</row>
    <row r="623" spans="1:27" ht="16.5" customHeight="1">
      <c r="A623" s="1"/>
      <c r="B623" s="1"/>
      <c r="C623" s="2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</row>
    <row r="624" spans="1:27" ht="16.5" customHeight="1">
      <c r="A624" s="1"/>
      <c r="B624" s="1"/>
      <c r="C624" s="2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</row>
    <row r="625" spans="1:27" ht="16.5" customHeight="1">
      <c r="A625" s="1"/>
      <c r="B625" s="1"/>
      <c r="C625" s="2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</row>
    <row r="626" spans="1:27" ht="16.5" customHeight="1">
      <c r="A626" s="1"/>
      <c r="B626" s="1"/>
      <c r="C626" s="2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</row>
    <row r="627" spans="1:27" ht="16.5" customHeight="1">
      <c r="A627" s="1"/>
      <c r="B627" s="1"/>
      <c r="C627" s="2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</row>
    <row r="628" spans="1:27" ht="16.5" customHeight="1">
      <c r="A628" s="1"/>
      <c r="B628" s="1"/>
      <c r="C628" s="2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</row>
    <row r="629" spans="1:27" ht="16.5" customHeight="1">
      <c r="A629" s="1"/>
      <c r="B629" s="1"/>
      <c r="C629" s="2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</row>
    <row r="630" spans="1:27" ht="16.5" customHeight="1">
      <c r="A630" s="1"/>
      <c r="B630" s="1"/>
      <c r="C630" s="2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</row>
    <row r="631" spans="1:27" ht="16.5" customHeight="1">
      <c r="A631" s="1"/>
      <c r="B631" s="1"/>
      <c r="C631" s="2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</row>
    <row r="632" spans="1:27" ht="16.5" customHeight="1">
      <c r="A632" s="1"/>
      <c r="B632" s="1"/>
      <c r="C632" s="2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</row>
    <row r="633" spans="1:27" ht="16.5" customHeight="1">
      <c r="A633" s="1"/>
      <c r="B633" s="1"/>
      <c r="C633" s="2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</row>
    <row r="634" spans="1:27" ht="16.5" customHeight="1">
      <c r="A634" s="1"/>
      <c r="B634" s="1"/>
      <c r="C634" s="2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</row>
    <row r="635" spans="1:27" ht="16.5" customHeight="1">
      <c r="A635" s="1"/>
      <c r="B635" s="1"/>
      <c r="C635" s="2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</row>
    <row r="636" spans="1:27" ht="16.5" customHeight="1">
      <c r="A636" s="1"/>
      <c r="B636" s="1"/>
      <c r="C636" s="2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</row>
    <row r="637" spans="1:27" ht="16.5" customHeight="1">
      <c r="A637" s="1"/>
      <c r="B637" s="1"/>
      <c r="C637" s="2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</row>
    <row r="638" spans="1:27" ht="16.5" customHeight="1">
      <c r="A638" s="1"/>
      <c r="B638" s="1"/>
      <c r="C638" s="2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</row>
    <row r="639" spans="1:27" ht="16.5" customHeight="1">
      <c r="A639" s="1"/>
      <c r="B639" s="1"/>
      <c r="C639" s="2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</row>
    <row r="640" spans="1:27" ht="16.5" customHeight="1">
      <c r="A640" s="1"/>
      <c r="B640" s="1"/>
      <c r="C640" s="2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</row>
    <row r="641" spans="1:27" ht="16.5" customHeight="1">
      <c r="A641" s="1"/>
      <c r="B641" s="1"/>
      <c r="C641" s="2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</row>
    <row r="642" spans="1:27" ht="16.5" customHeight="1">
      <c r="A642" s="1"/>
      <c r="B642" s="1"/>
      <c r="C642" s="2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</row>
    <row r="643" spans="1:27" ht="16.5" customHeight="1">
      <c r="A643" s="1"/>
      <c r="B643" s="1"/>
      <c r="C643" s="2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</row>
    <row r="644" spans="1:27" ht="16.5" customHeight="1">
      <c r="A644" s="1"/>
      <c r="B644" s="1"/>
      <c r="C644" s="2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</row>
    <row r="645" spans="1:27" ht="16.5" customHeight="1">
      <c r="A645" s="1"/>
      <c r="B645" s="1"/>
      <c r="C645" s="2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</row>
    <row r="646" spans="1:27" ht="16.5" customHeight="1">
      <c r="A646" s="1"/>
      <c r="B646" s="1"/>
      <c r="C646" s="2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</row>
    <row r="647" spans="1:27" ht="16.5" customHeight="1">
      <c r="A647" s="1"/>
      <c r="B647" s="1"/>
      <c r="C647" s="2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</row>
    <row r="648" spans="1:27" ht="16.5" customHeight="1">
      <c r="A648" s="1"/>
      <c r="B648" s="1"/>
      <c r="C648" s="2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</row>
    <row r="649" spans="1:27" ht="16.5" customHeight="1">
      <c r="A649" s="1"/>
      <c r="B649" s="1"/>
      <c r="C649" s="2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</row>
    <row r="650" spans="1:27" ht="16.5" customHeight="1">
      <c r="A650" s="1"/>
      <c r="B650" s="1"/>
      <c r="C650" s="2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</row>
    <row r="651" spans="1:27" ht="16.5" customHeight="1">
      <c r="A651" s="1"/>
      <c r="B651" s="1"/>
      <c r="C651" s="2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</row>
    <row r="652" spans="1:27" ht="16.5" customHeight="1">
      <c r="A652" s="1"/>
      <c r="B652" s="1"/>
      <c r="C652" s="2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</row>
    <row r="653" spans="1:27" ht="16.5" customHeight="1">
      <c r="A653" s="1"/>
      <c r="B653" s="1"/>
      <c r="C653" s="2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</row>
    <row r="654" spans="1:27" ht="16.5" customHeight="1">
      <c r="A654" s="1"/>
      <c r="B654" s="1"/>
      <c r="C654" s="2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</row>
    <row r="655" spans="1:27" ht="16.5" customHeight="1">
      <c r="A655" s="1"/>
      <c r="B655" s="1"/>
      <c r="C655" s="2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</row>
    <row r="656" spans="1:27" ht="16.5" customHeight="1">
      <c r="A656" s="1"/>
      <c r="B656" s="1"/>
      <c r="C656" s="2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</row>
    <row r="657" spans="1:27" ht="16.5" customHeight="1">
      <c r="A657" s="1"/>
      <c r="B657" s="1"/>
      <c r="C657" s="2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</row>
    <row r="658" spans="1:27" ht="16.5" customHeight="1">
      <c r="A658" s="1"/>
      <c r="B658" s="1"/>
      <c r="C658" s="2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</row>
    <row r="659" spans="1:27" ht="16.5" customHeight="1">
      <c r="A659" s="1"/>
      <c r="B659" s="1"/>
      <c r="C659" s="2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</row>
    <row r="660" spans="1:27" ht="16.5" customHeight="1">
      <c r="A660" s="1"/>
      <c r="B660" s="1"/>
      <c r="C660" s="2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</row>
    <row r="661" spans="1:27" ht="16.5" customHeight="1">
      <c r="A661" s="1"/>
      <c r="B661" s="1"/>
      <c r="C661" s="2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</row>
    <row r="662" spans="1:27" ht="16.5" customHeight="1">
      <c r="A662" s="1"/>
      <c r="B662" s="1"/>
      <c r="C662" s="2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</row>
    <row r="663" spans="1:27" ht="16.5" customHeight="1">
      <c r="A663" s="1"/>
      <c r="B663" s="1"/>
      <c r="C663" s="2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</row>
    <row r="664" spans="1:27" ht="16.5" customHeight="1">
      <c r="A664" s="1"/>
      <c r="B664" s="1"/>
      <c r="C664" s="2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</row>
    <row r="665" spans="1:27" ht="16.5" customHeight="1">
      <c r="A665" s="1"/>
      <c r="B665" s="1"/>
      <c r="C665" s="2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</row>
    <row r="666" spans="1:27" ht="16.5" customHeight="1">
      <c r="A666" s="1"/>
      <c r="B666" s="1"/>
      <c r="C666" s="2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</row>
    <row r="667" spans="1:27" ht="16.5" customHeight="1">
      <c r="A667" s="1"/>
      <c r="B667" s="1"/>
      <c r="C667" s="2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</row>
    <row r="668" spans="1:27" ht="16.5" customHeight="1">
      <c r="A668" s="1"/>
      <c r="B668" s="1"/>
      <c r="C668" s="2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</row>
    <row r="669" spans="1:27" ht="16.5" customHeight="1">
      <c r="A669" s="1"/>
      <c r="B669" s="1"/>
      <c r="C669" s="2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</row>
    <row r="670" spans="1:27" ht="16.5" customHeight="1">
      <c r="A670" s="1"/>
      <c r="B670" s="1"/>
      <c r="C670" s="2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</row>
    <row r="671" spans="1:27" ht="16.5" customHeight="1">
      <c r="A671" s="1"/>
      <c r="B671" s="1"/>
      <c r="C671" s="2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</row>
    <row r="672" spans="1:27" ht="16.5" customHeight="1">
      <c r="A672" s="1"/>
      <c r="B672" s="1"/>
      <c r="C672" s="2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</row>
    <row r="673" spans="1:27" ht="16.5" customHeight="1">
      <c r="A673" s="1"/>
      <c r="B673" s="1"/>
      <c r="C673" s="2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</row>
    <row r="674" spans="1:27" ht="16.5" customHeight="1">
      <c r="A674" s="1"/>
      <c r="B674" s="1"/>
      <c r="C674" s="2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</row>
    <row r="675" spans="1:27" ht="16.5" customHeight="1">
      <c r="A675" s="1"/>
      <c r="B675" s="1"/>
      <c r="C675" s="2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</row>
    <row r="676" spans="1:27" ht="16.5" customHeight="1">
      <c r="A676" s="1"/>
      <c r="B676" s="1"/>
      <c r="C676" s="2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</row>
    <row r="677" spans="1:27" ht="16.5" customHeight="1">
      <c r="A677" s="1"/>
      <c r="B677" s="1"/>
      <c r="C677" s="2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</row>
    <row r="678" spans="1:27" ht="16.5" customHeight="1">
      <c r="A678" s="1"/>
      <c r="B678" s="1"/>
      <c r="C678" s="2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</row>
    <row r="679" spans="1:27" ht="16.5" customHeight="1">
      <c r="A679" s="1"/>
      <c r="B679" s="1"/>
      <c r="C679" s="2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</row>
    <row r="680" spans="1:27" ht="16.5" customHeight="1">
      <c r="A680" s="1"/>
      <c r="B680" s="1"/>
      <c r="C680" s="2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</row>
    <row r="681" spans="1:27" ht="16.5" customHeight="1">
      <c r="A681" s="1"/>
      <c r="B681" s="1"/>
      <c r="C681" s="2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</row>
    <row r="682" spans="1:27" ht="16.5" customHeight="1">
      <c r="A682" s="1"/>
      <c r="B682" s="1"/>
      <c r="C682" s="2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</row>
    <row r="683" spans="1:27" ht="16.5" customHeight="1">
      <c r="A683" s="1"/>
      <c r="B683" s="1"/>
      <c r="C683" s="2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</row>
    <row r="684" spans="1:27" ht="16.5" customHeight="1">
      <c r="A684" s="1"/>
      <c r="B684" s="1"/>
      <c r="C684" s="2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</row>
    <row r="685" spans="1:27" ht="16.5" customHeight="1">
      <c r="A685" s="1"/>
      <c r="B685" s="1"/>
      <c r="C685" s="2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</row>
    <row r="686" spans="1:27" ht="16.5" customHeight="1">
      <c r="A686" s="1"/>
      <c r="B686" s="1"/>
      <c r="C686" s="2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</row>
    <row r="687" spans="1:27" ht="16.5" customHeight="1">
      <c r="A687" s="1"/>
      <c r="B687" s="1"/>
      <c r="C687" s="2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</row>
    <row r="688" spans="1:27" ht="16.5" customHeight="1">
      <c r="A688" s="1"/>
      <c r="B688" s="1"/>
      <c r="C688" s="2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</row>
    <row r="689" spans="1:27" ht="16.5" customHeight="1">
      <c r="A689" s="1"/>
      <c r="B689" s="1"/>
      <c r="C689" s="2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</row>
    <row r="690" spans="1:27" ht="16.5" customHeight="1">
      <c r="A690" s="1"/>
      <c r="B690" s="1"/>
      <c r="C690" s="2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</row>
    <row r="691" spans="1:27" ht="16.5" customHeight="1">
      <c r="A691" s="1"/>
      <c r="B691" s="1"/>
      <c r="C691" s="2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</row>
    <row r="692" spans="1:27" ht="16.5" customHeight="1">
      <c r="A692" s="1"/>
      <c r="B692" s="1"/>
      <c r="C692" s="2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</row>
    <row r="693" spans="1:27" ht="16.5" customHeight="1">
      <c r="A693" s="1"/>
      <c r="B693" s="1"/>
      <c r="C693" s="2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</row>
    <row r="694" spans="1:27" ht="16.5" customHeight="1">
      <c r="A694" s="1"/>
      <c r="B694" s="1"/>
      <c r="C694" s="2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</row>
    <row r="695" spans="1:27" ht="16.5" customHeight="1">
      <c r="A695" s="1"/>
      <c r="B695" s="1"/>
      <c r="C695" s="2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</row>
    <row r="696" spans="1:27" ht="16.5" customHeight="1">
      <c r="A696" s="1"/>
      <c r="B696" s="1"/>
      <c r="C696" s="2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</row>
    <row r="697" spans="1:27" ht="16.5" customHeight="1">
      <c r="A697" s="1"/>
      <c r="B697" s="1"/>
      <c r="C697" s="2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</row>
    <row r="698" spans="1:27" ht="16.5" customHeight="1">
      <c r="A698" s="1"/>
      <c r="B698" s="1"/>
      <c r="C698" s="2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</row>
    <row r="699" spans="1:27" ht="16.5" customHeight="1">
      <c r="A699" s="1"/>
      <c r="B699" s="1"/>
      <c r="C699" s="2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</row>
    <row r="700" spans="1:27" ht="16.5" customHeight="1">
      <c r="A700" s="1"/>
      <c r="B700" s="1"/>
      <c r="C700" s="2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</row>
    <row r="701" spans="1:27" ht="16.5" customHeight="1">
      <c r="A701" s="1"/>
      <c r="B701" s="1"/>
      <c r="C701" s="2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</row>
    <row r="702" spans="1:27" ht="16.5" customHeight="1">
      <c r="A702" s="1"/>
      <c r="B702" s="1"/>
      <c r="C702" s="2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</row>
    <row r="703" spans="1:27" ht="16.5" customHeight="1">
      <c r="A703" s="1"/>
      <c r="B703" s="1"/>
      <c r="C703" s="2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</row>
    <row r="704" spans="1:27" ht="16.5" customHeight="1">
      <c r="A704" s="1"/>
      <c r="B704" s="1"/>
      <c r="C704" s="2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</row>
    <row r="705" spans="1:27" ht="16.5" customHeight="1">
      <c r="A705" s="1"/>
      <c r="B705" s="1"/>
      <c r="C705" s="2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</row>
    <row r="706" spans="1:27" ht="16.5" customHeight="1">
      <c r="A706" s="1"/>
      <c r="B706" s="1"/>
      <c r="C706" s="2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</row>
    <row r="707" spans="1:27" ht="16.5" customHeight="1">
      <c r="A707" s="1"/>
      <c r="B707" s="1"/>
      <c r="C707" s="2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</row>
    <row r="708" spans="1:27" ht="16.5" customHeight="1">
      <c r="A708" s="1"/>
      <c r="B708" s="1"/>
      <c r="C708" s="2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</row>
    <row r="709" spans="1:27" ht="16.5" customHeight="1">
      <c r="A709" s="1"/>
      <c r="B709" s="1"/>
      <c r="C709" s="2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</row>
    <row r="710" spans="1:27" ht="16.5" customHeight="1">
      <c r="A710" s="1"/>
      <c r="B710" s="1"/>
      <c r="C710" s="2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</row>
    <row r="711" spans="1:27" ht="16.5" customHeight="1">
      <c r="A711" s="1"/>
      <c r="B711" s="1"/>
      <c r="C711" s="2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</row>
    <row r="712" spans="1:27" ht="16.5" customHeight="1">
      <c r="A712" s="1"/>
      <c r="B712" s="1"/>
      <c r="C712" s="2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</row>
    <row r="713" spans="1:27" ht="16.5" customHeight="1">
      <c r="A713" s="1"/>
      <c r="B713" s="1"/>
      <c r="C713" s="2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</row>
    <row r="714" spans="1:27" ht="16.5" customHeight="1">
      <c r="A714" s="1"/>
      <c r="B714" s="1"/>
      <c r="C714" s="2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</row>
    <row r="715" spans="1:27" ht="16.5" customHeight="1">
      <c r="A715" s="1"/>
      <c r="B715" s="1"/>
      <c r="C715" s="2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</row>
    <row r="716" spans="1:27" ht="16.5" customHeight="1">
      <c r="A716" s="1"/>
      <c r="B716" s="1"/>
      <c r="C716" s="2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</row>
    <row r="717" spans="1:27" ht="16.5" customHeight="1">
      <c r="A717" s="1"/>
      <c r="B717" s="1"/>
      <c r="C717" s="2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</row>
    <row r="718" spans="1:27" ht="16.5" customHeight="1">
      <c r="A718" s="1"/>
      <c r="B718" s="1"/>
      <c r="C718" s="2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</row>
    <row r="719" spans="1:27" ht="16.5" customHeight="1">
      <c r="A719" s="1"/>
      <c r="B719" s="1"/>
      <c r="C719" s="2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</row>
    <row r="720" spans="1:27" ht="16.5" customHeight="1">
      <c r="A720" s="1"/>
      <c r="B720" s="1"/>
      <c r="C720" s="2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</row>
    <row r="721" spans="1:27" ht="16.5" customHeight="1">
      <c r="A721" s="1"/>
      <c r="B721" s="1"/>
      <c r="C721" s="2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</row>
    <row r="722" spans="1:27" ht="16.5" customHeight="1">
      <c r="A722" s="1"/>
      <c r="B722" s="1"/>
      <c r="C722" s="2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</row>
    <row r="723" spans="1:27" ht="16.5" customHeight="1">
      <c r="A723" s="1"/>
      <c r="B723" s="1"/>
      <c r="C723" s="2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</row>
    <row r="724" spans="1:27" ht="16.5" customHeight="1">
      <c r="A724" s="1"/>
      <c r="B724" s="1"/>
      <c r="C724" s="2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</row>
    <row r="725" spans="1:27" ht="16.5" customHeight="1">
      <c r="A725" s="1"/>
      <c r="B725" s="1"/>
      <c r="C725" s="2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</row>
    <row r="726" spans="1:27" ht="16.5" customHeight="1">
      <c r="A726" s="1"/>
      <c r="B726" s="1"/>
      <c r="C726" s="2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</row>
    <row r="727" spans="1:27" ht="16.5" customHeight="1">
      <c r="A727" s="1"/>
      <c r="B727" s="1"/>
      <c r="C727" s="2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</row>
    <row r="728" spans="1:27" ht="16.5" customHeight="1">
      <c r="A728" s="1"/>
      <c r="B728" s="1"/>
      <c r="C728" s="2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</row>
    <row r="729" spans="1:27" ht="16.5" customHeight="1">
      <c r="A729" s="1"/>
      <c r="B729" s="1"/>
      <c r="C729" s="2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</row>
    <row r="730" spans="1:27" ht="16.5" customHeight="1">
      <c r="A730" s="1"/>
      <c r="B730" s="1"/>
      <c r="C730" s="2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</row>
    <row r="731" spans="1:27" ht="16.5" customHeight="1">
      <c r="A731" s="1"/>
      <c r="B731" s="1"/>
      <c r="C731" s="2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</row>
    <row r="732" spans="1:27" ht="16.5" customHeight="1">
      <c r="A732" s="1"/>
      <c r="B732" s="1"/>
      <c r="C732" s="2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</row>
    <row r="733" spans="1:27" ht="16.5" customHeight="1">
      <c r="A733" s="1"/>
      <c r="B733" s="1"/>
      <c r="C733" s="2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</row>
    <row r="734" spans="1:27" ht="16.5" customHeight="1">
      <c r="A734" s="1"/>
      <c r="B734" s="1"/>
      <c r="C734" s="2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</row>
    <row r="735" spans="1:27" ht="16.5" customHeight="1">
      <c r="A735" s="1"/>
      <c r="B735" s="1"/>
      <c r="C735" s="2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</row>
    <row r="736" spans="1:27" ht="16.5" customHeight="1">
      <c r="A736" s="1"/>
      <c r="B736" s="1"/>
      <c r="C736" s="2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</row>
    <row r="737" spans="1:27" ht="16.5" customHeight="1">
      <c r="A737" s="1"/>
      <c r="B737" s="1"/>
      <c r="C737" s="2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</row>
    <row r="738" spans="1:27" ht="16.5" customHeight="1">
      <c r="A738" s="1"/>
      <c r="B738" s="1"/>
      <c r="C738" s="2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</row>
    <row r="739" spans="1:27" ht="16.5" customHeight="1">
      <c r="A739" s="1"/>
      <c r="B739" s="1"/>
      <c r="C739" s="2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</row>
    <row r="740" spans="1:27" ht="16.5" customHeight="1">
      <c r="A740" s="1"/>
      <c r="B740" s="1"/>
      <c r="C740" s="2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</row>
    <row r="741" spans="1:27" ht="16.5" customHeight="1">
      <c r="A741" s="1"/>
      <c r="B741" s="1"/>
      <c r="C741" s="2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</row>
    <row r="742" spans="1:27" ht="16.5" customHeight="1">
      <c r="A742" s="1"/>
      <c r="B742" s="1"/>
      <c r="C742" s="2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</row>
    <row r="743" spans="1:27" ht="16.5" customHeight="1">
      <c r="A743" s="1"/>
      <c r="B743" s="1"/>
      <c r="C743" s="2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</row>
    <row r="744" spans="1:27" ht="16.5" customHeight="1">
      <c r="A744" s="1"/>
      <c r="B744" s="1"/>
      <c r="C744" s="2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</row>
    <row r="745" spans="1:27" ht="16.5" customHeight="1">
      <c r="A745" s="1"/>
      <c r="B745" s="1"/>
      <c r="C745" s="2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</row>
    <row r="746" spans="1:27" ht="16.5" customHeight="1">
      <c r="A746" s="1"/>
      <c r="B746" s="1"/>
      <c r="C746" s="2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</row>
    <row r="747" spans="1:27" ht="16.5" customHeight="1">
      <c r="A747" s="1"/>
      <c r="B747" s="1"/>
      <c r="C747" s="2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</row>
    <row r="748" spans="1:27" ht="16.5" customHeight="1">
      <c r="A748" s="1"/>
      <c r="B748" s="1"/>
      <c r="C748" s="2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</row>
    <row r="749" spans="1:27" ht="16.5" customHeight="1">
      <c r="A749" s="1"/>
      <c r="B749" s="1"/>
      <c r="C749" s="2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</row>
    <row r="750" spans="1:27" ht="16.5" customHeight="1">
      <c r="A750" s="1"/>
      <c r="B750" s="1"/>
      <c r="C750" s="2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</row>
    <row r="751" spans="1:27" ht="16.5" customHeight="1">
      <c r="A751" s="1"/>
      <c r="B751" s="1"/>
      <c r="C751" s="2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</row>
    <row r="752" spans="1:27" ht="16.5" customHeight="1">
      <c r="A752" s="1"/>
      <c r="B752" s="1"/>
      <c r="C752" s="2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</row>
    <row r="753" spans="1:27" ht="16.5" customHeight="1">
      <c r="A753" s="1"/>
      <c r="B753" s="1"/>
      <c r="C753" s="2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</row>
    <row r="754" spans="1:27" ht="16.5" customHeight="1">
      <c r="A754" s="1"/>
      <c r="B754" s="1"/>
      <c r="C754" s="2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</row>
    <row r="755" spans="1:27" ht="16.5" customHeight="1">
      <c r="A755" s="1"/>
      <c r="B755" s="1"/>
      <c r="C755" s="2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</row>
    <row r="756" spans="1:27" ht="16.5" customHeight="1">
      <c r="A756" s="1"/>
      <c r="B756" s="1"/>
      <c r="C756" s="2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</row>
    <row r="757" spans="1:27" ht="16.5" customHeight="1">
      <c r="A757" s="1"/>
      <c r="B757" s="1"/>
      <c r="C757" s="2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</row>
    <row r="758" spans="1:27" ht="16.5" customHeight="1">
      <c r="A758" s="1"/>
      <c r="B758" s="1"/>
      <c r="C758" s="2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</row>
    <row r="759" spans="1:27" ht="16.5" customHeight="1">
      <c r="A759" s="1"/>
      <c r="B759" s="1"/>
      <c r="C759" s="2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</row>
    <row r="760" spans="1:27" ht="16.5" customHeight="1">
      <c r="A760" s="1"/>
      <c r="B760" s="1"/>
      <c r="C760" s="2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</row>
    <row r="761" spans="1:27" ht="16.5" customHeight="1">
      <c r="A761" s="1"/>
      <c r="B761" s="1"/>
      <c r="C761" s="2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</row>
    <row r="762" spans="1:27" ht="16.5" customHeight="1">
      <c r="A762" s="1"/>
      <c r="B762" s="1"/>
      <c r="C762" s="2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</row>
    <row r="763" spans="1:27" ht="16.5" customHeight="1">
      <c r="A763" s="1"/>
      <c r="B763" s="1"/>
      <c r="C763" s="2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</row>
    <row r="764" spans="1:27" ht="16.5" customHeight="1">
      <c r="A764" s="1"/>
      <c r="B764" s="1"/>
      <c r="C764" s="2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</row>
    <row r="765" spans="1:27" ht="16.5" customHeight="1">
      <c r="A765" s="1"/>
      <c r="B765" s="1"/>
      <c r="C765" s="2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</row>
    <row r="766" spans="1:27" ht="16.5" customHeight="1">
      <c r="A766" s="1"/>
      <c r="B766" s="1"/>
      <c r="C766" s="2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</row>
    <row r="767" spans="1:27" ht="16.5" customHeight="1">
      <c r="A767" s="1"/>
      <c r="B767" s="1"/>
      <c r="C767" s="2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</row>
    <row r="768" spans="1:27" ht="16.5" customHeight="1">
      <c r="A768" s="1"/>
      <c r="B768" s="1"/>
      <c r="C768" s="2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</row>
    <row r="769" spans="1:27" ht="16.5" customHeight="1">
      <c r="A769" s="1"/>
      <c r="B769" s="1"/>
      <c r="C769" s="2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</row>
    <row r="770" spans="1:27" ht="16.5" customHeight="1">
      <c r="A770" s="1"/>
      <c r="B770" s="1"/>
      <c r="C770" s="2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</row>
    <row r="771" spans="1:27" ht="16.5" customHeight="1">
      <c r="A771" s="1"/>
      <c r="B771" s="1"/>
      <c r="C771" s="2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</row>
    <row r="772" spans="1:27" ht="16.5" customHeight="1">
      <c r="A772" s="1"/>
      <c r="B772" s="1"/>
      <c r="C772" s="2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</row>
    <row r="773" spans="1:27" ht="16.5" customHeight="1">
      <c r="A773" s="1"/>
      <c r="B773" s="1"/>
      <c r="C773" s="2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</row>
    <row r="774" spans="1:27" ht="16.5" customHeight="1">
      <c r="A774" s="1"/>
      <c r="B774" s="1"/>
      <c r="C774" s="2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</row>
    <row r="775" spans="1:27" ht="16.5" customHeight="1">
      <c r="A775" s="1"/>
      <c r="B775" s="1"/>
      <c r="C775" s="2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</row>
    <row r="776" spans="1:27" ht="16.5" customHeight="1">
      <c r="A776" s="1"/>
      <c r="B776" s="1"/>
      <c r="C776" s="2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</row>
    <row r="777" spans="1:27" ht="16.5" customHeight="1">
      <c r="A777" s="1"/>
      <c r="B777" s="1"/>
      <c r="C777" s="2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</row>
    <row r="778" spans="1:27" ht="16.5" customHeight="1">
      <c r="A778" s="1"/>
      <c r="B778" s="1"/>
      <c r="C778" s="2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</row>
    <row r="779" spans="1:27" ht="16.5" customHeight="1">
      <c r="A779" s="1"/>
      <c r="B779" s="1"/>
      <c r="C779" s="2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</row>
    <row r="780" spans="1:27" ht="16.5" customHeight="1">
      <c r="A780" s="1"/>
      <c r="B780" s="1"/>
      <c r="C780" s="2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</row>
    <row r="781" spans="1:27" ht="16.5" customHeight="1">
      <c r="A781" s="1"/>
      <c r="B781" s="1"/>
      <c r="C781" s="2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</row>
    <row r="782" spans="1:27" ht="16.5" customHeight="1">
      <c r="A782" s="1"/>
      <c r="B782" s="1"/>
      <c r="C782" s="2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</row>
    <row r="783" spans="1:27" ht="16.5" customHeight="1">
      <c r="A783" s="1"/>
      <c r="B783" s="1"/>
      <c r="C783" s="2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</row>
    <row r="784" spans="1:27" ht="16.5" customHeight="1">
      <c r="A784" s="1"/>
      <c r="B784" s="1"/>
      <c r="C784" s="2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</row>
    <row r="785" spans="1:27" ht="16.5" customHeight="1">
      <c r="A785" s="1"/>
      <c r="B785" s="1"/>
      <c r="C785" s="2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</row>
    <row r="786" spans="1:27" ht="16.5" customHeight="1">
      <c r="A786" s="1"/>
      <c r="B786" s="1"/>
      <c r="C786" s="2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</row>
    <row r="787" spans="1:27" ht="16.5" customHeight="1">
      <c r="A787" s="1"/>
      <c r="B787" s="1"/>
      <c r="C787" s="2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</row>
    <row r="788" spans="1:27" ht="16.5" customHeight="1">
      <c r="A788" s="1"/>
      <c r="B788" s="1"/>
      <c r="C788" s="2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</row>
    <row r="789" spans="1:27" ht="16.5" customHeight="1">
      <c r="A789" s="1"/>
      <c r="B789" s="1"/>
      <c r="C789" s="2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</row>
    <row r="790" spans="1:27" ht="16.5" customHeight="1">
      <c r="A790" s="1"/>
      <c r="B790" s="1"/>
      <c r="C790" s="2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</row>
    <row r="791" spans="1:27" ht="16.5" customHeight="1">
      <c r="A791" s="1"/>
      <c r="B791" s="1"/>
      <c r="C791" s="2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</row>
    <row r="792" spans="1:27" ht="16.5" customHeight="1">
      <c r="A792" s="1"/>
      <c r="B792" s="1"/>
      <c r="C792" s="2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</row>
    <row r="793" spans="1:27" ht="16.5" customHeight="1">
      <c r="A793" s="1"/>
      <c r="B793" s="1"/>
      <c r="C793" s="2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</row>
    <row r="794" spans="1:27" ht="16.5" customHeight="1">
      <c r="A794" s="1"/>
      <c r="B794" s="1"/>
      <c r="C794" s="2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</row>
    <row r="795" spans="1:27" ht="16.5" customHeight="1">
      <c r="A795" s="1"/>
      <c r="B795" s="1"/>
      <c r="C795" s="2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</row>
    <row r="796" spans="1:27" ht="16.5" customHeight="1">
      <c r="A796" s="1"/>
      <c r="B796" s="1"/>
      <c r="C796" s="2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</row>
    <row r="797" spans="1:27" ht="16.5" customHeight="1">
      <c r="A797" s="1"/>
      <c r="B797" s="1"/>
      <c r="C797" s="2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</row>
    <row r="798" spans="1:27" ht="16.5" customHeight="1">
      <c r="A798" s="1"/>
      <c r="B798" s="1"/>
      <c r="C798" s="2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</row>
    <row r="799" spans="1:27" ht="16.5" customHeight="1">
      <c r="A799" s="1"/>
      <c r="B799" s="1"/>
      <c r="C799" s="2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</row>
    <row r="800" spans="1:27" ht="16.5" customHeight="1">
      <c r="A800" s="1"/>
      <c r="B800" s="1"/>
      <c r="C800" s="2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</row>
    <row r="801" spans="1:27" ht="16.5" customHeight="1">
      <c r="A801" s="1"/>
      <c r="B801" s="1"/>
      <c r="C801" s="2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</row>
    <row r="802" spans="1:27" ht="16.5" customHeight="1">
      <c r="A802" s="1"/>
      <c r="B802" s="1"/>
      <c r="C802" s="2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</row>
    <row r="803" spans="1:27" ht="16.5" customHeight="1">
      <c r="A803" s="1"/>
      <c r="B803" s="1"/>
      <c r="C803" s="2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</row>
    <row r="804" spans="1:27" ht="16.5" customHeight="1">
      <c r="A804" s="1"/>
      <c r="B804" s="1"/>
      <c r="C804" s="2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</row>
    <row r="805" spans="1:27" ht="16.5" customHeight="1">
      <c r="A805" s="1"/>
      <c r="B805" s="1"/>
      <c r="C805" s="2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</row>
    <row r="806" spans="1:27" ht="16.5" customHeight="1">
      <c r="A806" s="1"/>
      <c r="B806" s="1"/>
      <c r="C806" s="2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</row>
    <row r="807" spans="1:27" ht="16.5" customHeight="1">
      <c r="A807" s="1"/>
      <c r="B807" s="1"/>
      <c r="C807" s="2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</row>
    <row r="808" spans="1:27" ht="16.5" customHeight="1">
      <c r="A808" s="1"/>
      <c r="B808" s="1"/>
      <c r="C808" s="2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</row>
    <row r="809" spans="1:27" ht="16.5" customHeight="1">
      <c r="A809" s="1"/>
      <c r="B809" s="1"/>
      <c r="C809" s="2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</row>
    <row r="810" spans="1:27" ht="16.5" customHeight="1">
      <c r="A810" s="1"/>
      <c r="B810" s="1"/>
      <c r="C810" s="2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</row>
    <row r="811" spans="1:27" ht="16.5" customHeight="1">
      <c r="A811" s="1"/>
      <c r="B811" s="1"/>
      <c r="C811" s="2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</row>
    <row r="812" spans="1:27" ht="16.5" customHeight="1">
      <c r="A812" s="1"/>
      <c r="B812" s="1"/>
      <c r="C812" s="2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</row>
    <row r="813" spans="1:27" ht="16.5" customHeight="1">
      <c r="A813" s="1"/>
      <c r="B813" s="1"/>
      <c r="C813" s="2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</row>
    <row r="814" spans="1:27" ht="16.5" customHeight="1">
      <c r="A814" s="1"/>
      <c r="B814" s="1"/>
      <c r="C814" s="2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</row>
    <row r="815" spans="1:27" ht="16.5" customHeight="1">
      <c r="A815" s="1"/>
      <c r="B815" s="1"/>
      <c r="C815" s="2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</row>
    <row r="816" spans="1:27" ht="16.5" customHeight="1">
      <c r="A816" s="1"/>
      <c r="B816" s="1"/>
      <c r="C816" s="2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</row>
    <row r="817" spans="1:27" ht="16.5" customHeight="1">
      <c r="A817" s="1"/>
      <c r="B817" s="1"/>
      <c r="C817" s="2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</row>
    <row r="818" spans="1:27" ht="16.5" customHeight="1">
      <c r="A818" s="1"/>
      <c r="B818" s="1"/>
      <c r="C818" s="2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</row>
    <row r="819" spans="1:27" ht="16.5" customHeight="1">
      <c r="A819" s="1"/>
      <c r="B819" s="1"/>
      <c r="C819" s="2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</row>
    <row r="820" spans="1:27" ht="16.5" customHeight="1">
      <c r="A820" s="1"/>
      <c r="B820" s="1"/>
      <c r="C820" s="2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</row>
    <row r="821" spans="1:27" ht="16.5" customHeight="1">
      <c r="A821" s="1"/>
      <c r="B821" s="1"/>
      <c r="C821" s="2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</row>
    <row r="822" spans="1:27" ht="16.5" customHeight="1">
      <c r="A822" s="1"/>
      <c r="B822" s="1"/>
      <c r="C822" s="2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</row>
    <row r="823" spans="1:27" ht="16.5" customHeight="1">
      <c r="A823" s="1"/>
      <c r="B823" s="1"/>
      <c r="C823" s="2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</row>
    <row r="824" spans="1:27" ht="16.5" customHeight="1">
      <c r="A824" s="1"/>
      <c r="B824" s="1"/>
      <c r="C824" s="2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</row>
    <row r="825" spans="1:27" ht="16.5" customHeight="1">
      <c r="A825" s="1"/>
      <c r="B825" s="1"/>
      <c r="C825" s="2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</row>
    <row r="826" spans="1:27" ht="16.5" customHeight="1">
      <c r="A826" s="1"/>
      <c r="B826" s="1"/>
      <c r="C826" s="2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</row>
    <row r="827" spans="1:27" ht="16.5" customHeight="1">
      <c r="A827" s="1"/>
      <c r="B827" s="1"/>
      <c r="C827" s="2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</row>
    <row r="828" spans="1:27" ht="16.5" customHeight="1">
      <c r="A828" s="1"/>
      <c r="B828" s="1"/>
      <c r="C828" s="2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</row>
    <row r="829" spans="1:27" ht="16.5" customHeight="1">
      <c r="A829" s="1"/>
      <c r="B829" s="1"/>
      <c r="C829" s="2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</row>
    <row r="830" spans="1:27" ht="16.5" customHeight="1">
      <c r="A830" s="1"/>
      <c r="B830" s="1"/>
      <c r="C830" s="2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</row>
    <row r="831" spans="1:27" ht="16.5" customHeight="1">
      <c r="A831" s="1"/>
      <c r="B831" s="1"/>
      <c r="C831" s="2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</row>
    <row r="832" spans="1:27" ht="16.5" customHeight="1">
      <c r="A832" s="1"/>
      <c r="B832" s="1"/>
      <c r="C832" s="2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</row>
    <row r="833" spans="1:27" ht="16.5" customHeight="1">
      <c r="A833" s="1"/>
      <c r="B833" s="1"/>
      <c r="C833" s="2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</row>
    <row r="834" spans="1:27" ht="16.5" customHeight="1">
      <c r="A834" s="1"/>
      <c r="B834" s="1"/>
      <c r="C834" s="2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</row>
    <row r="835" spans="1:27" ht="16.5" customHeight="1">
      <c r="A835" s="1"/>
      <c r="B835" s="1"/>
      <c r="C835" s="2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</row>
    <row r="836" spans="1:27" ht="16.5" customHeight="1">
      <c r="A836" s="1"/>
      <c r="B836" s="1"/>
      <c r="C836" s="2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</row>
    <row r="837" spans="1:27" ht="16.5" customHeight="1">
      <c r="A837" s="1"/>
      <c r="B837" s="1"/>
      <c r="C837" s="2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</row>
    <row r="838" spans="1:27" ht="16.5" customHeight="1">
      <c r="A838" s="1"/>
      <c r="B838" s="1"/>
      <c r="C838" s="2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</row>
    <row r="839" spans="1:27" ht="16.5" customHeight="1">
      <c r="A839" s="1"/>
      <c r="B839" s="1"/>
      <c r="C839" s="2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</row>
    <row r="840" spans="1:27" ht="16.5" customHeight="1">
      <c r="A840" s="1"/>
      <c r="B840" s="1"/>
      <c r="C840" s="2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</row>
    <row r="841" spans="1:27" ht="16.5" customHeight="1">
      <c r="A841" s="1"/>
      <c r="B841" s="1"/>
      <c r="C841" s="2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</row>
    <row r="842" spans="1:27" ht="16.5" customHeight="1">
      <c r="A842" s="1"/>
      <c r="B842" s="1"/>
      <c r="C842" s="2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</row>
    <row r="843" spans="1:27" ht="16.5" customHeight="1">
      <c r="A843" s="1"/>
      <c r="B843" s="1"/>
      <c r="C843" s="2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</row>
    <row r="844" spans="1:27" ht="16.5" customHeight="1">
      <c r="A844" s="1"/>
      <c r="B844" s="1"/>
      <c r="C844" s="2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</row>
    <row r="845" spans="1:27" ht="16.5" customHeight="1">
      <c r="A845" s="1"/>
      <c r="B845" s="1"/>
      <c r="C845" s="2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</row>
    <row r="846" spans="1:27" ht="16.5" customHeight="1">
      <c r="A846" s="1"/>
      <c r="B846" s="1"/>
      <c r="C846" s="2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</row>
    <row r="847" spans="1:27" ht="16.5" customHeight="1">
      <c r="A847" s="1"/>
      <c r="B847" s="1"/>
      <c r="C847" s="2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</row>
    <row r="848" spans="1:27" ht="16.5" customHeight="1">
      <c r="A848" s="1"/>
      <c r="B848" s="1"/>
      <c r="C848" s="2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</row>
    <row r="849" spans="1:27" ht="16.5" customHeight="1">
      <c r="A849" s="1"/>
      <c r="B849" s="1"/>
      <c r="C849" s="2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</row>
    <row r="850" spans="1:27" ht="16.5" customHeight="1">
      <c r="A850" s="1"/>
      <c r="B850" s="1"/>
      <c r="C850" s="2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</row>
    <row r="851" spans="1:27" ht="16.5" customHeight="1">
      <c r="A851" s="1"/>
      <c r="B851" s="1"/>
      <c r="C851" s="2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</row>
    <row r="852" spans="1:27" ht="16.5" customHeight="1">
      <c r="A852" s="1"/>
      <c r="B852" s="1"/>
      <c r="C852" s="2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</row>
    <row r="853" spans="1:27" ht="16.5" customHeight="1">
      <c r="A853" s="1"/>
      <c r="B853" s="1"/>
      <c r="C853" s="2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</row>
    <row r="854" spans="1:27" ht="16.5" customHeight="1">
      <c r="A854" s="1"/>
      <c r="B854" s="1"/>
      <c r="C854" s="2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</row>
    <row r="855" spans="1:27" ht="16.5" customHeight="1">
      <c r="A855" s="1"/>
      <c r="B855" s="1"/>
      <c r="C855" s="2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</row>
    <row r="856" spans="1:27" ht="16.5" customHeight="1">
      <c r="A856" s="1"/>
      <c r="B856" s="1"/>
      <c r="C856" s="2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</row>
    <row r="857" spans="1:27" ht="16.5" customHeight="1">
      <c r="A857" s="1"/>
      <c r="B857" s="1"/>
      <c r="C857" s="2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</row>
    <row r="858" spans="1:27" ht="16.5" customHeight="1">
      <c r="A858" s="1"/>
      <c r="B858" s="1"/>
      <c r="C858" s="2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</row>
    <row r="859" spans="1:27" ht="16.5" customHeight="1">
      <c r="A859" s="1"/>
      <c r="B859" s="1"/>
      <c r="C859" s="2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</row>
    <row r="860" spans="1:27" ht="16.5" customHeight="1">
      <c r="A860" s="1"/>
      <c r="B860" s="1"/>
      <c r="C860" s="2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</row>
    <row r="861" spans="1:27" ht="16.5" customHeight="1">
      <c r="A861" s="1"/>
      <c r="B861" s="1"/>
      <c r="C861" s="2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</row>
    <row r="862" spans="1:27" ht="16.5" customHeight="1">
      <c r="A862" s="1"/>
      <c r="B862" s="1"/>
      <c r="C862" s="2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</row>
    <row r="863" spans="1:27" ht="16.5" customHeight="1">
      <c r="A863" s="1"/>
      <c r="B863" s="1"/>
      <c r="C863" s="2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</row>
    <row r="864" spans="1:27" ht="16.5" customHeight="1">
      <c r="A864" s="1"/>
      <c r="B864" s="1"/>
      <c r="C864" s="2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</row>
    <row r="865" spans="1:27" ht="16.5" customHeight="1">
      <c r="A865" s="1"/>
      <c r="B865" s="1"/>
      <c r="C865" s="2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</row>
    <row r="866" spans="1:27" ht="16.5" customHeight="1">
      <c r="A866" s="1"/>
      <c r="B866" s="1"/>
      <c r="C866" s="2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</row>
    <row r="867" spans="1:27" ht="16.5" customHeight="1">
      <c r="A867" s="1"/>
      <c r="B867" s="1"/>
      <c r="C867" s="2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</row>
    <row r="868" spans="1:27" ht="16.5" customHeight="1">
      <c r="A868" s="1"/>
      <c r="B868" s="1"/>
      <c r="C868" s="2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</row>
    <row r="869" spans="1:27" ht="16.5" customHeight="1">
      <c r="A869" s="1"/>
      <c r="B869" s="1"/>
      <c r="C869" s="2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</row>
    <row r="870" spans="1:27" ht="16.5" customHeight="1">
      <c r="A870" s="1"/>
      <c r="B870" s="1"/>
      <c r="C870" s="2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</row>
    <row r="871" spans="1:27" ht="16.5" customHeight="1">
      <c r="A871" s="1"/>
      <c r="B871" s="1"/>
      <c r="C871" s="2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</row>
    <row r="872" spans="1:27" ht="16.5" customHeight="1">
      <c r="A872" s="1"/>
      <c r="B872" s="1"/>
      <c r="C872" s="2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</row>
    <row r="873" spans="1:27" ht="16.5" customHeight="1">
      <c r="A873" s="1"/>
      <c r="B873" s="1"/>
      <c r="C873" s="2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</row>
    <row r="874" spans="1:27" ht="16.5" customHeight="1">
      <c r="A874" s="1"/>
      <c r="B874" s="1"/>
      <c r="C874" s="2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</row>
    <row r="875" spans="1:27" ht="16.5" customHeight="1">
      <c r="A875" s="1"/>
      <c r="B875" s="1"/>
      <c r="C875" s="2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</row>
    <row r="876" spans="1:27" ht="16.5" customHeight="1">
      <c r="A876" s="1"/>
      <c r="B876" s="1"/>
      <c r="C876" s="2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</row>
    <row r="877" spans="1:27" ht="16.5" customHeight="1">
      <c r="A877" s="1"/>
      <c r="B877" s="1"/>
      <c r="C877" s="2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</row>
    <row r="878" spans="1:27" ht="16.5" customHeight="1">
      <c r="A878" s="1"/>
      <c r="B878" s="1"/>
      <c r="C878" s="2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</row>
    <row r="879" spans="1:27" ht="16.5" customHeight="1">
      <c r="A879" s="1"/>
      <c r="B879" s="1"/>
      <c r="C879" s="2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</row>
    <row r="880" spans="1:27" ht="16.5" customHeight="1">
      <c r="A880" s="1"/>
      <c r="B880" s="1"/>
      <c r="C880" s="2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</row>
    <row r="881" spans="1:27" ht="16.5" customHeight="1">
      <c r="A881" s="1"/>
      <c r="B881" s="1"/>
      <c r="C881" s="2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</row>
    <row r="882" spans="1:27" ht="16.5" customHeight="1">
      <c r="A882" s="1"/>
      <c r="B882" s="1"/>
      <c r="C882" s="2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</row>
    <row r="883" spans="1:27" ht="16.5" customHeight="1">
      <c r="A883" s="1"/>
      <c r="B883" s="1"/>
      <c r="C883" s="2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</row>
    <row r="884" spans="1:27" ht="16.5" customHeight="1">
      <c r="A884" s="1"/>
      <c r="B884" s="1"/>
      <c r="C884" s="2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</row>
    <row r="885" spans="1:27" ht="16.5" customHeight="1">
      <c r="A885" s="1"/>
      <c r="B885" s="1"/>
      <c r="C885" s="2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</row>
    <row r="886" spans="1:27" ht="16.5" customHeight="1">
      <c r="A886" s="1"/>
      <c r="B886" s="1"/>
      <c r="C886" s="2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</row>
    <row r="887" spans="1:27" ht="16.5" customHeight="1">
      <c r="A887" s="1"/>
      <c r="B887" s="1"/>
      <c r="C887" s="2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</row>
    <row r="888" spans="1:27" ht="16.5" customHeight="1">
      <c r="A888" s="1"/>
      <c r="B888" s="1"/>
      <c r="C888" s="2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</row>
    <row r="889" spans="1:27" ht="16.5" customHeight="1">
      <c r="A889" s="1"/>
      <c r="B889" s="1"/>
      <c r="C889" s="2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</row>
    <row r="890" spans="1:27" ht="16.5" customHeight="1">
      <c r="A890" s="1"/>
      <c r="B890" s="1"/>
      <c r="C890" s="2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</row>
    <row r="891" spans="1:27" ht="16.5" customHeight="1">
      <c r="A891" s="1"/>
      <c r="B891" s="1"/>
      <c r="C891" s="2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</row>
    <row r="892" spans="1:27" ht="16.5" customHeight="1">
      <c r="A892" s="1"/>
      <c r="B892" s="1"/>
      <c r="C892" s="2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</row>
    <row r="893" spans="1:27" ht="16.5" customHeight="1">
      <c r="A893" s="1"/>
      <c r="B893" s="1"/>
      <c r="C893" s="2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</row>
    <row r="894" spans="1:27" ht="16.5" customHeight="1">
      <c r="A894" s="1"/>
      <c r="B894" s="1"/>
      <c r="C894" s="2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</row>
    <row r="895" spans="1:27" ht="16.5" customHeight="1">
      <c r="A895" s="1"/>
      <c r="B895" s="1"/>
      <c r="C895" s="2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</row>
    <row r="896" spans="1:27" ht="16.5" customHeight="1">
      <c r="A896" s="1"/>
      <c r="B896" s="1"/>
      <c r="C896" s="2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</row>
    <row r="897" spans="1:27" ht="16.5" customHeight="1">
      <c r="A897" s="1"/>
      <c r="B897" s="1"/>
      <c r="C897" s="2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</row>
    <row r="898" spans="1:27" ht="16.5" customHeight="1">
      <c r="A898" s="1"/>
      <c r="B898" s="1"/>
      <c r="C898" s="2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</row>
    <row r="899" spans="1:27" ht="16.5" customHeight="1">
      <c r="A899" s="1"/>
      <c r="B899" s="1"/>
      <c r="C899" s="2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</row>
    <row r="900" spans="1:27" ht="16.5" customHeight="1">
      <c r="A900" s="1"/>
      <c r="B900" s="1"/>
      <c r="C900" s="2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</row>
    <row r="901" spans="1:27" ht="16.5" customHeight="1">
      <c r="A901" s="1"/>
      <c r="B901" s="1"/>
      <c r="C901" s="2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</row>
    <row r="902" spans="1:27" ht="16.5" customHeight="1">
      <c r="A902" s="1"/>
      <c r="B902" s="1"/>
      <c r="C902" s="2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</row>
    <row r="903" spans="1:27" ht="16.5" customHeight="1">
      <c r="A903" s="1"/>
      <c r="B903" s="1"/>
      <c r="C903" s="2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</row>
    <row r="904" spans="1:27" ht="16.5" customHeight="1">
      <c r="A904" s="1"/>
      <c r="B904" s="1"/>
      <c r="C904" s="2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</row>
    <row r="905" spans="1:27" ht="16.5" customHeight="1">
      <c r="A905" s="1"/>
      <c r="B905" s="1"/>
      <c r="C905" s="2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</row>
    <row r="906" spans="1:27" ht="16.5" customHeight="1">
      <c r="A906" s="1"/>
      <c r="B906" s="1"/>
      <c r="C906" s="2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</row>
    <row r="907" spans="1:27" ht="16.5" customHeight="1">
      <c r="A907" s="1"/>
      <c r="B907" s="1"/>
      <c r="C907" s="2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</row>
    <row r="908" spans="1:27" ht="16.5" customHeight="1">
      <c r="A908" s="1"/>
      <c r="B908" s="1"/>
      <c r="C908" s="2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</row>
    <row r="909" spans="1:27" ht="16.5" customHeight="1">
      <c r="A909" s="1"/>
      <c r="B909" s="1"/>
      <c r="C909" s="2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</row>
    <row r="910" spans="1:27" ht="16.5" customHeight="1">
      <c r="A910" s="1"/>
      <c r="B910" s="1"/>
      <c r="C910" s="2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</row>
    <row r="911" spans="1:27" ht="16.5" customHeight="1">
      <c r="A911" s="1"/>
      <c r="B911" s="1"/>
      <c r="C911" s="2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</row>
    <row r="912" spans="1:27" ht="16.5" customHeight="1">
      <c r="A912" s="1"/>
      <c r="B912" s="1"/>
      <c r="C912" s="2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</row>
    <row r="913" spans="1:27" ht="16.5" customHeight="1">
      <c r="A913" s="1"/>
      <c r="B913" s="1"/>
      <c r="C913" s="2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</row>
    <row r="914" spans="1:27" ht="16.5" customHeight="1">
      <c r="A914" s="1"/>
      <c r="B914" s="1"/>
      <c r="C914" s="2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</row>
    <row r="915" spans="1:27" ht="16.5" customHeight="1">
      <c r="A915" s="1"/>
      <c r="B915" s="1"/>
      <c r="C915" s="2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</row>
    <row r="916" spans="1:27" ht="16.5" customHeight="1">
      <c r="A916" s="1"/>
      <c r="B916" s="1"/>
      <c r="C916" s="2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</row>
    <row r="917" spans="1:27" ht="16.5" customHeight="1">
      <c r="A917" s="1"/>
      <c r="B917" s="1"/>
      <c r="C917" s="2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</row>
    <row r="918" spans="1:27" ht="16.5" customHeight="1">
      <c r="A918" s="1"/>
      <c r="B918" s="1"/>
      <c r="C918" s="2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</row>
    <row r="919" spans="1:27" ht="16.5" customHeight="1">
      <c r="A919" s="1"/>
      <c r="B919" s="1"/>
      <c r="C919" s="2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</row>
    <row r="920" spans="1:27" ht="16.5" customHeight="1">
      <c r="A920" s="1"/>
      <c r="B920" s="1"/>
      <c r="C920" s="2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</row>
    <row r="921" spans="1:27" ht="16.5" customHeight="1">
      <c r="A921" s="1"/>
      <c r="B921" s="1"/>
      <c r="C921" s="2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</row>
    <row r="922" spans="1:27" ht="16.5" customHeight="1">
      <c r="A922" s="1"/>
      <c r="B922" s="1"/>
      <c r="C922" s="2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</row>
    <row r="923" spans="1:27" ht="16.5" customHeight="1">
      <c r="A923" s="1"/>
      <c r="B923" s="1"/>
      <c r="C923" s="2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</row>
    <row r="924" spans="1:27" ht="16.5" customHeight="1">
      <c r="A924" s="1"/>
      <c r="B924" s="1"/>
      <c r="C924" s="2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</row>
    <row r="925" spans="1:27" ht="16.5" customHeight="1">
      <c r="A925" s="1"/>
      <c r="B925" s="1"/>
      <c r="C925" s="2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</row>
    <row r="926" spans="1:27" ht="16.5" customHeight="1">
      <c r="A926" s="1"/>
      <c r="B926" s="1"/>
      <c r="C926" s="2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</row>
    <row r="927" spans="1:27" ht="16.5" customHeight="1">
      <c r="A927" s="1"/>
      <c r="B927" s="1"/>
      <c r="C927" s="2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</row>
    <row r="928" spans="1:27" ht="16.5" customHeight="1">
      <c r="A928" s="1"/>
      <c r="B928" s="1"/>
      <c r="C928" s="2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</row>
    <row r="929" spans="1:27" ht="16.5" customHeight="1">
      <c r="A929" s="1"/>
      <c r="B929" s="1"/>
      <c r="C929" s="2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</row>
    <row r="930" spans="1:27" ht="16.5" customHeight="1">
      <c r="A930" s="1"/>
      <c r="B930" s="1"/>
      <c r="C930" s="2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</row>
    <row r="931" spans="1:27" ht="16.5" customHeight="1">
      <c r="A931" s="1"/>
      <c r="B931" s="1"/>
      <c r="C931" s="2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</row>
    <row r="932" spans="1:27" ht="16.5" customHeight="1">
      <c r="A932" s="1"/>
      <c r="B932" s="1"/>
      <c r="C932" s="2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</row>
    <row r="933" spans="1:27" ht="16.5" customHeight="1">
      <c r="A933" s="1"/>
      <c r="B933" s="1"/>
      <c r="C933" s="2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</row>
    <row r="934" spans="1:27" ht="16.5" customHeight="1">
      <c r="A934" s="1"/>
      <c r="B934" s="1"/>
      <c r="C934" s="2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</row>
    <row r="935" spans="1:27" ht="16.5" customHeight="1">
      <c r="A935" s="1"/>
      <c r="B935" s="1"/>
      <c r="C935" s="2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</row>
    <row r="936" spans="1:27" ht="16.5" customHeight="1">
      <c r="A936" s="1"/>
      <c r="B936" s="1"/>
      <c r="C936" s="2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</row>
    <row r="937" spans="1:27" ht="16.5" customHeight="1">
      <c r="A937" s="1"/>
      <c r="B937" s="1"/>
      <c r="C937" s="2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</row>
    <row r="938" spans="1:27" ht="16.5" customHeight="1">
      <c r="A938" s="1"/>
      <c r="B938" s="1"/>
      <c r="C938" s="2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</row>
    <row r="939" spans="1:27" ht="16.5" customHeight="1">
      <c r="A939" s="1"/>
      <c r="B939" s="1"/>
      <c r="C939" s="2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</row>
    <row r="940" spans="1:27" ht="16.5" customHeight="1">
      <c r="A940" s="1"/>
      <c r="B940" s="1"/>
      <c r="C940" s="2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</row>
    <row r="941" spans="1:27" ht="16.5" customHeight="1">
      <c r="A941" s="1"/>
      <c r="B941" s="1"/>
      <c r="C941" s="2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</row>
    <row r="942" spans="1:27" ht="16.5" customHeight="1">
      <c r="A942" s="1"/>
      <c r="B942" s="1"/>
      <c r="C942" s="2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</row>
    <row r="943" spans="1:27" ht="16.5" customHeight="1">
      <c r="A943" s="1"/>
      <c r="B943" s="1"/>
      <c r="C943" s="2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</row>
    <row r="944" spans="1:27" ht="16.5" customHeight="1">
      <c r="A944" s="1"/>
      <c r="B944" s="1"/>
      <c r="C944" s="2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</row>
    <row r="945" spans="1:27" ht="16.5" customHeight="1">
      <c r="A945" s="1"/>
      <c r="B945" s="1"/>
      <c r="C945" s="2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</row>
    <row r="946" spans="1:27" ht="16.5" customHeight="1">
      <c r="A946" s="1"/>
      <c r="B946" s="1"/>
      <c r="C946" s="2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</row>
    <row r="947" spans="1:27" ht="16.5" customHeight="1">
      <c r="A947" s="1"/>
      <c r="B947" s="1"/>
      <c r="C947" s="2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</row>
    <row r="948" spans="1:27" ht="16.5" customHeight="1">
      <c r="A948" s="1"/>
      <c r="B948" s="1"/>
      <c r="C948" s="2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</row>
    <row r="949" spans="1:27" ht="16.5" customHeight="1">
      <c r="A949" s="1"/>
      <c r="B949" s="1"/>
      <c r="C949" s="2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</row>
    <row r="950" spans="1:27" ht="16.5" customHeight="1">
      <c r="A950" s="1"/>
      <c r="B950" s="1"/>
      <c r="C950" s="2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</row>
    <row r="951" spans="1:27" ht="16.5" customHeight="1">
      <c r="A951" s="1"/>
      <c r="B951" s="1"/>
      <c r="C951" s="2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</row>
    <row r="952" spans="1:27" ht="16.5" customHeight="1">
      <c r="A952" s="1"/>
      <c r="B952" s="1"/>
      <c r="C952" s="2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</row>
    <row r="953" spans="1:27" ht="16.5" customHeight="1">
      <c r="A953" s="1"/>
      <c r="B953" s="1"/>
      <c r="C953" s="2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</row>
    <row r="954" spans="1:27" ht="16.5" customHeight="1">
      <c r="A954" s="1"/>
      <c r="B954" s="1"/>
      <c r="C954" s="2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</row>
    <row r="955" spans="1:27" ht="16.5" customHeight="1">
      <c r="A955" s="1"/>
      <c r="B955" s="1"/>
      <c r="C955" s="2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</row>
    <row r="956" spans="1:27" ht="16.5" customHeight="1">
      <c r="A956" s="1"/>
      <c r="B956" s="1"/>
      <c r="C956" s="2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</row>
    <row r="957" spans="1:27" ht="16.5" customHeight="1">
      <c r="A957" s="1"/>
      <c r="B957" s="1"/>
      <c r="C957" s="2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</row>
    <row r="958" spans="1:27" ht="16.5" customHeight="1">
      <c r="A958" s="1"/>
      <c r="B958" s="1"/>
      <c r="C958" s="2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</row>
    <row r="959" spans="1:27" ht="16.5" customHeight="1">
      <c r="A959" s="1"/>
      <c r="B959" s="1"/>
      <c r="C959" s="2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</row>
    <row r="960" spans="1:27" ht="16.5" customHeight="1">
      <c r="A960" s="1"/>
      <c r="B960" s="1"/>
      <c r="C960" s="2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</row>
    <row r="961" spans="1:27" ht="16.5" customHeight="1">
      <c r="A961" s="1"/>
      <c r="B961" s="1"/>
      <c r="C961" s="2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</row>
    <row r="962" spans="1:27" ht="16.5" customHeight="1">
      <c r="A962" s="1"/>
      <c r="B962" s="1"/>
      <c r="C962" s="2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</row>
    <row r="963" spans="1:27" ht="16.5" customHeight="1">
      <c r="A963" s="1"/>
      <c r="B963" s="1"/>
      <c r="C963" s="2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</row>
    <row r="964" spans="1:27" ht="16.5" customHeight="1">
      <c r="A964" s="1"/>
      <c r="B964" s="1"/>
      <c r="C964" s="2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</row>
    <row r="965" spans="1:27" ht="16.5" customHeight="1">
      <c r="A965" s="1"/>
      <c r="B965" s="1"/>
      <c r="C965" s="2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</row>
    <row r="966" spans="1:27" ht="16.5" customHeight="1">
      <c r="A966" s="1"/>
      <c r="B966" s="1"/>
      <c r="C966" s="2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</row>
    <row r="967" spans="1:27" ht="16.5" customHeight="1">
      <c r="A967" s="1"/>
      <c r="B967" s="1"/>
      <c r="C967" s="2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</row>
    <row r="968" spans="1:27" ht="16.5" customHeight="1">
      <c r="A968" s="1"/>
      <c r="B968" s="1"/>
      <c r="C968" s="2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</row>
    <row r="969" spans="1:27" ht="16.5" customHeight="1">
      <c r="A969" s="1"/>
      <c r="B969" s="1"/>
      <c r="C969" s="2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</row>
    <row r="970" spans="1:27" ht="16.5" customHeight="1">
      <c r="A970" s="1"/>
      <c r="B970" s="1"/>
      <c r="C970" s="2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</row>
    <row r="971" spans="1:27" ht="16.5" customHeight="1">
      <c r="A971" s="1"/>
      <c r="B971" s="1"/>
      <c r="C971" s="2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</row>
    <row r="972" spans="1:27" ht="16.5" customHeight="1">
      <c r="A972" s="1"/>
      <c r="B972" s="1"/>
      <c r="C972" s="2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</row>
    <row r="973" spans="1:27" ht="16.5" customHeight="1">
      <c r="A973" s="1"/>
      <c r="B973" s="1"/>
      <c r="C973" s="2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</row>
    <row r="974" spans="1:27" ht="16.5" customHeight="1">
      <c r="A974" s="1"/>
      <c r="B974" s="1"/>
      <c r="C974" s="2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</row>
    <row r="975" spans="1:27" ht="16.5" customHeight="1">
      <c r="A975" s="1"/>
      <c r="B975" s="1"/>
      <c r="C975" s="2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</row>
    <row r="976" spans="1:27" ht="16.5" customHeight="1">
      <c r="A976" s="1"/>
      <c r="B976" s="1"/>
      <c r="C976" s="2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</row>
    <row r="977" spans="1:27" ht="16.5" customHeight="1">
      <c r="A977" s="1"/>
      <c r="B977" s="1"/>
      <c r="C977" s="2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</row>
    <row r="978" spans="1:27" ht="16.5" customHeight="1">
      <c r="A978" s="1"/>
      <c r="B978" s="1"/>
      <c r="C978" s="2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</row>
    <row r="979" spans="1:27" ht="16.5" customHeight="1">
      <c r="A979" s="1"/>
      <c r="B979" s="1"/>
      <c r="C979" s="2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</row>
    <row r="980" spans="1:27" ht="16.5" customHeight="1">
      <c r="A980" s="1"/>
      <c r="B980" s="1"/>
      <c r="C980" s="2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1"/>
    </row>
    <row r="981" spans="1:27" ht="16.5" customHeight="1">
      <c r="A981" s="1"/>
      <c r="B981" s="1"/>
      <c r="C981" s="2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1"/>
    </row>
    <row r="982" spans="1:27" ht="16.5" customHeight="1">
      <c r="A982" s="1"/>
      <c r="B982" s="1"/>
      <c r="C982" s="2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1"/>
    </row>
    <row r="983" spans="1:27" ht="16.5" customHeight="1">
      <c r="A983" s="1"/>
      <c r="B983" s="1"/>
      <c r="C983" s="2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1"/>
    </row>
    <row r="984" spans="1:27" ht="16.5" customHeight="1">
      <c r="A984" s="1"/>
      <c r="B984" s="1"/>
      <c r="C984" s="2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  <c r="AA984" s="1"/>
    </row>
    <row r="985" spans="1:27" ht="16.5" customHeight="1">
      <c r="A985" s="1"/>
      <c r="B985" s="1"/>
      <c r="C985" s="2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  <c r="AA985" s="1"/>
    </row>
    <row r="986" spans="1:27" ht="16.5" customHeight="1">
      <c r="A986" s="1"/>
      <c r="B986" s="1"/>
      <c r="C986" s="2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  <c r="AA986" s="1"/>
    </row>
    <row r="987" spans="1:27" ht="16.5" customHeight="1">
      <c r="A987" s="1"/>
      <c r="B987" s="1"/>
      <c r="C987" s="2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  <c r="AA987" s="1"/>
    </row>
    <row r="988" spans="1:27" ht="16.5" customHeight="1">
      <c r="A988" s="1"/>
      <c r="B988" s="1"/>
      <c r="C988" s="2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  <c r="AA988" s="1"/>
    </row>
    <row r="989" spans="1:27" ht="16.5" customHeight="1">
      <c r="A989" s="1"/>
      <c r="B989" s="1"/>
      <c r="C989" s="2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  <c r="AA989" s="1"/>
    </row>
    <row r="990" spans="1:27" ht="16.5" customHeight="1">
      <c r="A990" s="1"/>
      <c r="B990" s="1"/>
      <c r="C990" s="2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  <c r="AA990" s="1"/>
    </row>
    <row r="991" spans="1:27" ht="16.5" customHeight="1">
      <c r="A991" s="1"/>
      <c r="B991" s="1"/>
      <c r="C991" s="2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  <c r="AA991" s="1"/>
    </row>
    <row r="992" spans="1:27" ht="16.5" customHeight="1">
      <c r="A992" s="1"/>
      <c r="B992" s="1"/>
      <c r="C992" s="2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  <c r="AA992" s="1"/>
    </row>
    <row r="993" spans="1:27" ht="16.5" customHeight="1">
      <c r="A993" s="1"/>
      <c r="B993" s="1"/>
      <c r="C993" s="2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  <c r="AA993" s="1"/>
    </row>
    <row r="994" spans="1:27" ht="16.5" customHeight="1">
      <c r="A994" s="1"/>
      <c r="B994" s="1"/>
      <c r="C994" s="2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  <c r="AA994" s="1"/>
    </row>
    <row r="995" spans="1:27" ht="16.5" customHeight="1">
      <c r="A995" s="1"/>
      <c r="B995" s="1"/>
      <c r="C995" s="2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  <c r="AA995" s="1"/>
    </row>
    <row r="996" spans="1:27" ht="16.5" customHeight="1">
      <c r="A996" s="1"/>
      <c r="B996" s="1"/>
      <c r="C996" s="2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  <c r="AA996" s="1"/>
    </row>
    <row r="997" spans="1:27" ht="16.5" customHeight="1">
      <c r="A997" s="1"/>
      <c r="B997" s="1"/>
      <c r="C997" s="2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  <c r="AA997" s="1"/>
    </row>
    <row r="998" spans="1:27" ht="16.5" customHeight="1">
      <c r="A998" s="1"/>
      <c r="B998" s="1"/>
      <c r="C998" s="2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  <c r="AA998" s="1"/>
    </row>
    <row r="999" spans="1:27" ht="16.5" customHeight="1">
      <c r="A999" s="1"/>
      <c r="B999" s="1"/>
      <c r="C999" s="2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  <c r="AA999" s="1"/>
    </row>
    <row r="1000" spans="1:27" ht="16.5" customHeight="1">
      <c r="A1000" s="1"/>
      <c r="B1000" s="1"/>
      <c r="C1000" s="2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  <c r="AA1000" s="1"/>
    </row>
  </sheetData>
  <mergeCells count="5">
    <mergeCell ref="A3:B5"/>
    <mergeCell ref="D3:H5"/>
    <mergeCell ref="A7:A21"/>
    <mergeCell ref="H7:H21"/>
    <mergeCell ref="G19:G21"/>
  </mergeCells>
  <phoneticPr fontId="22" type="noConversion"/>
  <pageMargins left="0.7" right="0.7" top="0.75" bottom="0.75" header="0" footer="0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워크시트</vt:lpstr>
      </vt:variant>
      <vt:variant>
        <vt:i4>8</vt:i4>
      </vt:variant>
    </vt:vector>
  </HeadingPairs>
  <TitlesOfParts>
    <vt:vector size="8" baseType="lpstr">
      <vt:lpstr>250117 (제출본-최초)</vt:lpstr>
      <vt:lpstr>@250217 (제출본-최종)</vt:lpstr>
      <vt:lpstr>@250305</vt:lpstr>
      <vt:lpstr>250728_기획디자인변경(계약기준)</vt:lpstr>
      <vt:lpstr>250718_기획디자인변경(계약기준)</vt:lpstr>
      <vt:lpstr>history_@250326추가</vt:lpstr>
      <vt:lpstr>history_250425_디자인추가</vt:lpstr>
      <vt:lpstr>자리배치도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최승일</dc:creator>
  <cp:lastModifiedBy>user</cp:lastModifiedBy>
  <cp:lastPrinted>2025-07-17T05:41:13Z</cp:lastPrinted>
  <dcterms:created xsi:type="dcterms:W3CDTF">2025-01-15T10:03:09Z</dcterms:created>
  <dcterms:modified xsi:type="dcterms:W3CDTF">2025-07-28T23:44:42Z</dcterms:modified>
</cp:coreProperties>
</file>