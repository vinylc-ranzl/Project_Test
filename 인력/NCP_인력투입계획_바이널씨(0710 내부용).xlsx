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F09A92D6-098F-AE4A-99CE-BE1684B62613}" xr6:coauthVersionLast="47" xr6:coauthVersionMax="47" xr10:uidLastSave="{00000000-0000-0000-0000-000000000000}"/>
  <bookViews>
    <workbookView xWindow="-8540" yWindow="-28800" windowWidth="51200" windowHeight="28800" xr2:uid="{00000000-000D-0000-FFFF-FFFF00000000}"/>
  </bookViews>
  <sheets>
    <sheet name="250710(기획 실질 - 디자인 2번방향)" sheetId="9" r:id="rId1"/>
  </sheets>
  <externalReferences>
    <externalReference r:id="rId2"/>
  </externalReferences>
  <definedNames>
    <definedName name="프로젝트유형">[1]기준!$B$28:$B$34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12" roundtripDataChecksum="nTm5C4j3MGzs1buDs1ooUyskuHITmbBcQc1pPimAWKc="/>
    </ext>
  </extLst>
</workbook>
</file>

<file path=xl/calcChain.xml><?xml version="1.0" encoding="utf-8"?>
<calcChain xmlns="http://schemas.openxmlformats.org/spreadsheetml/2006/main">
  <c r="AI37" i="9" l="1"/>
  <c r="AI33" i="9"/>
  <c r="Z50" i="9" l="1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AI40" i="9"/>
  <c r="AI39" i="9"/>
  <c r="AI38" i="9"/>
  <c r="AI36" i="9"/>
  <c r="AI35" i="9"/>
  <c r="AI34" i="9"/>
  <c r="AI32" i="9"/>
  <c r="AI31" i="9"/>
  <c r="AI30" i="9"/>
  <c r="Z28" i="9"/>
  <c r="Z52" i="9" s="1"/>
  <c r="Y28" i="9"/>
  <c r="Y52" i="9" s="1"/>
  <c r="X28" i="9"/>
  <c r="X52" i="9" s="1"/>
  <c r="W28" i="9"/>
  <c r="W52" i="9" s="1"/>
  <c r="V28" i="9"/>
  <c r="U28" i="9"/>
  <c r="T28" i="9"/>
  <c r="S28" i="9"/>
  <c r="R28" i="9"/>
  <c r="Q28" i="9"/>
  <c r="Q52" i="9" s="1"/>
  <c r="P28" i="9"/>
  <c r="P52" i="9" s="1"/>
  <c r="O28" i="9"/>
  <c r="N28" i="9"/>
  <c r="M28" i="9"/>
  <c r="M52" i="9" s="1"/>
  <c r="L28" i="9"/>
  <c r="AI27" i="9"/>
  <c r="AI26" i="9"/>
  <c r="AI25" i="9"/>
  <c r="AI24" i="9"/>
  <c r="AI23" i="9"/>
  <c r="AI22" i="9"/>
  <c r="AI21" i="9"/>
  <c r="AI20" i="9"/>
  <c r="AI19" i="9"/>
  <c r="AI18" i="9"/>
  <c r="AI17" i="9"/>
  <c r="AI16" i="9"/>
  <c r="AI15" i="9"/>
  <c r="AI14" i="9"/>
  <c r="AI13" i="9"/>
  <c r="AI12" i="9"/>
  <c r="AI11" i="9"/>
  <c r="AI10" i="9"/>
  <c r="AI9" i="9"/>
  <c r="AI8" i="9"/>
  <c r="AI7" i="9"/>
  <c r="U52" i="9" l="1"/>
  <c r="O52" i="9"/>
  <c r="R52" i="9"/>
  <c r="S52" i="9"/>
  <c r="AI50" i="9"/>
  <c r="L52" i="9"/>
  <c r="N52" i="9"/>
  <c r="V52" i="9"/>
  <c r="T52" i="9"/>
  <c r="AI28" i="9"/>
  <c r="AI52" i="9" l="1"/>
</calcChain>
</file>

<file path=xl/sharedStrings.xml><?xml version="1.0" encoding="utf-8"?>
<sst xmlns="http://schemas.openxmlformats.org/spreadsheetml/2006/main" count="199" uniqueCount="95">
  <si>
    <t>고우정</t>
  </si>
  <si>
    <t>황세진</t>
  </si>
  <si>
    <t>배지효</t>
  </si>
  <si>
    <t>이경진</t>
  </si>
  <si>
    <t>정수정</t>
  </si>
  <si>
    <t>윤혜림</t>
  </si>
  <si>
    <t>박성호</t>
  </si>
  <si>
    <t>김강현</t>
  </si>
  <si>
    <t>김세진</t>
  </si>
  <si>
    <t>김민지</t>
  </si>
  <si>
    <t>조선자</t>
  </si>
  <si>
    <t>장익준</t>
  </si>
  <si>
    <t>이태림</t>
  </si>
  <si>
    <t>민수연</t>
  </si>
  <si>
    <t>안광훈</t>
  </si>
  <si>
    <t>김영근</t>
  </si>
  <si>
    <t>유경구</t>
  </si>
  <si>
    <t>박민정</t>
  </si>
  <si>
    <t>현대백화점 New 커머스 플랫폼 구축</t>
  </si>
  <si>
    <t>업무구분</t>
  </si>
  <si>
    <t>역할</t>
  </si>
  <si>
    <t>계약등급</t>
  </si>
  <si>
    <t>이름</t>
  </si>
  <si>
    <t>실등급</t>
  </si>
  <si>
    <t>계약투입일</t>
  </si>
  <si>
    <t>계약철수일</t>
  </si>
  <si>
    <t>실투입일</t>
  </si>
  <si>
    <t>실철수일</t>
  </si>
  <si>
    <t>M1
(2월)</t>
  </si>
  <si>
    <t>M2
(3월)</t>
  </si>
  <si>
    <t>M3
(4월)</t>
  </si>
  <si>
    <t>M4
(5월)</t>
  </si>
  <si>
    <t>M5
(6월)</t>
  </si>
  <si>
    <t>M6
(7월)</t>
  </si>
  <si>
    <t>M7
(8월)</t>
  </si>
  <si>
    <t>M8
(9월)</t>
  </si>
  <si>
    <t>M9
(10월)</t>
  </si>
  <si>
    <t>M10
(11월)</t>
  </si>
  <si>
    <t>M11
(12월)</t>
  </si>
  <si>
    <t>M12
(1월)</t>
  </si>
  <si>
    <t>M13
(2월)</t>
  </si>
  <si>
    <t>M14
(3월)</t>
  </si>
  <si>
    <t>M15
(4월)</t>
  </si>
  <si>
    <t>M/M계</t>
  </si>
  <si>
    <t>현장관리</t>
  </si>
  <si>
    <t>기획/디자인 총괄 (바이널씨 PM)</t>
  </si>
  <si>
    <t>고급</t>
  </si>
  <si>
    <t>특급</t>
  </si>
  <si>
    <t>기획</t>
  </si>
  <si>
    <t>PL (제작가이드, 산출물 검수)</t>
  </si>
  <si>
    <t>-</t>
  </si>
  <si>
    <t>중급</t>
  </si>
  <si>
    <t>초급</t>
  </si>
  <si>
    <t>합계</t>
  </si>
  <si>
    <t>mm</t>
  </si>
  <si>
    <t>디자인</t>
  </si>
  <si>
    <t>앱웹 화면 UI 디자인</t>
  </si>
  <si>
    <t>인터렉션 디자인
(Interaction 설계 및 구현)</t>
  </si>
  <si>
    <t>MM</t>
  </si>
  <si>
    <t xml:space="preserve">월별 인력 투입 계획 </t>
  </si>
  <si>
    <t xml:space="preserve"> </t>
  </si>
  <si>
    <t>박지황</t>
    <phoneticPr fontId="15" type="noConversion"/>
  </si>
  <si>
    <t>김단비</t>
    <phoneticPr fontId="15" type="noConversion"/>
  </si>
  <si>
    <t>김원경</t>
    <phoneticPr fontId="15" type="noConversion"/>
  </si>
  <si>
    <t>유승용</t>
    <phoneticPr fontId="15" type="noConversion"/>
  </si>
  <si>
    <t>유지현</t>
    <phoneticPr fontId="15" type="noConversion"/>
  </si>
  <si>
    <t>앱웹 Front UXUI 상세 화면설계</t>
    <phoneticPr fontId="15" type="noConversion"/>
  </si>
  <si>
    <t>고급</t>
    <phoneticPr fontId="15" type="noConversion"/>
  </si>
  <si>
    <t>PL (제작가이드, 산출물 검수)</t>
    <phoneticPr fontId="15" type="noConversion"/>
  </si>
  <si>
    <t>우미숙</t>
    <phoneticPr fontId="15" type="noConversion"/>
  </si>
  <si>
    <t>중급</t>
    <phoneticPr fontId="15" type="noConversion"/>
  </si>
  <si>
    <t>TBD</t>
    <phoneticPr fontId="15" type="noConversion"/>
  </si>
  <si>
    <t>초급</t>
    <phoneticPr fontId="15" type="noConversion"/>
  </si>
  <si>
    <t>8월 - 9월</t>
    <phoneticPr fontId="17" type="noConversion"/>
  </si>
  <si>
    <t>단위테스트케이스 산출물 관리 / 테스트 시행</t>
    <phoneticPr fontId="17" type="noConversion"/>
  </si>
  <si>
    <t>추가요건에 대한 설계</t>
    <phoneticPr fontId="17" type="noConversion"/>
  </si>
  <si>
    <t>산출물(설계) 품질관리 및 현행화</t>
    <phoneticPr fontId="17" type="noConversion"/>
  </si>
  <si>
    <t>요구사항 추적표 관리</t>
    <phoneticPr fontId="17" type="noConversion"/>
  </si>
  <si>
    <t>메뉴구조도 관리</t>
    <phoneticPr fontId="17" type="noConversion"/>
  </si>
  <si>
    <t>10월 ~ 12월</t>
    <phoneticPr fontId="17" type="noConversion"/>
  </si>
  <si>
    <t>1월 ~ 3월</t>
    <phoneticPr fontId="17" type="noConversion"/>
  </si>
  <si>
    <t>통합테스트 (개발대응)</t>
    <phoneticPr fontId="17" type="noConversion"/>
  </si>
  <si>
    <t>로그인, 회원, 상품, 주문, 마이페이지 관리</t>
  </si>
  <si>
    <t>장바구니, 주문서, 주문완료</t>
  </si>
  <si>
    <t>구독, 마이페이지(주문관리)</t>
  </si>
  <si>
    <t>프로모션, 이벤트, 마이페이지(나의활동, 나의혜택)</t>
  </si>
  <si>
    <t>(김강현)</t>
  </si>
  <si>
    <t>로그인, 회원가입, 마이페이지(나의정보)</t>
  </si>
  <si>
    <t>(장익준)</t>
  </si>
  <si>
    <t>상품 (유형, 무형)</t>
  </si>
  <si>
    <t>모듈, 피드/샵메인, 전문관, 브랜드관, 콘텐츠, 신규기능(미스페이스, 잼/마이컬렉션) 고객센터, 공통</t>
  </si>
  <si>
    <t>모듈, 브랜드관, 콘텐츠</t>
  </si>
  <si>
    <t>신규기능(미스페이스, 잼/마이컬렉션), 고객센터, 공통, 전문관</t>
  </si>
  <si>
    <r>
      <t xml:space="preserve">1. </t>
    </r>
    <r>
      <rPr>
        <b/>
        <sz val="11"/>
        <color theme="1"/>
        <rFont val="Malgun Gothic"/>
        <family val="2"/>
        <charset val="129"/>
      </rPr>
      <t>기간별 TASK</t>
    </r>
    <phoneticPr fontId="15" type="noConversion"/>
  </si>
  <si>
    <r>
      <t xml:space="preserve">2. </t>
    </r>
    <r>
      <rPr>
        <b/>
        <sz val="11"/>
        <color theme="1"/>
        <rFont val="Malgun Gothic"/>
        <family val="2"/>
        <charset val="129"/>
      </rPr>
      <t>각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Malgun Gothic"/>
        <family val="2"/>
        <charset val="129"/>
      </rPr>
      <t>파트별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작업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영역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</si>
</sst>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7" formatCode="@\ \ &quot;인력투입계획&quot;"/>
    <numFmt numFmtId="178" formatCode="&quot;작성일 : &quot;m&quot;월&quot;\ d&quot;일&quot;"/>
    <numFmt numFmtId="179" formatCode="0.0_ "/>
    <numFmt numFmtId="180" formatCode="yy/mm/dd"/>
    <numFmt numFmtId="181" formatCode="0.00_);[Red]\(0.00\)"/>
    <numFmt numFmtId="182" formatCode="_-* #,##0_-;\-* #,##0_-;_-* &quot;-&quot;_-;_-@"/>
  </numFmts>
  <fonts count="20" x14ac:knownFonts="1">
    <font>
      <sz val="11"/>
      <color theme="1"/>
      <name val="Calibri"/>
      <scheme val="minor"/>
    </font>
    <font>
      <sz val="11"/>
      <color theme="1"/>
      <name val="Malgun Gothic"/>
      <family val="2"/>
      <charset val="129"/>
    </font>
    <font>
      <sz val="11"/>
      <name val="Calibri"/>
      <family val="2"/>
    </font>
    <font>
      <b/>
      <sz val="11"/>
      <color theme="1"/>
      <name val="Malgun Gothic"/>
      <family val="2"/>
      <charset val="129"/>
    </font>
    <font>
      <sz val="9"/>
      <color theme="1"/>
      <name val="Malgun Gothic"/>
      <family val="2"/>
      <charset val="129"/>
    </font>
    <font>
      <b/>
      <sz val="22"/>
      <color theme="1"/>
      <name val="Malgun Gothic"/>
      <family val="2"/>
      <charset val="129"/>
    </font>
    <font>
      <b/>
      <sz val="10"/>
      <color theme="1"/>
      <name val="Malgun Gothic"/>
      <family val="2"/>
      <charset val="129"/>
    </font>
    <font>
      <b/>
      <sz val="9"/>
      <color theme="1"/>
      <name val="Malgun Gothic"/>
      <family val="2"/>
      <charset val="129"/>
    </font>
    <font>
      <sz val="9"/>
      <color rgb="FFC00000"/>
      <name val="Malgun Gothic"/>
      <family val="2"/>
      <charset val="129"/>
    </font>
    <font>
      <sz val="9"/>
      <color rgb="FFFF0000"/>
      <name val="Malgun Gothic"/>
      <family val="2"/>
      <charset val="129"/>
    </font>
    <font>
      <sz val="9"/>
      <color theme="0"/>
      <name val="Malgun Gothic"/>
      <family val="2"/>
      <charset val="129"/>
    </font>
    <font>
      <sz val="11"/>
      <color theme="1"/>
      <name val="Dotum"/>
      <family val="2"/>
      <charset val="129"/>
    </font>
    <font>
      <b/>
      <sz val="8"/>
      <color theme="1"/>
      <name val="Malgun Gothic"/>
      <family val="2"/>
      <charset val="129"/>
    </font>
    <font>
      <b/>
      <sz val="9"/>
      <color theme="0"/>
      <name val="Malgun Gothic"/>
      <family val="2"/>
      <charset val="129"/>
    </font>
    <font>
      <sz val="11"/>
      <color rgb="FFFF0000"/>
      <name val="Malgun Gothic"/>
      <family val="2"/>
      <charset val="129"/>
    </font>
    <font>
      <sz val="8"/>
      <name val="Calibri"/>
      <family val="3"/>
      <charset val="129"/>
      <scheme val="minor"/>
    </font>
    <font>
      <b/>
      <sz val="9"/>
      <color theme="9"/>
      <name val="Malgun Gothic"/>
      <family val="2"/>
      <charset val="129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99CCFF"/>
        <bgColor rgb="FF99CCFF"/>
      </patternFill>
    </fill>
    <fill>
      <patternFill patternType="solid">
        <fgColor rgb="FFCCECFF"/>
        <bgColor rgb="FFCCECFF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rgb="FFA5A5A5"/>
        <bgColor rgb="FFA5A5A5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ACCFF"/>
        <bgColor rgb="FF99CCFF"/>
      </patternFill>
    </fill>
    <fill>
      <patternFill patternType="solid">
        <fgColor rgb="FFFFFF00"/>
        <bgColor rgb="FFCCECFF"/>
      </patternFill>
    </fill>
    <fill>
      <patternFill patternType="solid">
        <fgColor rgb="FFCCECFF"/>
        <bgColor indexed="64"/>
      </patternFill>
    </fill>
    <fill>
      <patternFill patternType="solid">
        <fgColor theme="1" tint="0.499984740745262"/>
        <bgColor rgb="FF99CCFF"/>
      </patternFill>
    </fill>
    <fill>
      <patternFill patternType="solid">
        <fgColor theme="1" tint="0.499984740745262"/>
        <bgColor rgb="FFCCECFF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11"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12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179" fontId="7" fillId="0" borderId="16" xfId="0" applyNumberFormat="1" applyFont="1" applyBorder="1" applyAlignment="1">
      <alignment horizontal="center" vertical="center" wrapText="1"/>
    </xf>
    <xf numFmtId="179" fontId="7" fillId="0" borderId="17" xfId="0" applyNumberFormat="1" applyFont="1" applyBorder="1" applyAlignment="1">
      <alignment vertical="center" wrapText="1"/>
    </xf>
    <xf numFmtId="179" fontId="4" fillId="4" borderId="14" xfId="0" applyNumberFormat="1" applyFont="1" applyFill="1" applyBorder="1" applyAlignment="1">
      <alignment horizontal="center" vertical="center"/>
    </xf>
    <xf numFmtId="180" fontId="4" fillId="4" borderId="14" xfId="0" applyNumberFormat="1" applyFont="1" applyFill="1" applyBorder="1" applyAlignment="1">
      <alignment vertical="center"/>
    </xf>
    <xf numFmtId="181" fontId="4" fillId="4" borderId="14" xfId="0" applyNumberFormat="1" applyFont="1" applyFill="1" applyBorder="1" applyAlignment="1">
      <alignment horizontal="center" vertical="center"/>
    </xf>
    <xf numFmtId="181" fontId="4" fillId="0" borderId="14" xfId="0" applyNumberFormat="1" applyFont="1" applyBorder="1" applyAlignment="1">
      <alignment horizontal="center" vertical="center"/>
    </xf>
    <xf numFmtId="181" fontId="4" fillId="3" borderId="15" xfId="0" applyNumberFormat="1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179" fontId="4" fillId="5" borderId="14" xfId="0" applyNumberFormat="1" applyFont="1" applyFill="1" applyBorder="1" applyAlignment="1">
      <alignment horizontal="center" vertical="center"/>
    </xf>
    <xf numFmtId="180" fontId="4" fillId="5" borderId="14" xfId="0" applyNumberFormat="1" applyFont="1" applyFill="1" applyBorder="1" applyAlignment="1">
      <alignment vertical="center"/>
    </xf>
    <xf numFmtId="181" fontId="4" fillId="5" borderId="14" xfId="0" applyNumberFormat="1" applyFont="1" applyFill="1" applyBorder="1" applyAlignment="1">
      <alignment horizontal="center" vertical="center"/>
    </xf>
    <xf numFmtId="179" fontId="4" fillId="0" borderId="14" xfId="0" applyNumberFormat="1" applyFont="1" applyBorder="1" applyAlignment="1">
      <alignment horizontal="center" vertical="center"/>
    </xf>
    <xf numFmtId="180" fontId="4" fillId="0" borderId="14" xfId="0" applyNumberFormat="1" applyFont="1" applyBorder="1" applyAlignment="1">
      <alignment vertical="center"/>
    </xf>
    <xf numFmtId="179" fontId="8" fillId="0" borderId="14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180" fontId="4" fillId="6" borderId="14" xfId="0" applyNumberFormat="1" applyFont="1" applyFill="1" applyBorder="1" applyAlignment="1">
      <alignment horizontal="right" vertical="center"/>
    </xf>
    <xf numFmtId="180" fontId="7" fillId="3" borderId="14" xfId="0" applyNumberFormat="1" applyFont="1" applyFill="1" applyBorder="1" applyAlignment="1">
      <alignment vertical="center"/>
    </xf>
    <xf numFmtId="181" fontId="7" fillId="3" borderId="14" xfId="0" applyNumberFormat="1" applyFont="1" applyFill="1" applyBorder="1" applyAlignment="1">
      <alignment horizontal="center" vertical="center"/>
    </xf>
    <xf numFmtId="181" fontId="7" fillId="3" borderId="15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center"/>
    </xf>
    <xf numFmtId="179" fontId="7" fillId="7" borderId="22" xfId="0" applyNumberFormat="1" applyFont="1" applyFill="1" applyBorder="1" applyAlignment="1">
      <alignment horizontal="center" vertical="center" wrapText="1"/>
    </xf>
    <xf numFmtId="179" fontId="7" fillId="7" borderId="22" xfId="0" applyNumberFormat="1" applyFont="1" applyFill="1" applyBorder="1" applyAlignment="1">
      <alignment vertical="center" wrapText="1"/>
    </xf>
    <xf numFmtId="0" fontId="11" fillId="7" borderId="22" xfId="0" applyFont="1" applyFill="1" applyBorder="1" applyAlignment="1">
      <alignment vertical="center"/>
    </xf>
    <xf numFmtId="180" fontId="11" fillId="7" borderId="22" xfId="0" applyNumberFormat="1" applyFont="1" applyFill="1" applyBorder="1" applyAlignment="1">
      <alignment vertical="center"/>
    </xf>
    <xf numFmtId="0" fontId="7" fillId="0" borderId="5" xfId="0" applyFont="1" applyBorder="1" applyAlignment="1">
      <alignment vertical="center"/>
    </xf>
    <xf numFmtId="179" fontId="7" fillId="0" borderId="14" xfId="0" applyNumberFormat="1" applyFont="1" applyBorder="1" applyAlignment="1">
      <alignment vertical="center" wrapText="1"/>
    </xf>
    <xf numFmtId="181" fontId="9" fillId="0" borderId="14" xfId="0" applyNumberFormat="1" applyFont="1" applyBorder="1" applyAlignment="1">
      <alignment horizontal="center" vertical="center"/>
    </xf>
    <xf numFmtId="179" fontId="7" fillId="3" borderId="26" xfId="0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right" vertical="center"/>
    </xf>
    <xf numFmtId="182" fontId="6" fillId="3" borderId="14" xfId="0" applyNumberFormat="1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0" fontId="4" fillId="0" borderId="7" xfId="0" applyFont="1" applyBorder="1" applyAlignment="1">
      <alignment vertical="center"/>
    </xf>
    <xf numFmtId="0" fontId="13" fillId="8" borderId="13" xfId="0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/>
    </xf>
    <xf numFmtId="179" fontId="4" fillId="4" borderId="14" xfId="0" quotePrefix="1" applyNumberFormat="1" applyFont="1" applyFill="1" applyBorder="1" applyAlignment="1">
      <alignment horizontal="center" vertical="center"/>
    </xf>
    <xf numFmtId="179" fontId="4" fillId="0" borderId="14" xfId="0" quotePrefix="1" applyNumberFormat="1" applyFont="1" applyBorder="1" applyAlignment="1">
      <alignment horizontal="center" vertical="center"/>
    </xf>
    <xf numFmtId="180" fontId="4" fillId="6" borderId="14" xfId="0" applyNumberFormat="1" applyFont="1" applyFill="1" applyBorder="1" applyAlignment="1">
      <alignment horizontal="left" vertical="center"/>
    </xf>
    <xf numFmtId="179" fontId="4" fillId="5" borderId="14" xfId="0" quotePrefix="1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181" fontId="4" fillId="9" borderId="14" xfId="0" applyNumberFormat="1" applyFont="1" applyFill="1" applyBorder="1" applyAlignment="1">
      <alignment horizontal="center" vertical="center"/>
    </xf>
    <xf numFmtId="181" fontId="4" fillId="10" borderId="14" xfId="0" applyNumberFormat="1" applyFont="1" applyFill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181" fontId="16" fillId="5" borderId="14" xfId="0" applyNumberFormat="1" applyFont="1" applyFill="1" applyBorder="1" applyAlignment="1">
      <alignment horizontal="center" vertical="center"/>
    </xf>
    <xf numFmtId="181" fontId="4" fillId="11" borderId="14" xfId="0" applyNumberFormat="1" applyFont="1" applyFill="1" applyBorder="1" applyAlignment="1">
      <alignment horizontal="center" vertical="center"/>
    </xf>
    <xf numFmtId="179" fontId="4" fillId="12" borderId="14" xfId="0" applyNumberFormat="1" applyFont="1" applyFill="1" applyBorder="1" applyAlignment="1">
      <alignment horizontal="center" vertical="center"/>
    </xf>
    <xf numFmtId="180" fontId="4" fillId="12" borderId="14" xfId="0" applyNumberFormat="1" applyFont="1" applyFill="1" applyBorder="1" applyAlignment="1">
      <alignment vertical="center"/>
    </xf>
    <xf numFmtId="181" fontId="4" fillId="12" borderId="14" xfId="0" applyNumberFormat="1" applyFont="1" applyFill="1" applyBorder="1" applyAlignment="1">
      <alignment horizontal="center" vertical="center"/>
    </xf>
    <xf numFmtId="179" fontId="4" fillId="12" borderId="14" xfId="0" quotePrefix="1" applyNumberFormat="1" applyFont="1" applyFill="1" applyBorder="1" applyAlignment="1">
      <alignment horizontal="center" vertical="center"/>
    </xf>
    <xf numFmtId="181" fontId="16" fillId="12" borderId="14" xfId="0" applyNumberFormat="1" applyFont="1" applyFill="1" applyBorder="1" applyAlignment="1">
      <alignment horizontal="center" vertical="center"/>
    </xf>
    <xf numFmtId="181" fontId="9" fillId="12" borderId="14" xfId="0" applyNumberFormat="1" applyFont="1" applyFill="1" applyBorder="1" applyAlignment="1">
      <alignment horizontal="center" vertical="center"/>
    </xf>
    <xf numFmtId="181" fontId="4" fillId="13" borderId="14" xfId="0" applyNumberFormat="1" applyFont="1" applyFill="1" applyBorder="1" applyAlignment="1">
      <alignment horizontal="center" vertical="center"/>
    </xf>
    <xf numFmtId="179" fontId="4" fillId="11" borderId="14" xfId="0" applyNumberFormat="1" applyFont="1" applyFill="1" applyBorder="1" applyAlignment="1">
      <alignment horizontal="center" vertical="center"/>
    </xf>
    <xf numFmtId="179" fontId="4" fillId="11" borderId="14" xfId="0" quotePrefix="1" applyNumberFormat="1" applyFont="1" applyFill="1" applyBorder="1" applyAlignment="1">
      <alignment horizontal="center" vertical="center"/>
    </xf>
    <xf numFmtId="180" fontId="4" fillId="11" borderId="14" xfId="0" applyNumberFormat="1" applyFont="1" applyFill="1" applyBorder="1" applyAlignment="1">
      <alignment vertical="center"/>
    </xf>
    <xf numFmtId="179" fontId="4" fillId="14" borderId="14" xfId="0" applyNumberFormat="1" applyFont="1" applyFill="1" applyBorder="1" applyAlignment="1">
      <alignment horizontal="center" vertical="center"/>
    </xf>
    <xf numFmtId="179" fontId="4" fillId="14" borderId="14" xfId="0" quotePrefix="1" applyNumberFormat="1" applyFont="1" applyFill="1" applyBorder="1" applyAlignment="1">
      <alignment horizontal="center" vertical="center"/>
    </xf>
    <xf numFmtId="180" fontId="4" fillId="14" borderId="14" xfId="0" applyNumberFormat="1" applyFont="1" applyFill="1" applyBorder="1" applyAlignment="1">
      <alignment vertical="center"/>
    </xf>
    <xf numFmtId="181" fontId="4" fillId="14" borderId="14" xfId="0" applyNumberFormat="1" applyFont="1" applyFill="1" applyBorder="1" applyAlignment="1">
      <alignment horizontal="center" vertical="center"/>
    </xf>
    <xf numFmtId="181" fontId="4" fillId="15" borderId="14" xfId="0" applyNumberFormat="1" applyFont="1" applyFill="1" applyBorder="1" applyAlignment="1">
      <alignment horizontal="center" vertical="center"/>
    </xf>
    <xf numFmtId="181" fontId="9" fillId="15" borderId="14" xfId="0" applyNumberFormat="1" applyFont="1" applyFill="1" applyBorder="1" applyAlignment="1">
      <alignment horizontal="center" vertical="center"/>
    </xf>
    <xf numFmtId="181" fontId="4" fillId="16" borderId="14" xfId="0" applyNumberFormat="1" applyFont="1" applyFill="1" applyBorder="1" applyAlignment="1">
      <alignment horizontal="center" vertical="center"/>
    </xf>
    <xf numFmtId="181" fontId="4" fillId="17" borderId="14" xfId="0" applyNumberFormat="1" applyFont="1" applyFill="1" applyBorder="1" applyAlignment="1">
      <alignment horizontal="center" vertical="center"/>
    </xf>
    <xf numFmtId="181" fontId="16" fillId="16" borderId="14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179" fontId="7" fillId="0" borderId="19" xfId="0" applyNumberFormat="1" applyFont="1" applyBorder="1" applyAlignment="1">
      <alignment vertical="center" wrapText="1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179" fontId="7" fillId="0" borderId="17" xfId="0" applyNumberFormat="1" applyFont="1" applyBorder="1" applyAlignment="1">
      <alignment vertical="center" wrapText="1"/>
    </xf>
    <xf numFmtId="0" fontId="7" fillId="0" borderId="17" xfId="0" applyFont="1" applyBorder="1" applyAlignment="1">
      <alignment vertical="center" wrapText="1"/>
    </xf>
    <xf numFmtId="179" fontId="7" fillId="3" borderId="23" xfId="0" applyNumberFormat="1" applyFont="1" applyFill="1" applyBorder="1" applyAlignment="1">
      <alignment horizontal="center" vertical="center"/>
    </xf>
    <xf numFmtId="0" fontId="2" fillId="0" borderId="24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177" fontId="5" fillId="2" borderId="9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178" fontId="12" fillId="0" borderId="3" xfId="0" applyNumberFormat="1" applyFont="1" applyBorder="1" applyAlignment="1">
      <alignment horizontal="left" vertical="top" wrapText="1"/>
    </xf>
    <xf numFmtId="179" fontId="7" fillId="0" borderId="25" xfId="0" applyNumberFormat="1" applyFont="1" applyBorder="1" applyAlignment="1">
      <alignment horizontal="center" vertical="center" wrapText="1"/>
    </xf>
    <xf numFmtId="179" fontId="7" fillId="0" borderId="21" xfId="0" applyNumberFormat="1" applyFont="1" applyBorder="1" applyAlignment="1">
      <alignment horizontal="center" vertical="center" wrapText="1"/>
    </xf>
    <xf numFmtId="0" fontId="0" fillId="11" borderId="27" xfId="0" applyFill="1" applyBorder="1" applyAlignment="1">
      <alignment horizontal="center" vertical="center"/>
    </xf>
    <xf numFmtId="0" fontId="0" fillId="11" borderId="28" xfId="0" applyFill="1" applyBorder="1" applyAlignment="1">
      <alignment vertical="center"/>
    </xf>
    <xf numFmtId="0" fontId="0" fillId="11" borderId="29" xfId="0" applyFill="1" applyBorder="1" applyAlignment="1">
      <alignment horizontal="center" vertical="center"/>
    </xf>
    <xf numFmtId="0" fontId="0" fillId="11" borderId="30" xfId="0" applyFill="1" applyBorder="1" applyAlignment="1">
      <alignment horizontal="center" vertical="center"/>
    </xf>
    <xf numFmtId="0" fontId="0" fillId="18" borderId="28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vertical="center"/>
    </xf>
    <xf numFmtId="0" fontId="18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CCECFF"/>
      <color rgb="FF9A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474133</xdr:colOff>
      <xdr:row>3</xdr:row>
      <xdr:rowOff>723899</xdr:rowOff>
    </xdr:from>
    <xdr:ext cx="1540935" cy="333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1A2BAB71-F516-654F-8103-16A33C900011}"/>
            </a:ext>
          </a:extLst>
        </xdr:cNvPr>
        <xdr:cNvSpPr/>
      </xdr:nvSpPr>
      <xdr:spPr>
        <a:xfrm rot="-5400000">
          <a:off x="8621713" y="945619"/>
          <a:ext cx="333375" cy="1540935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714905</xdr:colOff>
      <xdr:row>3</xdr:row>
      <xdr:rowOff>463550</xdr:rowOff>
    </xdr:from>
    <xdr:ext cx="1076325" cy="295275"/>
    <xdr:sp macro="" textlink="">
      <xdr:nvSpPr>
        <xdr:cNvPr id="3" name="Shape 27">
          <a:extLst>
            <a:ext uri="{FF2B5EF4-FFF2-40B4-BE49-F238E27FC236}">
              <a16:creationId xmlns:a16="http://schemas.microsoft.com/office/drawing/2014/main" id="{5940D637-E345-3A47-9E80-343C2E6BD324}"/>
            </a:ext>
          </a:extLst>
        </xdr:cNvPr>
        <xdr:cNvSpPr txBox="1"/>
      </xdr:nvSpPr>
      <xdr:spPr>
        <a:xfrm>
          <a:off x="10506605" y="1289050"/>
          <a:ext cx="10763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상세 설게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디자인</a:t>
          </a:r>
          <a:endParaRPr sz="1400"/>
        </a:p>
      </xdr:txBody>
    </xdr:sp>
    <xdr:clientData fLocksWithSheet="0"/>
  </xdr:oneCellAnchor>
  <xdr:oneCellAnchor>
    <xdr:from>
      <xdr:col>12</xdr:col>
      <xdr:colOff>558797</xdr:colOff>
      <xdr:row>3</xdr:row>
      <xdr:rowOff>267449</xdr:rowOff>
    </xdr:from>
    <xdr:ext cx="1329268" cy="491376"/>
    <xdr:sp macro="" textlink="">
      <xdr:nvSpPr>
        <xdr:cNvPr id="4" name="Shape 28">
          <a:extLst>
            <a:ext uri="{FF2B5EF4-FFF2-40B4-BE49-F238E27FC236}">
              <a16:creationId xmlns:a16="http://schemas.microsoft.com/office/drawing/2014/main" id="{8B1EB628-A32B-B74B-95B7-6E54760A58EC}"/>
            </a:ext>
          </a:extLst>
        </xdr:cNvPr>
        <xdr:cNvSpPr txBox="1"/>
      </xdr:nvSpPr>
      <xdr:spPr>
        <a:xfrm>
          <a:off x="8102597" y="1092949"/>
          <a:ext cx="1329268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디자인</a:t>
          </a:r>
          <a:r>
            <a:rPr lang="ko-KR" altLang="en-US" sz="900" b="1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시안</a:t>
          </a: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ko-KR" altLang="en-US" sz="900" b="1">
              <a:solidFill>
                <a:schemeClr val="dk1"/>
              </a:solidFill>
              <a:latin typeface="Calibri"/>
              <a:cs typeface="Calibri"/>
              <a:sym typeface="Calibri"/>
            </a:rPr>
            <a:t>와이어프레임 설게</a:t>
          </a:r>
          <a:endParaRPr sz="900" b="1"/>
        </a:p>
      </xdr:txBody>
    </xdr:sp>
    <xdr:clientData fLocksWithSheet="0"/>
  </xdr:oneCellAnchor>
  <xdr:oneCellAnchor>
    <xdr:from>
      <xdr:col>14</xdr:col>
      <xdr:colOff>533402</xdr:colOff>
      <xdr:row>3</xdr:row>
      <xdr:rowOff>723898</xdr:rowOff>
    </xdr:from>
    <xdr:ext cx="3149598" cy="333375"/>
    <xdr:sp macro="" textlink="">
      <xdr:nvSpPr>
        <xdr:cNvPr id="5" name="Shape 15">
          <a:extLst>
            <a:ext uri="{FF2B5EF4-FFF2-40B4-BE49-F238E27FC236}">
              <a16:creationId xmlns:a16="http://schemas.microsoft.com/office/drawing/2014/main" id="{6E1908D7-2C15-8E47-90FE-9C4FD35E96A7}"/>
            </a:ext>
          </a:extLst>
        </xdr:cNvPr>
        <xdr:cNvSpPr/>
      </xdr:nvSpPr>
      <xdr:spPr>
        <a:xfrm rot="-5400000">
          <a:off x="10983913" y="141287"/>
          <a:ext cx="333375" cy="3149598"/>
        </a:xfrm>
        <a:prstGeom prst="rightBrace">
          <a:avLst>
            <a:gd name="adj1" fmla="val 74365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38100</xdr:colOff>
      <xdr:row>3</xdr:row>
      <xdr:rowOff>819150</xdr:rowOff>
    </xdr:from>
    <xdr:ext cx="647700" cy="238125"/>
    <xdr:sp macro="" textlink="">
      <xdr:nvSpPr>
        <xdr:cNvPr id="6" name="Shape 16">
          <a:extLst>
            <a:ext uri="{FF2B5EF4-FFF2-40B4-BE49-F238E27FC236}">
              <a16:creationId xmlns:a16="http://schemas.microsoft.com/office/drawing/2014/main" id="{A4127FD2-58B1-CC41-87D3-10A72CEC6ABD}"/>
            </a:ext>
          </a:extLst>
        </xdr:cNvPr>
        <xdr:cNvSpPr/>
      </xdr:nvSpPr>
      <xdr:spPr>
        <a:xfrm rot="-5400000">
          <a:off x="17527587" y="1439863"/>
          <a:ext cx="238125" cy="647700"/>
        </a:xfrm>
        <a:prstGeom prst="rightBrace">
          <a:avLst>
            <a:gd name="adj1" fmla="val 68000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685800</xdr:colOff>
      <xdr:row>3</xdr:row>
      <xdr:rowOff>438150</xdr:rowOff>
    </xdr:from>
    <xdr:ext cx="819150" cy="295275"/>
    <xdr:sp macro="" textlink="">
      <xdr:nvSpPr>
        <xdr:cNvPr id="7" name="Shape 29">
          <a:extLst>
            <a:ext uri="{FF2B5EF4-FFF2-40B4-BE49-F238E27FC236}">
              <a16:creationId xmlns:a16="http://schemas.microsoft.com/office/drawing/2014/main" id="{BEB7CE78-1943-A64C-83B7-4AF840086A9D}"/>
            </a:ext>
          </a:extLst>
        </xdr:cNvPr>
        <xdr:cNvSpPr txBox="1"/>
      </xdr:nvSpPr>
      <xdr:spPr>
        <a:xfrm>
          <a:off x="17221200" y="1263650"/>
          <a:ext cx="819150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오픈/안정화</a:t>
          </a:r>
          <a:endParaRPr sz="1400"/>
        </a:p>
      </xdr:txBody>
    </xdr:sp>
    <xdr:clientData fLocksWithSheet="0"/>
  </xdr:oneCellAnchor>
  <xdr:oneCellAnchor>
    <xdr:from>
      <xdr:col>22</xdr:col>
      <xdr:colOff>47625</xdr:colOff>
      <xdr:row>3</xdr:row>
      <xdr:rowOff>800101</xdr:rowOff>
    </xdr:from>
    <xdr:ext cx="1933575" cy="257175"/>
    <xdr:sp macro="" textlink="">
      <xdr:nvSpPr>
        <xdr:cNvPr id="8" name="Shape 18">
          <a:extLst>
            <a:ext uri="{FF2B5EF4-FFF2-40B4-BE49-F238E27FC236}">
              <a16:creationId xmlns:a16="http://schemas.microsoft.com/office/drawing/2014/main" id="{4653485E-3C07-5740-8684-0AAF064B2673}"/>
            </a:ext>
          </a:extLst>
        </xdr:cNvPr>
        <xdr:cNvSpPr/>
      </xdr:nvSpPr>
      <xdr:spPr>
        <a:xfrm rot="-5400000">
          <a:off x="15922625" y="787401"/>
          <a:ext cx="257175" cy="1933575"/>
        </a:xfrm>
        <a:prstGeom prst="rightBrace">
          <a:avLst>
            <a:gd name="adj1" fmla="val 187963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177800</xdr:colOff>
      <xdr:row>3</xdr:row>
      <xdr:rowOff>441591</xdr:rowOff>
    </xdr:from>
    <xdr:ext cx="1526116" cy="291834"/>
    <xdr:sp macro="" textlink="">
      <xdr:nvSpPr>
        <xdr:cNvPr id="9" name="Shape 30">
          <a:extLst>
            <a:ext uri="{FF2B5EF4-FFF2-40B4-BE49-F238E27FC236}">
              <a16:creationId xmlns:a16="http://schemas.microsoft.com/office/drawing/2014/main" id="{D9615629-4E0E-4F4C-A7CA-7689B2E1CBC4}"/>
            </a:ext>
          </a:extLst>
        </xdr:cNvPr>
        <xdr:cNvSpPr txBox="1"/>
      </xdr:nvSpPr>
      <xdr:spPr>
        <a:xfrm>
          <a:off x="15214600" y="1267091"/>
          <a:ext cx="1526116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통합테스트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(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개발대응만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)</a:t>
          </a:r>
          <a:endParaRPr sz="1400"/>
        </a:p>
      </xdr:txBody>
    </xdr:sp>
    <xdr:clientData fLocksWithSheet="0"/>
  </xdr:oneCellAnchor>
  <xdr:oneCellAnchor>
    <xdr:from>
      <xdr:col>18</xdr:col>
      <xdr:colOff>728135</xdr:colOff>
      <xdr:row>3</xdr:row>
      <xdr:rowOff>781049</xdr:rowOff>
    </xdr:from>
    <xdr:ext cx="2283579" cy="276225"/>
    <xdr:sp macro="" textlink="">
      <xdr:nvSpPr>
        <xdr:cNvPr id="10" name="Shape 20">
          <a:extLst>
            <a:ext uri="{FF2B5EF4-FFF2-40B4-BE49-F238E27FC236}">
              <a16:creationId xmlns:a16="http://schemas.microsoft.com/office/drawing/2014/main" id="{E10C3F2C-BD9A-6A4D-8FD9-2D79C4AC5524}"/>
            </a:ext>
          </a:extLst>
        </xdr:cNvPr>
        <xdr:cNvSpPr/>
      </xdr:nvSpPr>
      <xdr:spPr>
        <a:xfrm rot="-5400000">
          <a:off x="13796812" y="593801"/>
          <a:ext cx="276225" cy="2283579"/>
        </a:xfrm>
        <a:prstGeom prst="rightBrace">
          <a:avLst>
            <a:gd name="adj1" fmla="val 293353"/>
            <a:gd name="adj2" fmla="val 5025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450996</xdr:colOff>
      <xdr:row>3</xdr:row>
      <xdr:rowOff>441591</xdr:rowOff>
    </xdr:from>
    <xdr:ext cx="1321858" cy="291834"/>
    <xdr:sp macro="" textlink="">
      <xdr:nvSpPr>
        <xdr:cNvPr id="11" name="Shape 31">
          <a:extLst>
            <a:ext uri="{FF2B5EF4-FFF2-40B4-BE49-F238E27FC236}">
              <a16:creationId xmlns:a16="http://schemas.microsoft.com/office/drawing/2014/main" id="{E2BB6C38-3A6F-5447-80ED-5A77A2FC05BB}"/>
            </a:ext>
          </a:extLst>
        </xdr:cNvPr>
        <xdr:cNvSpPr txBox="1"/>
      </xdr:nvSpPr>
      <xdr:spPr>
        <a:xfrm>
          <a:off x="13268925" y="1258020"/>
          <a:ext cx="1321858" cy="29183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개발대응 </a:t>
          </a:r>
          <a:endParaRPr sz="1400"/>
        </a:p>
      </xdr:txBody>
    </xdr:sp>
    <xdr:clientData fLocksWithSheet="0"/>
  </xdr:oneCellAnchor>
  <xdr:oneCellAnchor>
    <xdr:from>
      <xdr:col>8</xdr:col>
      <xdr:colOff>584202</xdr:colOff>
      <xdr:row>3</xdr:row>
      <xdr:rowOff>267449</xdr:rowOff>
    </xdr:from>
    <xdr:ext cx="1405465" cy="491376"/>
    <xdr:sp macro="" textlink="">
      <xdr:nvSpPr>
        <xdr:cNvPr id="12" name="Shape 28">
          <a:extLst>
            <a:ext uri="{FF2B5EF4-FFF2-40B4-BE49-F238E27FC236}">
              <a16:creationId xmlns:a16="http://schemas.microsoft.com/office/drawing/2014/main" id="{C5D8DC8D-B3E4-5045-83B0-B405CC28233C}"/>
            </a:ext>
          </a:extLst>
        </xdr:cNvPr>
        <xdr:cNvSpPr txBox="1"/>
      </xdr:nvSpPr>
      <xdr:spPr>
        <a:xfrm>
          <a:off x="6705602" y="1092949"/>
          <a:ext cx="1405465" cy="491376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요구기능 분석, IA설계</a:t>
          </a:r>
          <a:r>
            <a:rPr lang="en-US" altLang="ko-KR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ko-KR" alt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9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WBS, 가이드 정의</a:t>
          </a:r>
          <a:endParaRPr sz="900" b="1"/>
        </a:p>
      </xdr:txBody>
    </xdr:sp>
    <xdr:clientData fLocksWithSheet="0"/>
  </xdr:oneCellAnchor>
  <xdr:oneCellAnchor>
    <xdr:from>
      <xdr:col>11</xdr:col>
      <xdr:colOff>42338</xdr:colOff>
      <xdr:row>3</xdr:row>
      <xdr:rowOff>723899</xdr:rowOff>
    </xdr:from>
    <xdr:ext cx="1134530" cy="333375"/>
    <xdr:sp macro="" textlink="">
      <xdr:nvSpPr>
        <xdr:cNvPr id="13" name="Shape 3">
          <a:extLst>
            <a:ext uri="{FF2B5EF4-FFF2-40B4-BE49-F238E27FC236}">
              <a16:creationId xmlns:a16="http://schemas.microsoft.com/office/drawing/2014/main" id="{E2A00D56-2FB6-A54B-99DC-546D4F58FF30}"/>
            </a:ext>
          </a:extLst>
        </xdr:cNvPr>
        <xdr:cNvSpPr/>
      </xdr:nvSpPr>
      <xdr:spPr>
        <a:xfrm rot="-5400000">
          <a:off x="7237415" y="1148822"/>
          <a:ext cx="333375" cy="1134530"/>
        </a:xfrm>
        <a:prstGeom prst="rightBrace">
          <a:avLst>
            <a:gd name="adj1" fmla="val 175952"/>
            <a:gd name="adj2" fmla="val 50000"/>
          </a:avLst>
        </a:prstGeom>
        <a:noFill/>
        <a:ln w="1905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&#52572;&#49849;&#51068;/Desktop/work_240122/241017_&#54788;&#45824;&#48177;&#54868;&#51216;_&#51228;&#50504;/@&#44204;&#51201;&#49436;/250102_&#49688;&#51221;&#48260;&#51204;/&#45908;&#54788;&#45824;&#45815;&#52980;%20NEW%20&#52964;&#47672;&#49828;%20&#54540;&#47019;&#54268;%20&#44396;&#52629;%20&#44204;&#51201;&#49436;_V0.4_250102_&#48148;&#51060;&#45328;&#50472;(&#51064;&#47141;&#48324;&#48516;&#47532;)_2501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_인건비"/>
      <sheetName val="3_인건비외"/>
      <sheetName val="1_총견적"/>
      <sheetName val="2_투입계획"/>
      <sheetName val="기준"/>
      <sheetName val="개정내역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0469-3EED-F94D-A3A5-F22A47B567E2}">
  <dimension ref="A1:AO994"/>
  <sheetViews>
    <sheetView showGridLines="0" tabSelected="1" zoomScale="130" zoomScaleNormal="130" workbookViewId="0">
      <selection activeCell="AN55" sqref="AN55"/>
    </sheetView>
  </sheetViews>
  <sheetFormatPr baseColWidth="10" defaultColWidth="14.5" defaultRowHeight="15" customHeight="1" x14ac:dyDescent="0.2"/>
  <cols>
    <col min="1" max="1" width="3.1640625" customWidth="1"/>
    <col min="2" max="2" width="2.1640625" customWidth="1"/>
    <col min="3" max="3" width="8.83203125" customWidth="1"/>
    <col min="4" max="4" width="24" customWidth="1"/>
    <col min="5" max="5" width="8.83203125" customWidth="1"/>
    <col min="6" max="6" width="15.6640625" customWidth="1"/>
    <col min="7" max="9" width="8.83203125" customWidth="1"/>
    <col min="10" max="11" width="8.83203125" hidden="1" customWidth="1"/>
    <col min="12" max="26" width="9.83203125" customWidth="1"/>
    <col min="27" max="34" width="8.83203125" hidden="1" customWidth="1"/>
    <col min="35" max="35" width="8.83203125" customWidth="1"/>
    <col min="36" max="36" width="3.1640625" customWidth="1"/>
    <col min="37" max="37" width="2" customWidth="1"/>
    <col min="38" max="38" width="8.83203125" customWidth="1"/>
    <col min="40" max="40" width="78.83203125" customWidth="1"/>
    <col min="41" max="41" width="21" customWidth="1"/>
  </cols>
  <sheetData>
    <row r="1" spans="1:41" ht="16.5" customHeight="1" thickBot="1" x14ac:dyDescent="0.25">
      <c r="A1" s="1"/>
      <c r="B1" s="1"/>
      <c r="C1" s="1"/>
      <c r="D1" s="1"/>
      <c r="E1" s="2"/>
      <c r="F1" s="2"/>
      <c r="G1" s="2"/>
      <c r="H1" s="2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1"/>
      <c r="AK1" s="1"/>
    </row>
    <row r="2" spans="1:41" ht="16.5" customHeight="1" x14ac:dyDescent="0.2">
      <c r="A2" s="1"/>
      <c r="B2" s="3"/>
      <c r="C2" s="4"/>
      <c r="D2" s="4"/>
      <c r="E2" s="5"/>
      <c r="F2" s="5"/>
      <c r="G2" s="5"/>
      <c r="H2" s="5"/>
      <c r="I2" s="4"/>
      <c r="J2" s="4"/>
      <c r="K2" s="4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6"/>
      <c r="AK2" s="1"/>
    </row>
    <row r="3" spans="1:41" ht="33" thickBot="1" x14ac:dyDescent="0.25">
      <c r="A3" s="1"/>
      <c r="B3" s="7"/>
      <c r="C3" s="95" t="s">
        <v>18</v>
      </c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7"/>
      <c r="AJ3" s="8"/>
      <c r="AK3" s="1"/>
    </row>
    <row r="4" spans="1:41" ht="80.25" customHeight="1" x14ac:dyDescent="0.2">
      <c r="A4" s="1"/>
      <c r="B4" s="7"/>
      <c r="C4" s="100">
        <v>45842</v>
      </c>
      <c r="D4" s="86"/>
      <c r="E4" s="9"/>
      <c r="F4" s="9"/>
      <c r="G4" s="9"/>
      <c r="H4" s="9"/>
      <c r="I4" s="9"/>
      <c r="J4" s="9"/>
      <c r="K4" s="9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8"/>
      <c r="AK4" s="1"/>
    </row>
    <row r="5" spans="1:41" ht="16.5" customHeight="1" x14ac:dyDescent="0.2">
      <c r="A5" s="1"/>
      <c r="B5" s="7"/>
      <c r="C5" s="11" t="s">
        <v>59</v>
      </c>
      <c r="D5" s="11"/>
      <c r="E5" s="12"/>
      <c r="F5" s="12"/>
      <c r="G5" s="12"/>
      <c r="H5" s="12"/>
      <c r="I5" s="12"/>
      <c r="J5" s="12"/>
      <c r="K5" s="13"/>
      <c r="L5" s="98"/>
      <c r="M5" s="99"/>
      <c r="N5" s="98"/>
      <c r="O5" s="99"/>
      <c r="P5" s="99"/>
      <c r="Q5" s="99"/>
      <c r="R5" s="99"/>
      <c r="S5" s="99"/>
      <c r="T5" s="99"/>
      <c r="U5" s="99"/>
      <c r="V5" s="99"/>
      <c r="W5" s="99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8"/>
      <c r="AK5" s="1"/>
    </row>
    <row r="6" spans="1:41" ht="30" x14ac:dyDescent="0.2">
      <c r="A6" s="1"/>
      <c r="B6" s="7"/>
      <c r="C6" s="52" t="s">
        <v>19</v>
      </c>
      <c r="D6" s="52" t="s">
        <v>20</v>
      </c>
      <c r="E6" s="53" t="s">
        <v>21</v>
      </c>
      <c r="F6" s="53" t="s">
        <v>22</v>
      </c>
      <c r="G6" s="53" t="s">
        <v>23</v>
      </c>
      <c r="H6" s="53" t="s">
        <v>24</v>
      </c>
      <c r="I6" s="53" t="s">
        <v>25</v>
      </c>
      <c r="J6" s="53" t="s">
        <v>26</v>
      </c>
      <c r="K6" s="53" t="s">
        <v>27</v>
      </c>
      <c r="L6" s="54" t="s">
        <v>28</v>
      </c>
      <c r="M6" s="54" t="s">
        <v>29</v>
      </c>
      <c r="N6" s="54" t="s">
        <v>30</v>
      </c>
      <c r="O6" s="54" t="s">
        <v>31</v>
      </c>
      <c r="P6" s="54" t="s">
        <v>32</v>
      </c>
      <c r="Q6" s="54" t="s">
        <v>33</v>
      </c>
      <c r="R6" s="54" t="s">
        <v>34</v>
      </c>
      <c r="S6" s="54" t="s">
        <v>35</v>
      </c>
      <c r="T6" s="54" t="s">
        <v>36</v>
      </c>
      <c r="U6" s="54" t="s">
        <v>37</v>
      </c>
      <c r="V6" s="54" t="s">
        <v>38</v>
      </c>
      <c r="W6" s="54" t="s">
        <v>39</v>
      </c>
      <c r="X6" s="54" t="s">
        <v>40</v>
      </c>
      <c r="Y6" s="54" t="s">
        <v>41</v>
      </c>
      <c r="Z6" s="54" t="s">
        <v>42</v>
      </c>
      <c r="AA6" s="54"/>
      <c r="AB6" s="54"/>
      <c r="AC6" s="54"/>
      <c r="AD6" s="54"/>
      <c r="AE6" s="54"/>
      <c r="AF6" s="54"/>
      <c r="AG6" s="54"/>
      <c r="AH6" s="54"/>
      <c r="AI6" s="55" t="s">
        <v>43</v>
      </c>
      <c r="AJ6" s="8"/>
      <c r="AK6" s="1"/>
      <c r="AM6" s="110" t="s">
        <v>93</v>
      </c>
    </row>
    <row r="7" spans="1:41" ht="16.5" customHeight="1" x14ac:dyDescent="0.2">
      <c r="A7" s="1"/>
      <c r="B7" s="7"/>
      <c r="C7" s="101" t="s">
        <v>44</v>
      </c>
      <c r="D7" s="16" t="s">
        <v>45</v>
      </c>
      <c r="E7" s="67" t="s">
        <v>46</v>
      </c>
      <c r="F7" s="67" t="s">
        <v>1</v>
      </c>
      <c r="G7" s="67" t="s">
        <v>47</v>
      </c>
      <c r="H7" s="68">
        <v>45691</v>
      </c>
      <c r="I7" s="68">
        <v>45838</v>
      </c>
      <c r="J7" s="68"/>
      <c r="K7" s="68"/>
      <c r="L7" s="69">
        <v>1</v>
      </c>
      <c r="M7" s="69">
        <v>1</v>
      </c>
      <c r="N7" s="69">
        <v>1</v>
      </c>
      <c r="O7" s="69">
        <v>1</v>
      </c>
      <c r="P7" s="69">
        <v>0.75</v>
      </c>
      <c r="Q7" s="69"/>
      <c r="R7" s="69"/>
      <c r="S7" s="69"/>
      <c r="T7" s="69"/>
      <c r="U7" s="69"/>
      <c r="V7" s="69"/>
      <c r="W7" s="69"/>
      <c r="X7" s="69"/>
      <c r="Y7" s="69"/>
      <c r="Z7" s="69"/>
      <c r="AA7" s="20"/>
      <c r="AB7" s="20"/>
      <c r="AC7" s="20"/>
      <c r="AD7" s="20"/>
      <c r="AE7" s="20"/>
      <c r="AF7" s="20"/>
      <c r="AG7" s="20"/>
      <c r="AH7" s="20"/>
      <c r="AI7" s="21">
        <f t="shared" ref="AI7:AI20" si="0">SUM(L7:AH7)</f>
        <v>4.75</v>
      </c>
      <c r="AJ7" s="8"/>
      <c r="AK7" s="1"/>
      <c r="AM7" s="103" t="s">
        <v>73</v>
      </c>
      <c r="AN7" s="104" t="s">
        <v>74</v>
      </c>
      <c r="AO7" s="104" t="s">
        <v>75</v>
      </c>
    </row>
    <row r="8" spans="1:41" ht="16.5" customHeight="1" x14ac:dyDescent="0.2">
      <c r="A8" s="1"/>
      <c r="B8" s="7"/>
      <c r="C8" s="102"/>
      <c r="D8" s="16" t="s">
        <v>45</v>
      </c>
      <c r="E8" s="67" t="s">
        <v>46</v>
      </c>
      <c r="F8" s="67" t="s">
        <v>0</v>
      </c>
      <c r="G8" s="67" t="s">
        <v>47</v>
      </c>
      <c r="H8" s="68">
        <v>45705</v>
      </c>
      <c r="I8" s="68">
        <v>46127</v>
      </c>
      <c r="J8" s="68"/>
      <c r="K8" s="68"/>
      <c r="L8" s="69">
        <v>0.5</v>
      </c>
      <c r="M8" s="69">
        <v>1</v>
      </c>
      <c r="N8" s="69">
        <v>1</v>
      </c>
      <c r="O8" s="69">
        <v>1</v>
      </c>
      <c r="P8" s="69">
        <v>1</v>
      </c>
      <c r="Q8" s="69">
        <v>1</v>
      </c>
      <c r="R8" s="69">
        <v>1</v>
      </c>
      <c r="S8" s="69">
        <v>1</v>
      </c>
      <c r="T8" s="69">
        <v>1</v>
      </c>
      <c r="U8" s="69">
        <v>1</v>
      </c>
      <c r="V8" s="69">
        <v>1</v>
      </c>
      <c r="W8" s="69">
        <v>1</v>
      </c>
      <c r="X8" s="69">
        <v>1</v>
      </c>
      <c r="Y8" s="69">
        <v>1</v>
      </c>
      <c r="Z8" s="69">
        <v>0.5</v>
      </c>
      <c r="AA8" s="20"/>
      <c r="AB8" s="20"/>
      <c r="AC8" s="20"/>
      <c r="AD8" s="20"/>
      <c r="AE8" s="20"/>
      <c r="AF8" s="20"/>
      <c r="AG8" s="20"/>
      <c r="AH8" s="20"/>
      <c r="AI8" s="21">
        <f t="shared" si="0"/>
        <v>14</v>
      </c>
      <c r="AJ8" s="8"/>
      <c r="AK8" s="1"/>
      <c r="AM8" s="105"/>
      <c r="AN8" s="104" t="s">
        <v>76</v>
      </c>
      <c r="AO8" s="104"/>
    </row>
    <row r="9" spans="1:41" ht="16.5" customHeight="1" x14ac:dyDescent="0.2">
      <c r="A9" s="1"/>
      <c r="B9" s="7"/>
      <c r="C9" s="15" t="s">
        <v>48</v>
      </c>
      <c r="D9" s="16" t="s">
        <v>68</v>
      </c>
      <c r="E9" s="67" t="s">
        <v>46</v>
      </c>
      <c r="F9" s="67" t="s">
        <v>16</v>
      </c>
      <c r="G9" s="70" t="s">
        <v>46</v>
      </c>
      <c r="H9" s="68">
        <v>45733</v>
      </c>
      <c r="I9" s="68">
        <v>46127</v>
      </c>
      <c r="J9" s="68"/>
      <c r="K9" s="68"/>
      <c r="L9" s="69"/>
      <c r="M9" s="69">
        <v>0.5</v>
      </c>
      <c r="N9" s="69">
        <v>1</v>
      </c>
      <c r="O9" s="69">
        <v>1</v>
      </c>
      <c r="P9" s="69">
        <v>1</v>
      </c>
      <c r="Q9" s="69">
        <v>1</v>
      </c>
      <c r="R9" s="69">
        <v>1</v>
      </c>
      <c r="S9" s="71">
        <v>1</v>
      </c>
      <c r="T9" s="69">
        <v>1</v>
      </c>
      <c r="U9" s="69">
        <v>1</v>
      </c>
      <c r="V9" s="69">
        <v>1</v>
      </c>
      <c r="W9" s="69">
        <v>1</v>
      </c>
      <c r="X9" s="69">
        <v>1</v>
      </c>
      <c r="Y9" s="69">
        <v>1</v>
      </c>
      <c r="Z9" s="69">
        <v>0.5</v>
      </c>
      <c r="AA9" s="20"/>
      <c r="AB9" s="20"/>
      <c r="AC9" s="20"/>
      <c r="AD9" s="20"/>
      <c r="AE9" s="20"/>
      <c r="AF9" s="20"/>
      <c r="AG9" s="20"/>
      <c r="AH9" s="20"/>
      <c r="AI9" s="21">
        <f>SUM(L9:AH9)</f>
        <v>13</v>
      </c>
      <c r="AJ9" s="8"/>
      <c r="AK9" s="1"/>
      <c r="AM9" s="105"/>
      <c r="AN9" s="104" t="s">
        <v>77</v>
      </c>
      <c r="AO9" s="104"/>
    </row>
    <row r="10" spans="1:41" ht="16.5" customHeight="1" x14ac:dyDescent="0.2">
      <c r="A10" s="1"/>
      <c r="B10" s="7"/>
      <c r="C10" s="23" t="s">
        <v>44</v>
      </c>
      <c r="D10" s="16" t="s">
        <v>68</v>
      </c>
      <c r="E10" s="67" t="s">
        <v>46</v>
      </c>
      <c r="F10" s="67" t="s">
        <v>10</v>
      </c>
      <c r="G10" s="70" t="s">
        <v>47</v>
      </c>
      <c r="H10" s="68">
        <v>45748</v>
      </c>
      <c r="I10" s="68">
        <v>46127</v>
      </c>
      <c r="J10" s="68"/>
      <c r="K10" s="68"/>
      <c r="L10" s="69"/>
      <c r="M10" s="69"/>
      <c r="N10" s="69">
        <v>1</v>
      </c>
      <c r="O10" s="69">
        <v>1</v>
      </c>
      <c r="P10" s="69">
        <v>1</v>
      </c>
      <c r="Q10" s="69">
        <v>1</v>
      </c>
      <c r="R10" s="69">
        <v>1</v>
      </c>
      <c r="S10" s="69">
        <v>1</v>
      </c>
      <c r="T10" s="71">
        <v>1</v>
      </c>
      <c r="U10" s="69">
        <v>1</v>
      </c>
      <c r="V10" s="69">
        <v>1</v>
      </c>
      <c r="W10" s="69">
        <v>1</v>
      </c>
      <c r="X10" s="69">
        <v>1</v>
      </c>
      <c r="Y10" s="69">
        <v>1</v>
      </c>
      <c r="Z10" s="69">
        <v>0.5</v>
      </c>
      <c r="AA10" s="20"/>
      <c r="AB10" s="20"/>
      <c r="AC10" s="20"/>
      <c r="AD10" s="20"/>
      <c r="AE10" s="20"/>
      <c r="AF10" s="20"/>
      <c r="AG10" s="20"/>
      <c r="AH10" s="20"/>
      <c r="AI10" s="21">
        <f>SUM(L10:AH10)</f>
        <v>12.5</v>
      </c>
      <c r="AJ10" s="8"/>
      <c r="AK10" s="1"/>
      <c r="AM10" s="106"/>
      <c r="AN10" s="104" t="s">
        <v>78</v>
      </c>
      <c r="AO10" s="104"/>
    </row>
    <row r="11" spans="1:41" ht="16.5" customHeight="1" x14ac:dyDescent="0.2">
      <c r="A11" s="1"/>
      <c r="B11" s="7"/>
      <c r="C11" s="22"/>
      <c r="D11" s="16" t="s">
        <v>66</v>
      </c>
      <c r="E11" s="67" t="s">
        <v>46</v>
      </c>
      <c r="F11" s="67" t="s">
        <v>4</v>
      </c>
      <c r="G11" s="70" t="s">
        <v>47</v>
      </c>
      <c r="H11" s="68">
        <v>45691</v>
      </c>
      <c r="I11" s="68">
        <v>45991</v>
      </c>
      <c r="J11" s="68"/>
      <c r="K11" s="68"/>
      <c r="L11" s="69">
        <v>1</v>
      </c>
      <c r="M11" s="69">
        <v>1</v>
      </c>
      <c r="N11" s="69">
        <v>1</v>
      </c>
      <c r="O11" s="69">
        <v>1</v>
      </c>
      <c r="P11" s="69">
        <v>1</v>
      </c>
      <c r="Q11" s="69">
        <v>1</v>
      </c>
      <c r="R11" s="69">
        <v>1</v>
      </c>
      <c r="S11" s="69">
        <v>1</v>
      </c>
      <c r="T11" s="69">
        <v>1</v>
      </c>
      <c r="U11" s="71">
        <v>1</v>
      </c>
      <c r="V11" s="81"/>
      <c r="W11" s="81"/>
      <c r="X11" s="81"/>
      <c r="Y11" s="81"/>
      <c r="Z11" s="81"/>
      <c r="AA11" s="20"/>
      <c r="AB11" s="20"/>
      <c r="AC11" s="20"/>
      <c r="AD11" s="20"/>
      <c r="AE11" s="20"/>
      <c r="AF11" s="20"/>
      <c r="AG11" s="20"/>
      <c r="AH11" s="20"/>
      <c r="AI11" s="21">
        <f t="shared" si="0"/>
        <v>10</v>
      </c>
      <c r="AJ11" s="8"/>
      <c r="AK11" s="1"/>
      <c r="AM11" s="103" t="s">
        <v>79</v>
      </c>
      <c r="AN11" s="104" t="s">
        <v>76</v>
      </c>
      <c r="AO11" s="104"/>
    </row>
    <row r="12" spans="1:41" ht="16.5" customHeight="1" x14ac:dyDescent="0.2">
      <c r="A12" s="1"/>
      <c r="B12" s="7"/>
      <c r="C12" s="22"/>
      <c r="D12" s="16"/>
      <c r="E12" s="67" t="s">
        <v>46</v>
      </c>
      <c r="F12" s="67" t="s">
        <v>69</v>
      </c>
      <c r="G12" s="70" t="s">
        <v>47</v>
      </c>
      <c r="H12" s="68">
        <v>45691</v>
      </c>
      <c r="I12" s="68">
        <v>45930</v>
      </c>
      <c r="J12" s="68"/>
      <c r="K12" s="68"/>
      <c r="L12" s="69">
        <v>1</v>
      </c>
      <c r="M12" s="69">
        <v>1</v>
      </c>
      <c r="N12" s="69">
        <v>1</v>
      </c>
      <c r="O12" s="69">
        <v>1</v>
      </c>
      <c r="P12" s="69">
        <v>1</v>
      </c>
      <c r="Q12" s="69">
        <v>1</v>
      </c>
      <c r="R12" s="69">
        <v>1</v>
      </c>
      <c r="S12" s="81"/>
      <c r="T12" s="81"/>
      <c r="U12" s="81"/>
      <c r="V12" s="81"/>
      <c r="W12" s="81"/>
      <c r="X12" s="81"/>
      <c r="Y12" s="81"/>
      <c r="Z12" s="81"/>
      <c r="AA12" s="20"/>
      <c r="AB12" s="20"/>
      <c r="AC12" s="20"/>
      <c r="AD12" s="20"/>
      <c r="AE12" s="20"/>
      <c r="AF12" s="20"/>
      <c r="AG12" s="20"/>
      <c r="AH12" s="20"/>
      <c r="AI12" s="21">
        <f t="shared" si="0"/>
        <v>7</v>
      </c>
      <c r="AJ12" s="8"/>
      <c r="AK12" s="1"/>
      <c r="AM12" s="106"/>
      <c r="AN12" s="104" t="s">
        <v>77</v>
      </c>
      <c r="AO12" s="104"/>
    </row>
    <row r="13" spans="1:41" ht="16.5" customHeight="1" x14ac:dyDescent="0.2">
      <c r="A13" s="1"/>
      <c r="B13" s="7"/>
      <c r="C13" s="23" t="s">
        <v>44</v>
      </c>
      <c r="D13" s="16"/>
      <c r="E13" s="67" t="s">
        <v>46</v>
      </c>
      <c r="F13" s="67" t="s">
        <v>61</v>
      </c>
      <c r="G13" s="70" t="s">
        <v>47</v>
      </c>
      <c r="H13" s="68">
        <v>45810</v>
      </c>
      <c r="I13" s="68">
        <v>45813</v>
      </c>
      <c r="J13" s="68"/>
      <c r="K13" s="68"/>
      <c r="L13" s="69"/>
      <c r="M13" s="69"/>
      <c r="N13" s="69"/>
      <c r="O13" s="69"/>
      <c r="P13" s="69">
        <v>0.2</v>
      </c>
      <c r="Q13" s="69"/>
      <c r="R13" s="69"/>
      <c r="S13" s="69"/>
      <c r="T13" s="69"/>
      <c r="U13" s="69"/>
      <c r="V13" s="69"/>
      <c r="W13" s="69"/>
      <c r="X13" s="72"/>
      <c r="Y13" s="72"/>
      <c r="Z13" s="72"/>
      <c r="AA13" s="20"/>
      <c r="AB13" s="20"/>
      <c r="AC13" s="20"/>
      <c r="AD13" s="20"/>
      <c r="AE13" s="20"/>
      <c r="AF13" s="20"/>
      <c r="AG13" s="20"/>
      <c r="AH13" s="20"/>
      <c r="AI13" s="21">
        <f t="shared" si="0"/>
        <v>0.2</v>
      </c>
      <c r="AJ13" s="8"/>
      <c r="AK13" s="1"/>
      <c r="AM13" s="103" t="s">
        <v>80</v>
      </c>
      <c r="AN13" s="104" t="s">
        <v>81</v>
      </c>
      <c r="AO13" s="104"/>
    </row>
    <row r="14" spans="1:41" ht="16.5" customHeight="1" x14ac:dyDescent="0.2">
      <c r="A14" s="1"/>
      <c r="B14" s="7"/>
      <c r="C14" s="23" t="s">
        <v>44</v>
      </c>
      <c r="D14" s="16"/>
      <c r="E14" s="67" t="s">
        <v>46</v>
      </c>
      <c r="F14" s="67" t="s">
        <v>65</v>
      </c>
      <c r="G14" s="70" t="s">
        <v>67</v>
      </c>
      <c r="H14" s="68">
        <v>45824</v>
      </c>
      <c r="I14" s="68">
        <v>45900</v>
      </c>
      <c r="J14" s="68"/>
      <c r="K14" s="68"/>
      <c r="L14" s="69"/>
      <c r="M14" s="69"/>
      <c r="N14" s="69"/>
      <c r="O14" s="69"/>
      <c r="P14" s="69">
        <v>0.5</v>
      </c>
      <c r="Q14" s="69">
        <v>1</v>
      </c>
      <c r="R14" s="69">
        <v>1</v>
      </c>
      <c r="S14" s="81"/>
      <c r="T14" s="81"/>
      <c r="U14" s="81"/>
      <c r="V14" s="81"/>
      <c r="W14" s="81"/>
      <c r="X14" s="82"/>
      <c r="Y14" s="82"/>
      <c r="Z14" s="82"/>
      <c r="AA14" s="20"/>
      <c r="AB14" s="20"/>
      <c r="AC14" s="20"/>
      <c r="AD14" s="20"/>
      <c r="AE14" s="20"/>
      <c r="AF14" s="20"/>
      <c r="AG14" s="20"/>
      <c r="AH14" s="20"/>
      <c r="AI14" s="21">
        <f t="shared" si="0"/>
        <v>2.5</v>
      </c>
      <c r="AJ14" s="8"/>
      <c r="AK14" s="1"/>
      <c r="AM14" s="106"/>
      <c r="AN14" s="104" t="s">
        <v>76</v>
      </c>
      <c r="AO14" s="104"/>
    </row>
    <row r="15" spans="1:41" ht="16.5" customHeight="1" x14ac:dyDescent="0.2">
      <c r="A15" s="1"/>
      <c r="B15" s="7"/>
      <c r="C15" s="23" t="s">
        <v>44</v>
      </c>
      <c r="D15" s="16"/>
      <c r="E15" s="67" t="s">
        <v>46</v>
      </c>
      <c r="F15" s="67" t="s">
        <v>64</v>
      </c>
      <c r="G15" s="70" t="s">
        <v>67</v>
      </c>
      <c r="H15" s="68">
        <v>45824</v>
      </c>
      <c r="I15" s="68">
        <v>45900</v>
      </c>
      <c r="J15" s="68"/>
      <c r="K15" s="68"/>
      <c r="L15" s="69"/>
      <c r="M15" s="69"/>
      <c r="N15" s="69"/>
      <c r="O15" s="69"/>
      <c r="P15" s="69">
        <v>0.5</v>
      </c>
      <c r="Q15" s="69">
        <v>1</v>
      </c>
      <c r="R15" s="69">
        <v>1</v>
      </c>
      <c r="S15" s="62">
        <v>1</v>
      </c>
      <c r="T15" s="61">
        <v>1</v>
      </c>
      <c r="U15" s="61">
        <v>1</v>
      </c>
      <c r="V15" s="81"/>
      <c r="W15" s="81"/>
      <c r="X15" s="82"/>
      <c r="Y15" s="82"/>
      <c r="Z15" s="82"/>
      <c r="AA15" s="20"/>
      <c r="AB15" s="20"/>
      <c r="AC15" s="20"/>
      <c r="AD15" s="20"/>
      <c r="AE15" s="20"/>
      <c r="AF15" s="20"/>
      <c r="AG15" s="20"/>
      <c r="AH15" s="20"/>
      <c r="AI15" s="21">
        <f t="shared" si="0"/>
        <v>5.5</v>
      </c>
      <c r="AJ15" s="8"/>
      <c r="AK15" s="1"/>
    </row>
    <row r="16" spans="1:41" ht="16.5" customHeight="1" x14ac:dyDescent="0.2">
      <c r="A16" s="1"/>
      <c r="B16" s="7"/>
      <c r="C16" s="23" t="s">
        <v>44</v>
      </c>
      <c r="D16" s="16"/>
      <c r="E16" s="17" t="s">
        <v>46</v>
      </c>
      <c r="F16" s="17" t="s">
        <v>14</v>
      </c>
      <c r="G16" s="56" t="s">
        <v>47</v>
      </c>
      <c r="H16" s="18">
        <v>45748</v>
      </c>
      <c r="I16" s="18">
        <v>45961</v>
      </c>
      <c r="J16" s="18"/>
      <c r="K16" s="18"/>
      <c r="L16" s="19"/>
      <c r="M16" s="19"/>
      <c r="N16" s="19">
        <v>1</v>
      </c>
      <c r="O16" s="19">
        <v>1</v>
      </c>
      <c r="P16" s="19">
        <v>1</v>
      </c>
      <c r="Q16" s="19">
        <v>1</v>
      </c>
      <c r="R16" s="19">
        <v>1</v>
      </c>
      <c r="S16" s="19">
        <v>1</v>
      </c>
      <c r="T16" s="19">
        <v>1</v>
      </c>
      <c r="U16" s="61">
        <v>1</v>
      </c>
      <c r="V16" s="61">
        <v>1</v>
      </c>
      <c r="W16" s="81"/>
      <c r="X16" s="82"/>
      <c r="Y16" s="82"/>
      <c r="Z16" s="82"/>
      <c r="AA16" s="20"/>
      <c r="AB16" s="20"/>
      <c r="AC16" s="20"/>
      <c r="AD16" s="20"/>
      <c r="AE16" s="20"/>
      <c r="AF16" s="20"/>
      <c r="AG16" s="20"/>
      <c r="AH16" s="20"/>
      <c r="AI16" s="21">
        <f t="shared" si="0"/>
        <v>9</v>
      </c>
      <c r="AJ16" s="8"/>
      <c r="AK16" s="1"/>
      <c r="AM16" s="108"/>
      <c r="AN16" s="108"/>
    </row>
    <row r="17" spans="1:40" ht="16.5" customHeight="1" x14ac:dyDescent="0.2">
      <c r="A17" s="1"/>
      <c r="B17" s="7"/>
      <c r="C17" s="23" t="s">
        <v>44</v>
      </c>
      <c r="D17" s="16"/>
      <c r="E17" s="24" t="s">
        <v>51</v>
      </c>
      <c r="F17" s="24" t="s">
        <v>7</v>
      </c>
      <c r="G17" s="24" t="s">
        <v>46</v>
      </c>
      <c r="H17" s="25">
        <v>45691</v>
      </c>
      <c r="I17" s="25">
        <v>45961</v>
      </c>
      <c r="J17" s="25"/>
      <c r="K17" s="25"/>
      <c r="L17" s="26">
        <v>1</v>
      </c>
      <c r="M17" s="26">
        <v>1</v>
      </c>
      <c r="N17" s="26">
        <v>1</v>
      </c>
      <c r="O17" s="26">
        <v>1</v>
      </c>
      <c r="P17" s="26">
        <v>1</v>
      </c>
      <c r="Q17" s="26">
        <v>1</v>
      </c>
      <c r="R17" s="26">
        <v>1</v>
      </c>
      <c r="S17" s="26">
        <v>1</v>
      </c>
      <c r="T17" s="83"/>
      <c r="U17" s="83"/>
      <c r="V17" s="83"/>
      <c r="W17" s="83"/>
      <c r="X17" s="83"/>
      <c r="Y17" s="83"/>
      <c r="Z17" s="83"/>
      <c r="AA17" s="20"/>
      <c r="AB17" s="20"/>
      <c r="AC17" s="20"/>
      <c r="AD17" s="20"/>
      <c r="AE17" s="20"/>
      <c r="AF17" s="20"/>
      <c r="AG17" s="20"/>
      <c r="AH17" s="20"/>
      <c r="AI17" s="21">
        <f t="shared" si="0"/>
        <v>8</v>
      </c>
      <c r="AJ17" s="8"/>
      <c r="AK17" s="1"/>
      <c r="AM17" s="108"/>
      <c r="AN17" s="109"/>
    </row>
    <row r="18" spans="1:40" ht="16.5" customHeight="1" x14ac:dyDescent="0.2">
      <c r="A18" s="1"/>
      <c r="B18" s="7"/>
      <c r="C18" s="23" t="s">
        <v>44</v>
      </c>
      <c r="D18" s="16"/>
      <c r="E18" s="24" t="s">
        <v>51</v>
      </c>
      <c r="F18" s="24" t="s">
        <v>11</v>
      </c>
      <c r="G18" s="24" t="s">
        <v>46</v>
      </c>
      <c r="H18" s="25">
        <v>45720</v>
      </c>
      <c r="I18" s="25">
        <v>46022</v>
      </c>
      <c r="J18" s="25"/>
      <c r="K18" s="25"/>
      <c r="L18" s="26"/>
      <c r="M18" s="26">
        <v>1</v>
      </c>
      <c r="N18" s="26">
        <v>1</v>
      </c>
      <c r="O18" s="26">
        <v>1</v>
      </c>
      <c r="P18" s="26">
        <v>1</v>
      </c>
      <c r="Q18" s="26">
        <v>1</v>
      </c>
      <c r="R18" s="26">
        <v>1</v>
      </c>
      <c r="S18" s="83"/>
      <c r="T18" s="83"/>
      <c r="U18" s="83"/>
      <c r="V18" s="85"/>
      <c r="W18" s="83"/>
      <c r="X18" s="83"/>
      <c r="Y18" s="83"/>
      <c r="Z18" s="83"/>
      <c r="AA18" s="20"/>
      <c r="AB18" s="20"/>
      <c r="AC18" s="20"/>
      <c r="AD18" s="20"/>
      <c r="AE18" s="20"/>
      <c r="AF18" s="20"/>
      <c r="AG18" s="20"/>
      <c r="AH18" s="20"/>
      <c r="AI18" s="21">
        <f t="shared" si="0"/>
        <v>6</v>
      </c>
      <c r="AJ18" s="8"/>
      <c r="AK18" s="1"/>
      <c r="AM18" s="108"/>
      <c r="AN18" s="109"/>
    </row>
    <row r="19" spans="1:40" ht="16.5" customHeight="1" x14ac:dyDescent="0.2">
      <c r="A19" s="1"/>
      <c r="B19" s="7"/>
      <c r="C19" s="23" t="s">
        <v>44</v>
      </c>
      <c r="D19" s="16"/>
      <c r="E19" s="24" t="s">
        <v>51</v>
      </c>
      <c r="F19" s="24" t="s">
        <v>15</v>
      </c>
      <c r="G19" s="24" t="s">
        <v>46</v>
      </c>
      <c r="H19" s="25">
        <v>45720</v>
      </c>
      <c r="I19" s="25">
        <v>46022</v>
      </c>
      <c r="J19" s="25"/>
      <c r="K19" s="25"/>
      <c r="L19" s="26"/>
      <c r="M19" s="26">
        <v>1</v>
      </c>
      <c r="N19" s="26">
        <v>1</v>
      </c>
      <c r="O19" s="26">
        <v>1</v>
      </c>
      <c r="P19" s="26">
        <v>1</v>
      </c>
      <c r="Q19" s="26">
        <v>1</v>
      </c>
      <c r="R19" s="26">
        <v>1</v>
      </c>
      <c r="S19" s="26">
        <v>1</v>
      </c>
      <c r="T19" s="26">
        <v>1</v>
      </c>
      <c r="U19" s="26">
        <v>1</v>
      </c>
      <c r="V19" s="65">
        <v>1</v>
      </c>
      <c r="W19" s="83"/>
      <c r="X19" s="83"/>
      <c r="Y19" s="83"/>
      <c r="Z19" s="83"/>
      <c r="AA19" s="20"/>
      <c r="AB19" s="20"/>
      <c r="AC19" s="20"/>
      <c r="AD19" s="20"/>
      <c r="AE19" s="20"/>
      <c r="AF19" s="20"/>
      <c r="AG19" s="20"/>
      <c r="AH19" s="20"/>
      <c r="AI19" s="21">
        <f t="shared" si="0"/>
        <v>10</v>
      </c>
      <c r="AJ19" s="8"/>
      <c r="AK19" s="1"/>
      <c r="AL19" s="1"/>
      <c r="AM19" s="108"/>
      <c r="AN19" s="109"/>
    </row>
    <row r="20" spans="1:40" ht="16.5" customHeight="1" x14ac:dyDescent="0.2">
      <c r="A20" s="1"/>
      <c r="B20" s="7"/>
      <c r="C20" s="23" t="s">
        <v>44</v>
      </c>
      <c r="D20" s="16"/>
      <c r="E20" s="27" t="s">
        <v>52</v>
      </c>
      <c r="F20" s="27" t="s">
        <v>8</v>
      </c>
      <c r="G20" s="27" t="s">
        <v>52</v>
      </c>
      <c r="H20" s="28">
        <v>45691</v>
      </c>
      <c r="I20" s="28">
        <v>45930</v>
      </c>
      <c r="J20" s="28"/>
      <c r="K20" s="28"/>
      <c r="L20" s="20">
        <v>1</v>
      </c>
      <c r="M20" s="20">
        <v>1</v>
      </c>
      <c r="N20" s="20">
        <v>1</v>
      </c>
      <c r="O20" s="20">
        <v>1</v>
      </c>
      <c r="P20" s="20">
        <v>1</v>
      </c>
      <c r="Q20" s="20">
        <v>1</v>
      </c>
      <c r="R20" s="20">
        <v>1</v>
      </c>
      <c r="S20" s="20">
        <v>1</v>
      </c>
      <c r="T20" s="84"/>
      <c r="U20" s="84"/>
      <c r="V20" s="84"/>
      <c r="W20" s="84"/>
      <c r="X20" s="84"/>
      <c r="Y20" s="84"/>
      <c r="Z20" s="84"/>
      <c r="AA20" s="20"/>
      <c r="AB20" s="20"/>
      <c r="AC20" s="20"/>
      <c r="AD20" s="20"/>
      <c r="AE20" s="20"/>
      <c r="AF20" s="20"/>
      <c r="AG20" s="20"/>
      <c r="AH20" s="20"/>
      <c r="AI20" s="21">
        <f t="shared" si="0"/>
        <v>8</v>
      </c>
      <c r="AJ20" s="8"/>
      <c r="AK20" s="1"/>
      <c r="AL20" s="1"/>
      <c r="AM20" s="108"/>
      <c r="AN20" s="109"/>
    </row>
    <row r="21" spans="1:40" ht="16.5" customHeight="1" x14ac:dyDescent="0.2">
      <c r="A21" s="1"/>
      <c r="B21" s="7"/>
      <c r="C21" s="23" t="s">
        <v>44</v>
      </c>
      <c r="D21" s="16"/>
      <c r="E21" s="27" t="s">
        <v>52</v>
      </c>
      <c r="F21" s="27" t="s">
        <v>12</v>
      </c>
      <c r="G21" s="57" t="s">
        <v>52</v>
      </c>
      <c r="H21" s="28">
        <v>45691</v>
      </c>
      <c r="I21" s="28">
        <v>45930</v>
      </c>
      <c r="J21" s="28"/>
      <c r="K21" s="28"/>
      <c r="L21" s="20">
        <v>1</v>
      </c>
      <c r="M21" s="20">
        <v>1</v>
      </c>
      <c r="N21" s="20">
        <v>1</v>
      </c>
      <c r="O21" s="20">
        <v>1</v>
      </c>
      <c r="P21" s="20">
        <v>1</v>
      </c>
      <c r="Q21" s="20">
        <v>1</v>
      </c>
      <c r="R21" s="20">
        <v>1</v>
      </c>
      <c r="S21" s="20">
        <v>1</v>
      </c>
      <c r="T21" s="62">
        <v>1</v>
      </c>
      <c r="U21" s="62">
        <v>1</v>
      </c>
      <c r="V21" s="62">
        <v>1</v>
      </c>
      <c r="W21" s="84"/>
      <c r="X21" s="84"/>
      <c r="Y21" s="84"/>
      <c r="Z21" s="84"/>
      <c r="AA21" s="20"/>
      <c r="AB21" s="20"/>
      <c r="AC21" s="20"/>
      <c r="AD21" s="20"/>
      <c r="AE21" s="20"/>
      <c r="AF21" s="20"/>
      <c r="AG21" s="20"/>
      <c r="AH21" s="20"/>
      <c r="AI21" s="21">
        <f t="shared" ref="AI21:AI22" si="1">SUM(L21:Z21)</f>
        <v>11</v>
      </c>
      <c r="AJ21" s="8"/>
      <c r="AK21" s="1"/>
      <c r="AL21" s="1"/>
      <c r="AM21" s="108"/>
      <c r="AN21" s="109"/>
    </row>
    <row r="22" spans="1:40" ht="16.5" hidden="1" customHeight="1" x14ac:dyDescent="0.2">
      <c r="A22" s="1"/>
      <c r="B22" s="7"/>
      <c r="C22" s="23" t="s">
        <v>44</v>
      </c>
      <c r="D22" s="63"/>
      <c r="E22" s="27"/>
      <c r="F22" s="27"/>
      <c r="G22" s="27"/>
      <c r="H22" s="28"/>
      <c r="I22" s="28"/>
      <c r="J22" s="28"/>
      <c r="K22" s="28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1">
        <f t="shared" si="1"/>
        <v>0</v>
      </c>
      <c r="AJ22" s="8"/>
      <c r="AK22" s="1"/>
      <c r="AL22" s="1"/>
      <c r="AM22" s="107"/>
      <c r="AN22" s="104"/>
    </row>
    <row r="23" spans="1:40" ht="16.5" hidden="1" customHeight="1" x14ac:dyDescent="0.2">
      <c r="A23" s="1"/>
      <c r="B23" s="7"/>
      <c r="C23" s="23" t="s">
        <v>44</v>
      </c>
      <c r="D23" s="63"/>
      <c r="E23" s="27"/>
      <c r="F23" s="27"/>
      <c r="G23" s="27"/>
      <c r="H23" s="28"/>
      <c r="I23" s="28"/>
      <c r="J23" s="28"/>
      <c r="K23" s="28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1">
        <f t="shared" ref="AI23:AI27" si="2">SUM(L23:AH23)</f>
        <v>0</v>
      </c>
      <c r="AJ23" s="8"/>
      <c r="AK23" s="1"/>
      <c r="AL23" s="1"/>
      <c r="AM23" s="108"/>
      <c r="AN23" s="109"/>
    </row>
    <row r="24" spans="1:40" ht="16.5" hidden="1" customHeight="1" x14ac:dyDescent="0.2">
      <c r="A24" s="1"/>
      <c r="B24" s="7"/>
      <c r="C24" s="23" t="s">
        <v>44</v>
      </c>
      <c r="D24" s="64"/>
      <c r="E24" s="27"/>
      <c r="F24" s="27"/>
      <c r="G24" s="27"/>
      <c r="H24" s="28"/>
      <c r="I24" s="28"/>
      <c r="J24" s="28"/>
      <c r="K24" s="28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1">
        <f t="shared" si="2"/>
        <v>0</v>
      </c>
      <c r="AJ24" s="8"/>
      <c r="AK24" s="1"/>
      <c r="AL24" s="1"/>
      <c r="AM24" s="108"/>
      <c r="AN24" s="109"/>
    </row>
    <row r="25" spans="1:40" ht="16.5" hidden="1" customHeight="1" x14ac:dyDescent="0.2">
      <c r="A25" s="1"/>
      <c r="B25" s="7"/>
      <c r="C25" s="23" t="s">
        <v>44</v>
      </c>
      <c r="D25" s="90"/>
      <c r="E25" s="27"/>
      <c r="F25" s="27"/>
      <c r="G25" s="27"/>
      <c r="H25" s="28"/>
      <c r="I25" s="28"/>
      <c r="J25" s="28"/>
      <c r="K25" s="28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1">
        <f t="shared" si="2"/>
        <v>0</v>
      </c>
      <c r="AJ25" s="8"/>
      <c r="AK25" s="1"/>
    </row>
    <row r="26" spans="1:40" ht="16.5" hidden="1" customHeight="1" x14ac:dyDescent="0.2">
      <c r="A26" s="1"/>
      <c r="B26" s="7"/>
      <c r="C26" s="23" t="s">
        <v>44</v>
      </c>
      <c r="D26" s="88"/>
      <c r="E26" s="27"/>
      <c r="F26" s="27"/>
      <c r="G26" s="27"/>
      <c r="H26" s="28"/>
      <c r="I26" s="28"/>
      <c r="J26" s="28"/>
      <c r="K26" s="28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1">
        <f t="shared" si="2"/>
        <v>0</v>
      </c>
      <c r="AJ26" s="8"/>
      <c r="AK26" s="1"/>
    </row>
    <row r="27" spans="1:40" ht="16.5" hidden="1" customHeight="1" x14ac:dyDescent="0.2">
      <c r="A27" s="1"/>
      <c r="B27" s="7"/>
      <c r="C27" s="23" t="s">
        <v>44</v>
      </c>
      <c r="D27" s="89"/>
      <c r="E27" s="27"/>
      <c r="F27" s="27"/>
      <c r="G27" s="27"/>
      <c r="H27" s="28"/>
      <c r="I27" s="28"/>
      <c r="J27" s="28"/>
      <c r="K27" s="28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1">
        <f t="shared" si="2"/>
        <v>0</v>
      </c>
      <c r="AJ27" s="8"/>
      <c r="AK27" s="1"/>
    </row>
    <row r="28" spans="1:40" ht="16.5" customHeight="1" x14ac:dyDescent="0.2">
      <c r="A28" s="1"/>
      <c r="B28" s="7"/>
      <c r="C28" s="30" t="s">
        <v>44</v>
      </c>
      <c r="D28" s="58" t="s">
        <v>53</v>
      </c>
      <c r="E28" s="31"/>
      <c r="F28" s="31"/>
      <c r="G28" s="31"/>
      <c r="H28" s="31"/>
      <c r="I28" s="31" t="s">
        <v>54</v>
      </c>
      <c r="J28" s="32"/>
      <c r="K28" s="32"/>
      <c r="L28" s="33">
        <f t="shared" ref="L28:Z28" si="3">SUM(L7:L27)</f>
        <v>6.5</v>
      </c>
      <c r="M28" s="33">
        <f t="shared" si="3"/>
        <v>9.5</v>
      </c>
      <c r="N28" s="33">
        <f t="shared" si="3"/>
        <v>12</v>
      </c>
      <c r="O28" s="33">
        <f t="shared" si="3"/>
        <v>12</v>
      </c>
      <c r="P28" s="33">
        <f t="shared" si="3"/>
        <v>12.95</v>
      </c>
      <c r="Q28" s="33">
        <f t="shared" si="3"/>
        <v>13</v>
      </c>
      <c r="R28" s="33">
        <f t="shared" si="3"/>
        <v>13</v>
      </c>
      <c r="S28" s="33">
        <f t="shared" si="3"/>
        <v>10</v>
      </c>
      <c r="T28" s="33">
        <f t="shared" si="3"/>
        <v>8</v>
      </c>
      <c r="U28" s="33">
        <f t="shared" si="3"/>
        <v>8</v>
      </c>
      <c r="V28" s="33">
        <f t="shared" si="3"/>
        <v>6</v>
      </c>
      <c r="W28" s="33">
        <f t="shared" si="3"/>
        <v>3</v>
      </c>
      <c r="X28" s="33">
        <f t="shared" si="3"/>
        <v>3</v>
      </c>
      <c r="Y28" s="33">
        <f t="shared" si="3"/>
        <v>3</v>
      </c>
      <c r="Z28" s="33">
        <f t="shared" si="3"/>
        <v>1.5</v>
      </c>
      <c r="AA28" s="33"/>
      <c r="AB28" s="33"/>
      <c r="AC28" s="33"/>
      <c r="AD28" s="33"/>
      <c r="AE28" s="33"/>
      <c r="AF28" s="33"/>
      <c r="AG28" s="33"/>
      <c r="AH28" s="33"/>
      <c r="AI28" s="34">
        <f>SUM(AI7:AI27)</f>
        <v>121.45</v>
      </c>
      <c r="AJ28" s="8"/>
      <c r="AK28" s="1"/>
    </row>
    <row r="29" spans="1:40" ht="4.5" customHeight="1" x14ac:dyDescent="0.2">
      <c r="A29" s="35"/>
      <c r="B29" s="36"/>
      <c r="C29" s="37"/>
      <c r="D29" s="38"/>
      <c r="E29" s="39"/>
      <c r="F29" s="39"/>
      <c r="G29" s="39"/>
      <c r="H29" s="40"/>
      <c r="I29" s="40"/>
      <c r="J29" s="40"/>
      <c r="K29" s="40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41"/>
      <c r="AK29" s="35"/>
    </row>
    <row r="30" spans="1:40" ht="16.5" customHeight="1" x14ac:dyDescent="0.2">
      <c r="A30" s="1"/>
      <c r="B30" s="7"/>
      <c r="C30" s="15" t="s">
        <v>55</v>
      </c>
      <c r="D30" s="42" t="s">
        <v>49</v>
      </c>
      <c r="E30" s="24" t="s">
        <v>51</v>
      </c>
      <c r="F30" s="24" t="s">
        <v>2</v>
      </c>
      <c r="G30" s="59" t="s">
        <v>50</v>
      </c>
      <c r="H30" s="25">
        <v>45726</v>
      </c>
      <c r="I30" s="25">
        <v>46127</v>
      </c>
      <c r="J30" s="25"/>
      <c r="K30" s="25"/>
      <c r="L30" s="26"/>
      <c r="M30" s="26">
        <v>0.75</v>
      </c>
      <c r="N30" s="26">
        <v>1</v>
      </c>
      <c r="O30" s="26">
        <v>1</v>
      </c>
      <c r="P30" s="26">
        <v>1</v>
      </c>
      <c r="Q30" s="26">
        <v>1</v>
      </c>
      <c r="R30" s="26">
        <v>1</v>
      </c>
      <c r="S30" s="26">
        <v>1</v>
      </c>
      <c r="T30" s="26">
        <v>1</v>
      </c>
      <c r="U30" s="26">
        <v>1</v>
      </c>
      <c r="V30" s="26">
        <v>1</v>
      </c>
      <c r="W30" s="26">
        <v>1</v>
      </c>
      <c r="X30" s="26">
        <v>1</v>
      </c>
      <c r="Y30" s="26">
        <v>1</v>
      </c>
      <c r="Z30" s="26">
        <v>0.5</v>
      </c>
      <c r="AA30" s="20"/>
      <c r="AB30" s="20"/>
      <c r="AC30" s="20"/>
      <c r="AD30" s="20"/>
      <c r="AE30" s="20"/>
      <c r="AF30" s="20"/>
      <c r="AG30" s="20"/>
      <c r="AH30" s="20"/>
      <c r="AI30" s="21">
        <f t="shared" ref="AI30:AI40" si="4">SUM(L30:AH30)</f>
        <v>13.25</v>
      </c>
      <c r="AJ30" s="8"/>
      <c r="AK30" s="1"/>
      <c r="AM30" s="110" t="s">
        <v>94</v>
      </c>
    </row>
    <row r="31" spans="1:40" ht="16.5" customHeight="1" x14ac:dyDescent="0.2">
      <c r="A31" s="1"/>
      <c r="B31" s="7"/>
      <c r="C31" s="22"/>
      <c r="D31" s="87" t="s">
        <v>56</v>
      </c>
      <c r="E31" s="24" t="s">
        <v>51</v>
      </c>
      <c r="F31" s="24" t="s">
        <v>5</v>
      </c>
      <c r="G31" s="59" t="s">
        <v>50</v>
      </c>
      <c r="H31" s="25">
        <v>45726</v>
      </c>
      <c r="I31" s="25">
        <v>46127</v>
      </c>
      <c r="J31" s="25"/>
      <c r="K31" s="25"/>
      <c r="L31" s="26"/>
      <c r="M31" s="26">
        <v>0.75</v>
      </c>
      <c r="N31" s="26">
        <v>1</v>
      </c>
      <c r="O31" s="26">
        <v>1</v>
      </c>
      <c r="P31" s="26">
        <v>1</v>
      </c>
      <c r="Q31" s="26">
        <v>1</v>
      </c>
      <c r="R31" s="26">
        <v>1</v>
      </c>
      <c r="S31" s="26">
        <v>1</v>
      </c>
      <c r="T31" s="26">
        <v>1</v>
      </c>
      <c r="U31" s="26">
        <v>1</v>
      </c>
      <c r="V31" s="26">
        <v>1</v>
      </c>
      <c r="W31" s="26">
        <v>1</v>
      </c>
      <c r="X31" s="26">
        <v>1</v>
      </c>
      <c r="Y31" s="26">
        <v>1</v>
      </c>
      <c r="Z31" s="26">
        <v>0.5</v>
      </c>
      <c r="AA31" s="20"/>
      <c r="AB31" s="20"/>
      <c r="AC31" s="20"/>
      <c r="AD31" s="20"/>
      <c r="AE31" s="20"/>
      <c r="AF31" s="20"/>
      <c r="AG31" s="20"/>
      <c r="AH31" s="20"/>
      <c r="AI31" s="21">
        <f t="shared" si="4"/>
        <v>13.25</v>
      </c>
      <c r="AJ31" s="8"/>
      <c r="AK31" s="1"/>
      <c r="AM31" s="107" t="s">
        <v>10</v>
      </c>
      <c r="AN31" s="104" t="s">
        <v>82</v>
      </c>
    </row>
    <row r="32" spans="1:40" ht="16.5" customHeight="1" x14ac:dyDescent="0.2">
      <c r="A32" s="1"/>
      <c r="B32" s="7"/>
      <c r="C32" s="22"/>
      <c r="D32" s="88"/>
      <c r="E32" s="24" t="s">
        <v>51</v>
      </c>
      <c r="F32" s="24" t="s">
        <v>17</v>
      </c>
      <c r="G32" s="24" t="s">
        <v>46</v>
      </c>
      <c r="H32" s="25">
        <v>45748</v>
      </c>
      <c r="I32" s="25"/>
      <c r="J32" s="25"/>
      <c r="K32" s="25"/>
      <c r="L32" s="26"/>
      <c r="M32" s="26"/>
      <c r="N32" s="26">
        <v>1</v>
      </c>
      <c r="O32" s="26">
        <v>1</v>
      </c>
      <c r="P32" s="26">
        <v>1</v>
      </c>
      <c r="Q32" s="26">
        <v>1</v>
      </c>
      <c r="R32" s="73">
        <v>0.25</v>
      </c>
      <c r="S32" s="26"/>
      <c r="T32" s="26"/>
      <c r="U32" s="26"/>
      <c r="V32" s="26"/>
      <c r="W32" s="26"/>
      <c r="X32" s="26"/>
      <c r="Y32" s="26"/>
      <c r="Z32" s="26"/>
      <c r="AA32" s="20"/>
      <c r="AB32" s="20"/>
      <c r="AC32" s="20"/>
      <c r="AD32" s="20"/>
      <c r="AE32" s="20"/>
      <c r="AF32" s="20"/>
      <c r="AG32" s="20"/>
      <c r="AH32" s="20"/>
      <c r="AI32" s="21">
        <f t="shared" si="4"/>
        <v>4.25</v>
      </c>
      <c r="AJ32" s="8"/>
      <c r="AK32" s="1"/>
      <c r="AM32" s="108" t="s">
        <v>4</v>
      </c>
      <c r="AN32" s="109" t="s">
        <v>83</v>
      </c>
    </row>
    <row r="33" spans="1:40" ht="16.5" customHeight="1" x14ac:dyDescent="0.2">
      <c r="A33" s="1"/>
      <c r="B33" s="7"/>
      <c r="C33" s="23" t="s">
        <v>55</v>
      </c>
      <c r="D33" s="88"/>
      <c r="E33" s="77" t="s">
        <v>70</v>
      </c>
      <c r="F33" s="77" t="s">
        <v>71</v>
      </c>
      <c r="G33" s="78" t="s">
        <v>72</v>
      </c>
      <c r="H33" s="79"/>
      <c r="I33" s="79"/>
      <c r="J33" s="79"/>
      <c r="K33" s="79"/>
      <c r="L33" s="80"/>
      <c r="M33" s="80"/>
      <c r="N33" s="80"/>
      <c r="O33" s="80"/>
      <c r="P33" s="80"/>
      <c r="Q33" s="80"/>
      <c r="R33" s="62">
        <v>0.75</v>
      </c>
      <c r="S33" s="62">
        <v>1</v>
      </c>
      <c r="T33" s="80"/>
      <c r="U33" s="80"/>
      <c r="V33" s="80"/>
      <c r="W33" s="80"/>
      <c r="X33" s="80"/>
      <c r="Y33" s="80"/>
      <c r="Z33" s="80"/>
      <c r="AA33" s="20"/>
      <c r="AB33" s="20"/>
      <c r="AC33" s="20"/>
      <c r="AD33" s="20"/>
      <c r="AE33" s="20"/>
      <c r="AF33" s="20"/>
      <c r="AG33" s="20"/>
      <c r="AH33" s="20"/>
      <c r="AI33" s="21">
        <f t="shared" ref="AI33" si="5">SUM(L33:AH33)</f>
        <v>1.75</v>
      </c>
      <c r="AJ33" s="8"/>
      <c r="AK33" s="1"/>
      <c r="AM33" s="108" t="s">
        <v>15</v>
      </c>
      <c r="AN33" s="109" t="s">
        <v>84</v>
      </c>
    </row>
    <row r="34" spans="1:40" ht="16.5" customHeight="1" x14ac:dyDescent="0.2">
      <c r="A34" s="1"/>
      <c r="B34" s="7"/>
      <c r="C34" s="23" t="s">
        <v>55</v>
      </c>
      <c r="D34" s="88"/>
      <c r="E34" s="74" t="s">
        <v>52</v>
      </c>
      <c r="F34" s="74" t="s">
        <v>63</v>
      </c>
      <c r="G34" s="75" t="s">
        <v>50</v>
      </c>
      <c r="H34" s="76">
        <v>45810</v>
      </c>
      <c r="I34" s="76">
        <v>45991</v>
      </c>
      <c r="J34" s="76"/>
      <c r="K34" s="76"/>
      <c r="L34" s="66"/>
      <c r="M34" s="66"/>
      <c r="N34" s="66"/>
      <c r="O34" s="66"/>
      <c r="P34" s="66">
        <v>1</v>
      </c>
      <c r="Q34" s="66">
        <v>1</v>
      </c>
      <c r="R34" s="66">
        <v>1</v>
      </c>
      <c r="S34" s="66">
        <v>1</v>
      </c>
      <c r="T34" s="62">
        <v>1</v>
      </c>
      <c r="U34" s="62">
        <v>1</v>
      </c>
      <c r="V34" s="66"/>
      <c r="W34" s="66"/>
      <c r="X34" s="66"/>
      <c r="Y34" s="66"/>
      <c r="Z34" s="66"/>
      <c r="AA34" s="20"/>
      <c r="AB34" s="20"/>
      <c r="AC34" s="20"/>
      <c r="AD34" s="20"/>
      <c r="AE34" s="20"/>
      <c r="AF34" s="20"/>
      <c r="AG34" s="20"/>
      <c r="AH34" s="20"/>
      <c r="AI34" s="21">
        <f t="shared" si="4"/>
        <v>6</v>
      </c>
      <c r="AJ34" s="8"/>
      <c r="AK34" s="1"/>
      <c r="AM34" s="108" t="s">
        <v>14</v>
      </c>
      <c r="AN34" s="109" t="s">
        <v>85</v>
      </c>
    </row>
    <row r="35" spans="1:40" ht="16.5" customHeight="1" x14ac:dyDescent="0.2">
      <c r="A35" s="1"/>
      <c r="B35" s="7"/>
      <c r="C35" s="23" t="s">
        <v>55</v>
      </c>
      <c r="D35" s="88"/>
      <c r="E35" s="74" t="s">
        <v>52</v>
      </c>
      <c r="F35" s="74" t="s">
        <v>62</v>
      </c>
      <c r="G35" s="75" t="s">
        <v>50</v>
      </c>
      <c r="H35" s="76">
        <v>45810</v>
      </c>
      <c r="I35" s="76">
        <v>45991</v>
      </c>
      <c r="J35" s="76"/>
      <c r="K35" s="76"/>
      <c r="L35" s="66"/>
      <c r="M35" s="66"/>
      <c r="N35" s="66"/>
      <c r="O35" s="66"/>
      <c r="P35" s="66">
        <v>1</v>
      </c>
      <c r="Q35" s="66">
        <v>1</v>
      </c>
      <c r="R35" s="66">
        <v>1</v>
      </c>
      <c r="S35" s="66">
        <v>1</v>
      </c>
      <c r="T35" s="66">
        <v>1</v>
      </c>
      <c r="U35" s="66">
        <v>1</v>
      </c>
      <c r="V35" s="66"/>
      <c r="W35" s="66"/>
      <c r="X35" s="66"/>
      <c r="Y35" s="66"/>
      <c r="Z35" s="66"/>
      <c r="AA35" s="20"/>
      <c r="AB35" s="20"/>
      <c r="AC35" s="20"/>
      <c r="AD35" s="20"/>
      <c r="AE35" s="20"/>
      <c r="AF35" s="20"/>
      <c r="AG35" s="20"/>
      <c r="AH35" s="20"/>
      <c r="AI35" s="21">
        <f t="shared" si="4"/>
        <v>6</v>
      </c>
      <c r="AJ35" s="8"/>
      <c r="AK35" s="1"/>
      <c r="AM35" s="108" t="s">
        <v>86</v>
      </c>
      <c r="AN35" s="109" t="s">
        <v>87</v>
      </c>
    </row>
    <row r="36" spans="1:40" ht="16.5" customHeight="1" x14ac:dyDescent="0.2">
      <c r="A36" s="1"/>
      <c r="B36" s="7"/>
      <c r="C36" s="23" t="s">
        <v>55</v>
      </c>
      <c r="D36" s="88"/>
      <c r="E36" s="74" t="s">
        <v>52</v>
      </c>
      <c r="F36" s="74" t="s">
        <v>9</v>
      </c>
      <c r="G36" s="75" t="s">
        <v>50</v>
      </c>
      <c r="H36" s="76">
        <v>45726</v>
      </c>
      <c r="I36" s="76"/>
      <c r="J36" s="76"/>
      <c r="K36" s="76"/>
      <c r="L36" s="66"/>
      <c r="M36" s="66">
        <v>0.75</v>
      </c>
      <c r="N36" s="66">
        <v>1</v>
      </c>
      <c r="O36" s="66">
        <v>1</v>
      </c>
      <c r="P36" s="66">
        <v>1</v>
      </c>
      <c r="Q36" s="66">
        <v>1</v>
      </c>
      <c r="R36" s="62">
        <v>0.25</v>
      </c>
      <c r="S36" s="66"/>
      <c r="T36" s="66"/>
      <c r="U36" s="66"/>
      <c r="V36" s="66"/>
      <c r="W36" s="66"/>
      <c r="X36" s="66"/>
      <c r="Y36" s="66"/>
      <c r="Z36" s="66"/>
      <c r="AA36" s="20"/>
      <c r="AB36" s="20"/>
      <c r="AC36" s="20"/>
      <c r="AD36" s="20"/>
      <c r="AE36" s="20"/>
      <c r="AF36" s="20"/>
      <c r="AG36" s="20"/>
      <c r="AH36" s="20"/>
      <c r="AI36" s="21">
        <f t="shared" si="4"/>
        <v>5</v>
      </c>
      <c r="AJ36" s="8"/>
      <c r="AK36" s="1"/>
      <c r="AM36" s="108" t="s">
        <v>88</v>
      </c>
      <c r="AN36" s="109" t="s">
        <v>89</v>
      </c>
    </row>
    <row r="37" spans="1:40" ht="16.5" customHeight="1" x14ac:dyDescent="0.2">
      <c r="A37" s="1"/>
      <c r="B37" s="7"/>
      <c r="C37" s="23" t="s">
        <v>55</v>
      </c>
      <c r="D37" s="88"/>
      <c r="E37" s="74" t="s">
        <v>52</v>
      </c>
      <c r="F37" s="74" t="s">
        <v>71</v>
      </c>
      <c r="G37" s="75" t="s">
        <v>50</v>
      </c>
      <c r="H37" s="76"/>
      <c r="I37" s="76">
        <v>45930</v>
      </c>
      <c r="J37" s="76"/>
      <c r="K37" s="76"/>
      <c r="L37" s="66"/>
      <c r="M37" s="66"/>
      <c r="N37" s="66"/>
      <c r="O37" s="66"/>
      <c r="P37" s="66"/>
      <c r="Q37" s="66"/>
      <c r="R37" s="62">
        <v>0.75</v>
      </c>
      <c r="S37" s="62">
        <v>1</v>
      </c>
      <c r="T37" s="66"/>
      <c r="U37" s="66"/>
      <c r="V37" s="66"/>
      <c r="W37" s="66"/>
      <c r="X37" s="66"/>
      <c r="Y37" s="66"/>
      <c r="Z37" s="66"/>
      <c r="AA37" s="20"/>
      <c r="AB37" s="20"/>
      <c r="AC37" s="20"/>
      <c r="AD37" s="20"/>
      <c r="AE37" s="20"/>
      <c r="AF37" s="20"/>
      <c r="AG37" s="20"/>
      <c r="AH37" s="20"/>
      <c r="AI37" s="21">
        <f t="shared" ref="AI37" si="6">SUM(L37:AH37)</f>
        <v>1.75</v>
      </c>
      <c r="AJ37" s="8"/>
      <c r="AK37" s="1"/>
      <c r="AM37" s="107" t="s">
        <v>16</v>
      </c>
      <c r="AN37" s="104" t="s">
        <v>90</v>
      </c>
    </row>
    <row r="38" spans="1:40" ht="16.5" customHeight="1" x14ac:dyDescent="0.2">
      <c r="A38" s="1"/>
      <c r="B38" s="7"/>
      <c r="C38" s="23" t="s">
        <v>55</v>
      </c>
      <c r="D38" s="88"/>
      <c r="E38" s="27" t="s">
        <v>52</v>
      </c>
      <c r="F38" s="27" t="s">
        <v>3</v>
      </c>
      <c r="G38" s="57" t="s">
        <v>50</v>
      </c>
      <c r="H38" s="28">
        <v>45748</v>
      </c>
      <c r="I38" s="28">
        <v>45961</v>
      </c>
      <c r="J38" s="28"/>
      <c r="K38" s="28"/>
      <c r="L38" s="20"/>
      <c r="M38" s="20"/>
      <c r="N38" s="20">
        <v>1</v>
      </c>
      <c r="O38" s="20">
        <v>1</v>
      </c>
      <c r="P38" s="20">
        <v>1</v>
      </c>
      <c r="Q38" s="20">
        <v>1</v>
      </c>
      <c r="R38" s="20">
        <v>1</v>
      </c>
      <c r="S38" s="20">
        <v>1</v>
      </c>
      <c r="T38" s="20">
        <v>1</v>
      </c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1">
        <f t="shared" si="4"/>
        <v>7</v>
      </c>
      <c r="AJ38" s="8"/>
      <c r="AK38" s="1"/>
      <c r="AM38" s="108" t="s">
        <v>8</v>
      </c>
      <c r="AN38" s="109" t="s">
        <v>91</v>
      </c>
    </row>
    <row r="39" spans="1:40" ht="16.5" customHeight="1" x14ac:dyDescent="0.2">
      <c r="A39" s="1"/>
      <c r="B39" s="7"/>
      <c r="C39" s="23" t="s">
        <v>55</v>
      </c>
      <c r="D39" s="88"/>
      <c r="E39" s="27" t="s">
        <v>52</v>
      </c>
      <c r="F39" s="27" t="s">
        <v>13</v>
      </c>
      <c r="G39" s="57" t="s">
        <v>50</v>
      </c>
      <c r="H39" s="28">
        <v>45726</v>
      </c>
      <c r="I39" s="28">
        <v>46094</v>
      </c>
      <c r="J39" s="28"/>
      <c r="K39" s="28"/>
      <c r="L39" s="20"/>
      <c r="M39" s="20">
        <v>0.75</v>
      </c>
      <c r="N39" s="20">
        <v>1</v>
      </c>
      <c r="O39" s="20">
        <v>1</v>
      </c>
      <c r="P39" s="20">
        <v>1</v>
      </c>
      <c r="Q39" s="20">
        <v>1</v>
      </c>
      <c r="R39" s="20">
        <v>1</v>
      </c>
      <c r="S39" s="20">
        <v>1</v>
      </c>
      <c r="T39" s="20">
        <v>1</v>
      </c>
      <c r="U39" s="20">
        <v>1</v>
      </c>
      <c r="V39" s="62">
        <v>1</v>
      </c>
      <c r="W39" s="62">
        <v>1</v>
      </c>
      <c r="X39" s="62">
        <v>1</v>
      </c>
      <c r="Y39" s="62">
        <v>0.5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1">
        <f t="shared" si="4"/>
        <v>12.25</v>
      </c>
      <c r="AJ39" s="8"/>
      <c r="AK39" s="1"/>
      <c r="AM39" s="108" t="s">
        <v>12</v>
      </c>
      <c r="AN39" s="109" t="s">
        <v>92</v>
      </c>
    </row>
    <row r="40" spans="1:40" ht="16.5" customHeight="1" x14ac:dyDescent="0.2">
      <c r="A40" s="1"/>
      <c r="B40" s="7"/>
      <c r="C40" s="23" t="s">
        <v>55</v>
      </c>
      <c r="D40" s="89"/>
      <c r="E40" s="27" t="s">
        <v>52</v>
      </c>
      <c r="F40" s="27" t="s">
        <v>6</v>
      </c>
      <c r="G40" s="57" t="s">
        <v>50</v>
      </c>
      <c r="H40" s="28">
        <v>45748</v>
      </c>
      <c r="I40" s="28">
        <v>45961</v>
      </c>
      <c r="J40" s="28"/>
      <c r="K40" s="28"/>
      <c r="L40" s="20"/>
      <c r="M40" s="20"/>
      <c r="N40" s="20">
        <v>1</v>
      </c>
      <c r="O40" s="20">
        <v>1</v>
      </c>
      <c r="P40" s="20">
        <v>1</v>
      </c>
      <c r="Q40" s="20">
        <v>1</v>
      </c>
      <c r="R40" s="20">
        <v>1</v>
      </c>
      <c r="S40" s="20">
        <v>1</v>
      </c>
      <c r="T40" s="20">
        <v>1</v>
      </c>
      <c r="U40" s="43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1">
        <f t="shared" si="4"/>
        <v>7</v>
      </c>
      <c r="AJ40" s="8"/>
      <c r="AK40" s="1"/>
    </row>
    <row r="41" spans="1:40" ht="16.5" hidden="1" customHeight="1" x14ac:dyDescent="0.2">
      <c r="A41" s="1"/>
      <c r="B41" s="7"/>
      <c r="C41" s="23" t="s">
        <v>55</v>
      </c>
      <c r="D41" s="90"/>
      <c r="E41" s="27" t="s">
        <v>46</v>
      </c>
      <c r="F41" s="27"/>
      <c r="G41" s="29"/>
      <c r="H41" s="28"/>
      <c r="I41" s="28"/>
      <c r="J41" s="28"/>
      <c r="K41" s="28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1">
        <v>0</v>
      </c>
      <c r="AJ41" s="8"/>
      <c r="AK41" s="1"/>
    </row>
    <row r="42" spans="1:40" ht="16.5" hidden="1" customHeight="1" x14ac:dyDescent="0.2">
      <c r="A42" s="1"/>
      <c r="B42" s="7"/>
      <c r="C42" s="23" t="s">
        <v>55</v>
      </c>
      <c r="D42" s="88"/>
      <c r="E42" s="27" t="s">
        <v>51</v>
      </c>
      <c r="F42" s="27"/>
      <c r="G42" s="29"/>
      <c r="H42" s="28"/>
      <c r="I42" s="28"/>
      <c r="J42" s="28"/>
      <c r="K42" s="28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1">
        <v>0</v>
      </c>
      <c r="AJ42" s="8"/>
      <c r="AK42" s="1"/>
    </row>
    <row r="43" spans="1:40" ht="16.5" hidden="1" customHeight="1" x14ac:dyDescent="0.2">
      <c r="A43" s="1"/>
      <c r="B43" s="7"/>
      <c r="C43" s="23" t="s">
        <v>55</v>
      </c>
      <c r="D43" s="89"/>
      <c r="E43" s="27" t="s">
        <v>52</v>
      </c>
      <c r="F43" s="27"/>
      <c r="G43" s="29"/>
      <c r="H43" s="28"/>
      <c r="I43" s="28"/>
      <c r="J43" s="28"/>
      <c r="K43" s="28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1">
        <v>0</v>
      </c>
      <c r="AJ43" s="8"/>
      <c r="AK43" s="1"/>
    </row>
    <row r="44" spans="1:40" ht="16.5" hidden="1" customHeight="1" x14ac:dyDescent="0.2">
      <c r="A44" s="1"/>
      <c r="B44" s="7"/>
      <c r="C44" s="23" t="s">
        <v>55</v>
      </c>
      <c r="D44" s="90"/>
      <c r="E44" s="27" t="s">
        <v>46</v>
      </c>
      <c r="F44" s="27"/>
      <c r="G44" s="29"/>
      <c r="H44" s="28"/>
      <c r="I44" s="28"/>
      <c r="J44" s="28"/>
      <c r="K44" s="28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1">
        <v>0</v>
      </c>
      <c r="AJ44" s="8"/>
      <c r="AK44" s="1"/>
    </row>
    <row r="45" spans="1:40" ht="16.5" hidden="1" customHeight="1" x14ac:dyDescent="0.2">
      <c r="A45" s="1"/>
      <c r="B45" s="7"/>
      <c r="C45" s="23" t="s">
        <v>55</v>
      </c>
      <c r="D45" s="88"/>
      <c r="E45" s="27" t="s">
        <v>51</v>
      </c>
      <c r="F45" s="27"/>
      <c r="G45" s="29"/>
      <c r="H45" s="28"/>
      <c r="I45" s="28"/>
      <c r="J45" s="28"/>
      <c r="K45" s="28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1">
        <v>0</v>
      </c>
      <c r="AJ45" s="8"/>
      <c r="AK45" s="1"/>
    </row>
    <row r="46" spans="1:40" ht="16.5" hidden="1" customHeight="1" x14ac:dyDescent="0.2">
      <c r="A46" s="1"/>
      <c r="B46" s="7"/>
      <c r="C46" s="23" t="s">
        <v>55</v>
      </c>
      <c r="D46" s="89"/>
      <c r="E46" s="27" t="s">
        <v>52</v>
      </c>
      <c r="F46" s="27"/>
      <c r="G46" s="29"/>
      <c r="H46" s="28"/>
      <c r="I46" s="28"/>
      <c r="J46" s="28"/>
      <c r="K46" s="28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1">
        <v>0</v>
      </c>
      <c r="AJ46" s="8"/>
      <c r="AK46" s="1"/>
    </row>
    <row r="47" spans="1:40" ht="16.5" hidden="1" customHeight="1" x14ac:dyDescent="0.2">
      <c r="A47" s="1"/>
      <c r="B47" s="7"/>
      <c r="C47" s="23" t="s">
        <v>55</v>
      </c>
      <c r="D47" s="91" t="s">
        <v>57</v>
      </c>
      <c r="E47" s="27" t="s">
        <v>46</v>
      </c>
      <c r="F47" s="27"/>
      <c r="G47" s="29"/>
      <c r="H47" s="28"/>
      <c r="I47" s="28"/>
      <c r="J47" s="28"/>
      <c r="K47" s="28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1">
        <v>0</v>
      </c>
      <c r="AJ47" s="8"/>
      <c r="AK47" s="1"/>
    </row>
    <row r="48" spans="1:40" ht="16.5" hidden="1" customHeight="1" x14ac:dyDescent="0.2">
      <c r="A48" s="1"/>
      <c r="B48" s="7"/>
      <c r="C48" s="23" t="s">
        <v>55</v>
      </c>
      <c r="D48" s="88"/>
      <c r="E48" s="27" t="s">
        <v>51</v>
      </c>
      <c r="F48" s="27"/>
      <c r="G48" s="29"/>
      <c r="H48" s="28"/>
      <c r="I48" s="28"/>
      <c r="J48" s="28"/>
      <c r="K48" s="28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1">
        <v>0</v>
      </c>
      <c r="AJ48" s="8"/>
      <c r="AK48" s="1"/>
    </row>
    <row r="49" spans="1:37" ht="16.5" hidden="1" customHeight="1" x14ac:dyDescent="0.2">
      <c r="A49" s="1"/>
      <c r="B49" s="7"/>
      <c r="C49" s="23" t="s">
        <v>55</v>
      </c>
      <c r="D49" s="89"/>
      <c r="E49" s="27" t="s">
        <v>52</v>
      </c>
      <c r="F49" s="27"/>
      <c r="G49" s="29"/>
      <c r="H49" s="28"/>
      <c r="I49" s="28"/>
      <c r="J49" s="28"/>
      <c r="K49" s="28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1">
        <v>0</v>
      </c>
      <c r="AJ49" s="8"/>
      <c r="AK49" s="1"/>
    </row>
    <row r="50" spans="1:37" ht="16.5" customHeight="1" x14ac:dyDescent="0.2">
      <c r="A50" s="1"/>
      <c r="B50" s="7"/>
      <c r="C50" s="30" t="s">
        <v>55</v>
      </c>
      <c r="D50" s="58" t="s">
        <v>53</v>
      </c>
      <c r="E50" s="31"/>
      <c r="F50" s="31"/>
      <c r="G50" s="31" t="s">
        <v>60</v>
      </c>
      <c r="H50" s="31"/>
      <c r="I50" s="31" t="s">
        <v>54</v>
      </c>
      <c r="J50" s="32"/>
      <c r="K50" s="32"/>
      <c r="L50" s="33">
        <f t="shared" ref="L50:Z50" si="7">SUM(L30:L49)</f>
        <v>0</v>
      </c>
      <c r="M50" s="33">
        <f t="shared" si="7"/>
        <v>3</v>
      </c>
      <c r="N50" s="33">
        <f t="shared" si="7"/>
        <v>7</v>
      </c>
      <c r="O50" s="33">
        <f t="shared" si="7"/>
        <v>7</v>
      </c>
      <c r="P50" s="33">
        <f t="shared" si="7"/>
        <v>9</v>
      </c>
      <c r="Q50" s="33">
        <f t="shared" si="7"/>
        <v>9</v>
      </c>
      <c r="R50" s="33">
        <f t="shared" si="7"/>
        <v>9</v>
      </c>
      <c r="S50" s="33">
        <f t="shared" si="7"/>
        <v>9</v>
      </c>
      <c r="T50" s="33">
        <f t="shared" si="7"/>
        <v>7</v>
      </c>
      <c r="U50" s="33">
        <f t="shared" si="7"/>
        <v>5</v>
      </c>
      <c r="V50" s="33">
        <f t="shared" si="7"/>
        <v>3</v>
      </c>
      <c r="W50" s="33">
        <f t="shared" si="7"/>
        <v>3</v>
      </c>
      <c r="X50" s="33">
        <f t="shared" si="7"/>
        <v>3</v>
      </c>
      <c r="Y50" s="33">
        <f t="shared" si="7"/>
        <v>2.5</v>
      </c>
      <c r="Z50" s="33">
        <f t="shared" si="7"/>
        <v>1</v>
      </c>
      <c r="AA50" s="33"/>
      <c r="AB50" s="33"/>
      <c r="AC50" s="33"/>
      <c r="AD50" s="33"/>
      <c r="AE50" s="33"/>
      <c r="AF50" s="33"/>
      <c r="AG50" s="33"/>
      <c r="AH50" s="33"/>
      <c r="AI50" s="34">
        <f>SUM(AI30:AI49)</f>
        <v>77.5</v>
      </c>
      <c r="AJ50" s="8"/>
      <c r="AK50" s="1"/>
    </row>
    <row r="51" spans="1:37" ht="4.5" customHeight="1" x14ac:dyDescent="0.2">
      <c r="A51" s="35"/>
      <c r="B51" s="36"/>
      <c r="C51" s="37"/>
      <c r="D51" s="38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39"/>
      <c r="AF51" s="39"/>
      <c r="AG51" s="39"/>
      <c r="AH51" s="39"/>
      <c r="AI51" s="39"/>
      <c r="AJ51" s="41"/>
      <c r="AK51" s="35"/>
    </row>
    <row r="52" spans="1:37" ht="16.5" customHeight="1" x14ac:dyDescent="0.2">
      <c r="A52" s="1"/>
      <c r="B52" s="7"/>
      <c r="C52" s="92" t="s">
        <v>53</v>
      </c>
      <c r="D52" s="93"/>
      <c r="E52" s="94"/>
      <c r="F52" s="44"/>
      <c r="G52" s="45"/>
      <c r="H52" s="45"/>
      <c r="I52" s="45" t="s">
        <v>58</v>
      </c>
      <c r="J52" s="46"/>
      <c r="K52" s="46"/>
      <c r="L52" s="33">
        <f t="shared" ref="L52:Z52" si="8">L28+L50</f>
        <v>6.5</v>
      </c>
      <c r="M52" s="33">
        <f t="shared" si="8"/>
        <v>12.5</v>
      </c>
      <c r="N52" s="33">
        <f t="shared" si="8"/>
        <v>19</v>
      </c>
      <c r="O52" s="33">
        <f t="shared" si="8"/>
        <v>19</v>
      </c>
      <c r="P52" s="33">
        <f t="shared" si="8"/>
        <v>21.95</v>
      </c>
      <c r="Q52" s="33">
        <f t="shared" si="8"/>
        <v>22</v>
      </c>
      <c r="R52" s="33">
        <f t="shared" si="8"/>
        <v>22</v>
      </c>
      <c r="S52" s="33">
        <f t="shared" si="8"/>
        <v>19</v>
      </c>
      <c r="T52" s="33">
        <f t="shared" si="8"/>
        <v>15</v>
      </c>
      <c r="U52" s="33">
        <f t="shared" si="8"/>
        <v>13</v>
      </c>
      <c r="V52" s="33">
        <f t="shared" si="8"/>
        <v>9</v>
      </c>
      <c r="W52" s="33">
        <f t="shared" si="8"/>
        <v>6</v>
      </c>
      <c r="X52" s="33">
        <f t="shared" si="8"/>
        <v>6</v>
      </c>
      <c r="Y52" s="33">
        <f t="shared" si="8"/>
        <v>5.5</v>
      </c>
      <c r="Z52" s="33">
        <f t="shared" si="8"/>
        <v>2.5</v>
      </c>
      <c r="AA52" s="33"/>
      <c r="AB52" s="33"/>
      <c r="AC52" s="33"/>
      <c r="AD52" s="33"/>
      <c r="AE52" s="33"/>
      <c r="AF52" s="33"/>
      <c r="AG52" s="33"/>
      <c r="AH52" s="33"/>
      <c r="AI52" s="34">
        <f>AI28+AI50</f>
        <v>198.95</v>
      </c>
      <c r="AJ52" s="8"/>
      <c r="AK52" s="1"/>
    </row>
    <row r="53" spans="1:37" ht="16.5" customHeight="1" thickBot="1" x14ac:dyDescent="0.25">
      <c r="A53" s="1"/>
      <c r="B53" s="47"/>
      <c r="C53" s="48"/>
      <c r="D53" s="48"/>
      <c r="E53" s="49"/>
      <c r="F53" s="49"/>
      <c r="G53" s="49"/>
      <c r="H53" s="49"/>
      <c r="I53" s="48"/>
      <c r="J53" s="48"/>
      <c r="K53" s="50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51"/>
      <c r="AK53" s="1"/>
    </row>
    <row r="54" spans="1:37" ht="16.5" customHeight="1" x14ac:dyDescent="0.2">
      <c r="C54" s="60"/>
    </row>
    <row r="55" spans="1:37" ht="16.5" customHeight="1" x14ac:dyDescent="0.2"/>
    <row r="56" spans="1:37" ht="16.5" customHeight="1" x14ac:dyDescent="0.2"/>
    <row r="57" spans="1:37" ht="16.5" customHeight="1" x14ac:dyDescent="0.2"/>
    <row r="58" spans="1:37" ht="16.5" customHeight="1" x14ac:dyDescent="0.2"/>
    <row r="59" spans="1:37" ht="16.5" customHeight="1" x14ac:dyDescent="0.2"/>
    <row r="60" spans="1:37" ht="16.5" customHeight="1" x14ac:dyDescent="0.2"/>
    <row r="61" spans="1:37" ht="16.5" customHeight="1" x14ac:dyDescent="0.2"/>
    <row r="62" spans="1:37" ht="16.5" customHeight="1" x14ac:dyDescent="0.2"/>
    <row r="63" spans="1:37" ht="16.5" customHeight="1" x14ac:dyDescent="0.2"/>
    <row r="64" spans="1:37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  <row r="143" ht="16.5" customHeight="1" x14ac:dyDescent="0.2"/>
    <row r="144" ht="16.5" customHeight="1" x14ac:dyDescent="0.2"/>
    <row r="145" ht="16.5" customHeight="1" x14ac:dyDescent="0.2"/>
    <row r="146" ht="16.5" customHeight="1" x14ac:dyDescent="0.2"/>
    <row r="147" ht="16.5" customHeight="1" x14ac:dyDescent="0.2"/>
    <row r="148" ht="16.5" customHeight="1" x14ac:dyDescent="0.2"/>
    <row r="149" ht="16.5" customHeight="1" x14ac:dyDescent="0.2"/>
    <row r="150" ht="16.5" customHeight="1" x14ac:dyDescent="0.2"/>
    <row r="151" ht="16.5" customHeight="1" x14ac:dyDescent="0.2"/>
    <row r="152" ht="16.5" customHeight="1" x14ac:dyDescent="0.2"/>
    <row r="153" ht="16.5" customHeight="1" x14ac:dyDescent="0.2"/>
    <row r="154" ht="16.5" customHeight="1" x14ac:dyDescent="0.2"/>
    <row r="155" ht="16.5" customHeight="1" x14ac:dyDescent="0.2"/>
    <row r="156" ht="16.5" customHeight="1" x14ac:dyDescent="0.2"/>
    <row r="157" ht="16.5" customHeight="1" x14ac:dyDescent="0.2"/>
    <row r="158" ht="16.5" customHeight="1" x14ac:dyDescent="0.2"/>
    <row r="159" ht="16.5" customHeight="1" x14ac:dyDescent="0.2"/>
    <row r="160" ht="16.5" customHeight="1" x14ac:dyDescent="0.2"/>
    <row r="161" ht="16.5" customHeight="1" x14ac:dyDescent="0.2"/>
    <row r="162" ht="16.5" customHeight="1" x14ac:dyDescent="0.2"/>
    <row r="163" ht="16.5" customHeight="1" x14ac:dyDescent="0.2"/>
    <row r="164" ht="16.5" customHeight="1" x14ac:dyDescent="0.2"/>
    <row r="165" ht="16.5" customHeight="1" x14ac:dyDescent="0.2"/>
    <row r="166" ht="16.5" customHeight="1" x14ac:dyDescent="0.2"/>
    <row r="167" ht="16.5" customHeight="1" x14ac:dyDescent="0.2"/>
    <row r="168" ht="16.5" customHeight="1" x14ac:dyDescent="0.2"/>
    <row r="169" ht="16.5" customHeight="1" x14ac:dyDescent="0.2"/>
    <row r="170" ht="16.5" customHeight="1" x14ac:dyDescent="0.2"/>
    <row r="171" ht="16.5" customHeight="1" x14ac:dyDescent="0.2"/>
    <row r="172" ht="16.5" customHeight="1" x14ac:dyDescent="0.2"/>
    <row r="173" ht="16.5" customHeight="1" x14ac:dyDescent="0.2"/>
    <row r="174" ht="16.5" customHeight="1" x14ac:dyDescent="0.2"/>
    <row r="175" ht="16.5" customHeight="1" x14ac:dyDescent="0.2"/>
    <row r="176" ht="16.5" customHeight="1" x14ac:dyDescent="0.2"/>
    <row r="177" ht="16.5" customHeight="1" x14ac:dyDescent="0.2"/>
    <row r="178" ht="16.5" customHeight="1" x14ac:dyDescent="0.2"/>
    <row r="179" ht="16.5" customHeight="1" x14ac:dyDescent="0.2"/>
    <row r="180" ht="16.5" customHeight="1" x14ac:dyDescent="0.2"/>
    <row r="181" ht="16.5" customHeight="1" x14ac:dyDescent="0.2"/>
    <row r="182" ht="16.5" customHeight="1" x14ac:dyDescent="0.2"/>
    <row r="183" ht="16.5" customHeight="1" x14ac:dyDescent="0.2"/>
    <row r="184" ht="16.5" customHeight="1" x14ac:dyDescent="0.2"/>
    <row r="185" ht="16.5" customHeight="1" x14ac:dyDescent="0.2"/>
    <row r="186" ht="16.5" customHeight="1" x14ac:dyDescent="0.2"/>
    <row r="187" ht="16.5" customHeight="1" x14ac:dyDescent="0.2"/>
    <row r="188" ht="16.5" customHeight="1" x14ac:dyDescent="0.2"/>
    <row r="189" ht="16.5" customHeight="1" x14ac:dyDescent="0.2"/>
    <row r="190" ht="16.5" customHeight="1" x14ac:dyDescent="0.2"/>
    <row r="191" ht="16.5" customHeight="1" x14ac:dyDescent="0.2"/>
    <row r="192" ht="16.5" customHeight="1" x14ac:dyDescent="0.2"/>
    <row r="193" ht="16.5" customHeight="1" x14ac:dyDescent="0.2"/>
    <row r="194" ht="16.5" customHeight="1" x14ac:dyDescent="0.2"/>
    <row r="195" ht="16.5" customHeight="1" x14ac:dyDescent="0.2"/>
    <row r="196" ht="16.5" customHeight="1" x14ac:dyDescent="0.2"/>
    <row r="197" ht="16.5" customHeight="1" x14ac:dyDescent="0.2"/>
    <row r="198" ht="16.5" customHeight="1" x14ac:dyDescent="0.2"/>
    <row r="199" ht="16.5" customHeight="1" x14ac:dyDescent="0.2"/>
    <row r="200" ht="16.5" customHeight="1" x14ac:dyDescent="0.2"/>
    <row r="201" ht="16.5" customHeight="1" x14ac:dyDescent="0.2"/>
    <row r="202" ht="16.5" customHeight="1" x14ac:dyDescent="0.2"/>
    <row r="203" ht="16.5" customHeight="1" x14ac:dyDescent="0.2"/>
    <row r="204" ht="16.5" customHeight="1" x14ac:dyDescent="0.2"/>
    <row r="205" ht="16.5" customHeight="1" x14ac:dyDescent="0.2"/>
    <row r="206" ht="16.5" customHeight="1" x14ac:dyDescent="0.2"/>
    <row r="207" ht="16.5" customHeight="1" x14ac:dyDescent="0.2"/>
    <row r="208" ht="16.5" customHeight="1" x14ac:dyDescent="0.2"/>
    <row r="209" ht="16.5" customHeight="1" x14ac:dyDescent="0.2"/>
    <row r="210" ht="16.5" customHeight="1" x14ac:dyDescent="0.2"/>
    <row r="211" ht="16.5" customHeight="1" x14ac:dyDescent="0.2"/>
    <row r="212" ht="16.5" customHeight="1" x14ac:dyDescent="0.2"/>
    <row r="213" ht="16.5" customHeight="1" x14ac:dyDescent="0.2"/>
    <row r="214" ht="16.5" customHeight="1" x14ac:dyDescent="0.2"/>
    <row r="215" ht="16.5" customHeight="1" x14ac:dyDescent="0.2"/>
    <row r="216" ht="16.5" customHeight="1" x14ac:dyDescent="0.2"/>
    <row r="217" ht="16.5" customHeight="1" x14ac:dyDescent="0.2"/>
    <row r="218" ht="16.5" customHeight="1" x14ac:dyDescent="0.2"/>
    <row r="219" ht="16.5" customHeight="1" x14ac:dyDescent="0.2"/>
    <row r="220" ht="16.5" customHeight="1" x14ac:dyDescent="0.2"/>
    <row r="221" ht="16.5" customHeight="1" x14ac:dyDescent="0.2"/>
    <row r="222" ht="16.5" customHeight="1" x14ac:dyDescent="0.2"/>
    <row r="223" ht="16.5" customHeight="1" x14ac:dyDescent="0.2"/>
    <row r="224" ht="16.5" customHeight="1" x14ac:dyDescent="0.2"/>
    <row r="225" ht="16.5" customHeight="1" x14ac:dyDescent="0.2"/>
    <row r="226" ht="16.5" customHeight="1" x14ac:dyDescent="0.2"/>
    <row r="227" ht="16.5" customHeight="1" x14ac:dyDescent="0.2"/>
    <row r="228" ht="16.5" customHeight="1" x14ac:dyDescent="0.2"/>
    <row r="229" ht="16.5" customHeight="1" x14ac:dyDescent="0.2"/>
    <row r="230" ht="16.5" customHeight="1" x14ac:dyDescent="0.2"/>
    <row r="231" ht="16.5" customHeight="1" x14ac:dyDescent="0.2"/>
    <row r="232" ht="16.5" customHeight="1" x14ac:dyDescent="0.2"/>
    <row r="233" ht="16.5" customHeight="1" x14ac:dyDescent="0.2"/>
    <row r="234" ht="16.5" customHeight="1" x14ac:dyDescent="0.2"/>
    <row r="235" ht="16.5" customHeight="1" x14ac:dyDescent="0.2"/>
    <row r="236" ht="16.5" customHeight="1" x14ac:dyDescent="0.2"/>
    <row r="237" ht="16.5" customHeight="1" x14ac:dyDescent="0.2"/>
    <row r="238" ht="16.5" customHeight="1" x14ac:dyDescent="0.2"/>
    <row r="239" ht="16.5" customHeight="1" x14ac:dyDescent="0.2"/>
    <row r="240" ht="16.5" customHeight="1" x14ac:dyDescent="0.2"/>
    <row r="241" ht="16.5" customHeight="1" x14ac:dyDescent="0.2"/>
    <row r="242" ht="16.5" customHeight="1" x14ac:dyDescent="0.2"/>
    <row r="243" ht="16.5" customHeight="1" x14ac:dyDescent="0.2"/>
    <row r="244" ht="16.5" customHeight="1" x14ac:dyDescent="0.2"/>
    <row r="245" ht="16.5" customHeight="1" x14ac:dyDescent="0.2"/>
    <row r="246" ht="16.5" customHeight="1" x14ac:dyDescent="0.2"/>
    <row r="247" ht="16.5" customHeight="1" x14ac:dyDescent="0.2"/>
    <row r="248" ht="16.5" customHeight="1" x14ac:dyDescent="0.2"/>
    <row r="249" ht="16.5" customHeight="1" x14ac:dyDescent="0.2"/>
    <row r="250" ht="16.5" customHeight="1" x14ac:dyDescent="0.2"/>
    <row r="251" ht="16.5" customHeight="1" x14ac:dyDescent="0.2"/>
    <row r="252" ht="16.5" customHeight="1" x14ac:dyDescent="0.2"/>
    <row r="253" ht="16.5" customHeight="1" x14ac:dyDescent="0.2"/>
    <row r="254" ht="16.5" customHeight="1" x14ac:dyDescent="0.2"/>
    <row r="255" ht="16.5" customHeight="1" x14ac:dyDescent="0.2"/>
    <row r="256" ht="16.5" customHeight="1" x14ac:dyDescent="0.2"/>
    <row r="257" ht="16.5" customHeight="1" x14ac:dyDescent="0.2"/>
    <row r="258" ht="16.5" customHeight="1" x14ac:dyDescent="0.2"/>
    <row r="259" ht="16.5" customHeight="1" x14ac:dyDescent="0.2"/>
    <row r="260" ht="16.5" customHeight="1" x14ac:dyDescent="0.2"/>
    <row r="261" ht="16.5" customHeight="1" x14ac:dyDescent="0.2"/>
    <row r="262" ht="16.5" customHeight="1" x14ac:dyDescent="0.2"/>
    <row r="263" ht="16.5" customHeight="1" x14ac:dyDescent="0.2"/>
    <row r="264" ht="16.5" customHeight="1" x14ac:dyDescent="0.2"/>
    <row r="265" ht="16.5" customHeight="1" x14ac:dyDescent="0.2"/>
    <row r="266" ht="16.5" customHeight="1" x14ac:dyDescent="0.2"/>
    <row r="267" ht="16.5" customHeight="1" x14ac:dyDescent="0.2"/>
    <row r="268" ht="16.5" customHeight="1" x14ac:dyDescent="0.2"/>
    <row r="269" ht="16.5" customHeight="1" x14ac:dyDescent="0.2"/>
    <row r="270" ht="16.5" customHeight="1" x14ac:dyDescent="0.2"/>
    <row r="271" ht="16.5" customHeight="1" x14ac:dyDescent="0.2"/>
    <row r="272" ht="16.5" customHeight="1" x14ac:dyDescent="0.2"/>
    <row r="273" ht="16.5" customHeight="1" x14ac:dyDescent="0.2"/>
    <row r="274" ht="16.5" customHeight="1" x14ac:dyDescent="0.2"/>
    <row r="275" ht="16.5" customHeight="1" x14ac:dyDescent="0.2"/>
    <row r="276" ht="16.5" customHeight="1" x14ac:dyDescent="0.2"/>
    <row r="277" ht="16.5" customHeight="1" x14ac:dyDescent="0.2"/>
    <row r="278" ht="16.5" customHeight="1" x14ac:dyDescent="0.2"/>
    <row r="279" ht="16.5" customHeight="1" x14ac:dyDescent="0.2"/>
    <row r="280" ht="16.5" customHeight="1" x14ac:dyDescent="0.2"/>
    <row r="281" ht="16.5" customHeight="1" x14ac:dyDescent="0.2"/>
    <row r="282" ht="16.5" customHeight="1" x14ac:dyDescent="0.2"/>
    <row r="283" ht="16.5" customHeight="1" x14ac:dyDescent="0.2"/>
    <row r="284" ht="16.5" customHeight="1" x14ac:dyDescent="0.2"/>
    <row r="285" ht="16.5" customHeight="1" x14ac:dyDescent="0.2"/>
    <row r="286" ht="16.5" customHeight="1" x14ac:dyDescent="0.2"/>
    <row r="287" ht="16.5" customHeight="1" x14ac:dyDescent="0.2"/>
    <row r="288" ht="16.5" customHeight="1" x14ac:dyDescent="0.2"/>
    <row r="289" ht="16.5" customHeight="1" x14ac:dyDescent="0.2"/>
    <row r="290" ht="16.5" customHeight="1" x14ac:dyDescent="0.2"/>
    <row r="291" ht="16.5" customHeight="1" x14ac:dyDescent="0.2"/>
    <row r="292" ht="16.5" customHeight="1" x14ac:dyDescent="0.2"/>
    <row r="293" ht="16.5" customHeight="1" x14ac:dyDescent="0.2"/>
    <row r="294" ht="16.5" customHeight="1" x14ac:dyDescent="0.2"/>
    <row r="295" ht="16.5" customHeight="1" x14ac:dyDescent="0.2"/>
    <row r="296" ht="16.5" customHeight="1" x14ac:dyDescent="0.2"/>
    <row r="297" ht="16.5" customHeight="1" x14ac:dyDescent="0.2"/>
    <row r="298" ht="16.5" customHeight="1" x14ac:dyDescent="0.2"/>
    <row r="299" ht="16.5" customHeight="1" x14ac:dyDescent="0.2"/>
    <row r="300" ht="16.5" customHeight="1" x14ac:dyDescent="0.2"/>
    <row r="301" ht="16.5" customHeight="1" x14ac:dyDescent="0.2"/>
    <row r="302" ht="16.5" customHeight="1" x14ac:dyDescent="0.2"/>
    <row r="303" ht="16.5" customHeight="1" x14ac:dyDescent="0.2"/>
    <row r="304" ht="16.5" customHeight="1" x14ac:dyDescent="0.2"/>
    <row r="305" ht="16.5" customHeight="1" x14ac:dyDescent="0.2"/>
    <row r="306" ht="16.5" customHeight="1" x14ac:dyDescent="0.2"/>
    <row r="307" ht="16.5" customHeight="1" x14ac:dyDescent="0.2"/>
    <row r="308" ht="16.5" customHeight="1" x14ac:dyDescent="0.2"/>
    <row r="309" ht="16.5" customHeight="1" x14ac:dyDescent="0.2"/>
    <row r="310" ht="16.5" customHeight="1" x14ac:dyDescent="0.2"/>
    <row r="311" ht="16.5" customHeight="1" x14ac:dyDescent="0.2"/>
    <row r="312" ht="16.5" customHeight="1" x14ac:dyDescent="0.2"/>
    <row r="313" ht="16.5" customHeight="1" x14ac:dyDescent="0.2"/>
    <row r="314" ht="16.5" customHeight="1" x14ac:dyDescent="0.2"/>
    <row r="315" ht="16.5" customHeight="1" x14ac:dyDescent="0.2"/>
    <row r="316" ht="16.5" customHeight="1" x14ac:dyDescent="0.2"/>
    <row r="317" ht="16.5" customHeight="1" x14ac:dyDescent="0.2"/>
    <row r="318" ht="16.5" customHeight="1" x14ac:dyDescent="0.2"/>
    <row r="319" ht="16.5" customHeight="1" x14ac:dyDescent="0.2"/>
    <row r="320" ht="16.5" customHeight="1" x14ac:dyDescent="0.2"/>
    <row r="321" ht="16.5" customHeight="1" x14ac:dyDescent="0.2"/>
    <row r="322" ht="16.5" customHeight="1" x14ac:dyDescent="0.2"/>
    <row r="323" ht="16.5" customHeight="1" x14ac:dyDescent="0.2"/>
    <row r="324" ht="16.5" customHeight="1" x14ac:dyDescent="0.2"/>
    <row r="325" ht="16.5" customHeight="1" x14ac:dyDescent="0.2"/>
    <row r="326" ht="16.5" customHeight="1" x14ac:dyDescent="0.2"/>
    <row r="327" ht="16.5" customHeight="1" x14ac:dyDescent="0.2"/>
    <row r="328" ht="16.5" customHeight="1" x14ac:dyDescent="0.2"/>
    <row r="329" ht="16.5" customHeight="1" x14ac:dyDescent="0.2"/>
    <row r="330" ht="16.5" customHeight="1" x14ac:dyDescent="0.2"/>
    <row r="331" ht="16.5" customHeight="1" x14ac:dyDescent="0.2"/>
    <row r="332" ht="16.5" customHeight="1" x14ac:dyDescent="0.2"/>
    <row r="333" ht="16.5" customHeight="1" x14ac:dyDescent="0.2"/>
    <row r="334" ht="16.5" customHeight="1" x14ac:dyDescent="0.2"/>
    <row r="335" ht="16.5" customHeight="1" x14ac:dyDescent="0.2"/>
    <row r="336" ht="16.5" customHeight="1" x14ac:dyDescent="0.2"/>
    <row r="337" ht="16.5" customHeight="1" x14ac:dyDescent="0.2"/>
    <row r="338" ht="16.5" customHeight="1" x14ac:dyDescent="0.2"/>
    <row r="339" ht="16.5" customHeight="1" x14ac:dyDescent="0.2"/>
    <row r="340" ht="16.5" customHeight="1" x14ac:dyDescent="0.2"/>
    <row r="341" ht="16.5" customHeight="1" x14ac:dyDescent="0.2"/>
    <row r="342" ht="16.5" customHeight="1" x14ac:dyDescent="0.2"/>
    <row r="343" ht="16.5" customHeight="1" x14ac:dyDescent="0.2"/>
    <row r="344" ht="16.5" customHeight="1" x14ac:dyDescent="0.2"/>
    <row r="345" ht="16.5" customHeight="1" x14ac:dyDescent="0.2"/>
    <row r="346" ht="16.5" customHeight="1" x14ac:dyDescent="0.2"/>
    <row r="347" ht="16.5" customHeight="1" x14ac:dyDescent="0.2"/>
    <row r="348" ht="16.5" customHeight="1" x14ac:dyDescent="0.2"/>
    <row r="349" ht="16.5" customHeight="1" x14ac:dyDescent="0.2"/>
    <row r="350" ht="16.5" customHeight="1" x14ac:dyDescent="0.2"/>
    <row r="351" ht="16.5" customHeight="1" x14ac:dyDescent="0.2"/>
    <row r="352" ht="16.5" customHeight="1" x14ac:dyDescent="0.2"/>
    <row r="353" ht="16.5" customHeight="1" x14ac:dyDescent="0.2"/>
    <row r="354" ht="16.5" customHeight="1" x14ac:dyDescent="0.2"/>
    <row r="355" ht="16.5" customHeight="1" x14ac:dyDescent="0.2"/>
    <row r="356" ht="16.5" customHeight="1" x14ac:dyDescent="0.2"/>
    <row r="357" ht="16.5" customHeight="1" x14ac:dyDescent="0.2"/>
    <row r="358" ht="16.5" customHeight="1" x14ac:dyDescent="0.2"/>
    <row r="359" ht="16.5" customHeight="1" x14ac:dyDescent="0.2"/>
    <row r="360" ht="16.5" customHeight="1" x14ac:dyDescent="0.2"/>
    <row r="361" ht="16.5" customHeight="1" x14ac:dyDescent="0.2"/>
    <row r="362" ht="16.5" customHeight="1" x14ac:dyDescent="0.2"/>
    <row r="363" ht="16.5" customHeight="1" x14ac:dyDescent="0.2"/>
    <row r="364" ht="16.5" customHeight="1" x14ac:dyDescent="0.2"/>
    <row r="365" ht="16.5" customHeight="1" x14ac:dyDescent="0.2"/>
    <row r="366" ht="16.5" customHeight="1" x14ac:dyDescent="0.2"/>
    <row r="367" ht="16.5" customHeight="1" x14ac:dyDescent="0.2"/>
    <row r="368" ht="16.5" customHeight="1" x14ac:dyDescent="0.2"/>
    <row r="369" ht="16.5" customHeight="1" x14ac:dyDescent="0.2"/>
    <row r="370" ht="16.5" customHeight="1" x14ac:dyDescent="0.2"/>
    <row r="371" ht="16.5" customHeight="1" x14ac:dyDescent="0.2"/>
    <row r="372" ht="16.5" customHeight="1" x14ac:dyDescent="0.2"/>
    <row r="373" ht="16.5" customHeight="1" x14ac:dyDescent="0.2"/>
    <row r="374" ht="16.5" customHeight="1" x14ac:dyDescent="0.2"/>
    <row r="375" ht="16.5" customHeight="1" x14ac:dyDescent="0.2"/>
    <row r="376" ht="16.5" customHeight="1" x14ac:dyDescent="0.2"/>
    <row r="377" ht="16.5" customHeight="1" x14ac:dyDescent="0.2"/>
    <row r="378" ht="16.5" customHeight="1" x14ac:dyDescent="0.2"/>
    <row r="379" ht="16.5" customHeight="1" x14ac:dyDescent="0.2"/>
    <row r="380" ht="16.5" customHeight="1" x14ac:dyDescent="0.2"/>
    <row r="381" ht="16.5" customHeight="1" x14ac:dyDescent="0.2"/>
    <row r="382" ht="16.5" customHeight="1" x14ac:dyDescent="0.2"/>
    <row r="383" ht="16.5" customHeight="1" x14ac:dyDescent="0.2"/>
    <row r="384" ht="16.5" customHeight="1" x14ac:dyDescent="0.2"/>
    <row r="385" ht="16.5" customHeight="1" x14ac:dyDescent="0.2"/>
    <row r="386" ht="16.5" customHeight="1" x14ac:dyDescent="0.2"/>
    <row r="387" ht="16.5" customHeight="1" x14ac:dyDescent="0.2"/>
    <row r="388" ht="16.5" customHeight="1" x14ac:dyDescent="0.2"/>
    <row r="389" ht="16.5" customHeight="1" x14ac:dyDescent="0.2"/>
    <row r="390" ht="16.5" customHeight="1" x14ac:dyDescent="0.2"/>
    <row r="391" ht="16.5" customHeight="1" x14ac:dyDescent="0.2"/>
    <row r="392" ht="16.5" customHeight="1" x14ac:dyDescent="0.2"/>
    <row r="393" ht="16.5" customHeight="1" x14ac:dyDescent="0.2"/>
    <row r="394" ht="16.5" customHeight="1" x14ac:dyDescent="0.2"/>
    <row r="395" ht="16.5" customHeight="1" x14ac:dyDescent="0.2"/>
    <row r="396" ht="16.5" customHeight="1" x14ac:dyDescent="0.2"/>
    <row r="397" ht="16.5" customHeight="1" x14ac:dyDescent="0.2"/>
    <row r="398" ht="16.5" customHeight="1" x14ac:dyDescent="0.2"/>
    <row r="399" ht="16.5" customHeight="1" x14ac:dyDescent="0.2"/>
    <row r="400" ht="16.5" customHeight="1" x14ac:dyDescent="0.2"/>
    <row r="401" ht="16.5" customHeight="1" x14ac:dyDescent="0.2"/>
    <row r="402" ht="16.5" customHeight="1" x14ac:dyDescent="0.2"/>
    <row r="403" ht="16.5" customHeight="1" x14ac:dyDescent="0.2"/>
    <row r="404" ht="16.5" customHeight="1" x14ac:dyDescent="0.2"/>
    <row r="405" ht="16.5" customHeight="1" x14ac:dyDescent="0.2"/>
    <row r="406" ht="16.5" customHeight="1" x14ac:dyDescent="0.2"/>
    <row r="407" ht="16.5" customHeight="1" x14ac:dyDescent="0.2"/>
    <row r="408" ht="16.5" customHeight="1" x14ac:dyDescent="0.2"/>
    <row r="409" ht="16.5" customHeight="1" x14ac:dyDescent="0.2"/>
    <row r="410" ht="16.5" customHeight="1" x14ac:dyDescent="0.2"/>
    <row r="411" ht="16.5" customHeight="1" x14ac:dyDescent="0.2"/>
    <row r="412" ht="16.5" customHeight="1" x14ac:dyDescent="0.2"/>
    <row r="413" ht="16.5" customHeight="1" x14ac:dyDescent="0.2"/>
    <row r="414" ht="16.5" customHeight="1" x14ac:dyDescent="0.2"/>
    <row r="415" ht="16.5" customHeight="1" x14ac:dyDescent="0.2"/>
    <row r="416" ht="16.5" customHeight="1" x14ac:dyDescent="0.2"/>
    <row r="417" ht="16.5" customHeight="1" x14ac:dyDescent="0.2"/>
    <row r="418" ht="16.5" customHeight="1" x14ac:dyDescent="0.2"/>
    <row r="419" ht="16.5" customHeight="1" x14ac:dyDescent="0.2"/>
    <row r="420" ht="16.5" customHeight="1" x14ac:dyDescent="0.2"/>
    <row r="421" ht="16.5" customHeight="1" x14ac:dyDescent="0.2"/>
    <row r="422" ht="16.5" customHeight="1" x14ac:dyDescent="0.2"/>
    <row r="423" ht="16.5" customHeight="1" x14ac:dyDescent="0.2"/>
    <row r="424" ht="16.5" customHeight="1" x14ac:dyDescent="0.2"/>
    <row r="425" ht="16.5" customHeight="1" x14ac:dyDescent="0.2"/>
    <row r="426" ht="16.5" customHeight="1" x14ac:dyDescent="0.2"/>
    <row r="427" ht="16.5" customHeight="1" x14ac:dyDescent="0.2"/>
    <row r="428" ht="16.5" customHeight="1" x14ac:dyDescent="0.2"/>
    <row r="429" ht="16.5" customHeight="1" x14ac:dyDescent="0.2"/>
    <row r="430" ht="16.5" customHeight="1" x14ac:dyDescent="0.2"/>
    <row r="431" ht="16.5" customHeight="1" x14ac:dyDescent="0.2"/>
    <row r="432" ht="16.5" customHeight="1" x14ac:dyDescent="0.2"/>
    <row r="433" ht="16.5" customHeight="1" x14ac:dyDescent="0.2"/>
    <row r="434" ht="16.5" customHeight="1" x14ac:dyDescent="0.2"/>
    <row r="435" ht="16.5" customHeight="1" x14ac:dyDescent="0.2"/>
    <row r="436" ht="16.5" customHeight="1" x14ac:dyDescent="0.2"/>
    <row r="437" ht="16.5" customHeight="1" x14ac:dyDescent="0.2"/>
    <row r="438" ht="16.5" customHeight="1" x14ac:dyDescent="0.2"/>
    <row r="439" ht="16.5" customHeight="1" x14ac:dyDescent="0.2"/>
    <row r="440" ht="16.5" customHeight="1" x14ac:dyDescent="0.2"/>
    <row r="441" ht="16.5" customHeight="1" x14ac:dyDescent="0.2"/>
    <row r="442" ht="16.5" customHeight="1" x14ac:dyDescent="0.2"/>
    <row r="443" ht="16.5" customHeight="1" x14ac:dyDescent="0.2"/>
    <row r="444" ht="16.5" customHeight="1" x14ac:dyDescent="0.2"/>
    <row r="445" ht="16.5" customHeight="1" x14ac:dyDescent="0.2"/>
    <row r="446" ht="16.5" customHeight="1" x14ac:dyDescent="0.2"/>
    <row r="447" ht="16.5" customHeight="1" x14ac:dyDescent="0.2"/>
    <row r="448" ht="16.5" customHeight="1" x14ac:dyDescent="0.2"/>
    <row r="449" ht="16.5" customHeight="1" x14ac:dyDescent="0.2"/>
    <row r="450" ht="16.5" customHeight="1" x14ac:dyDescent="0.2"/>
    <row r="451" ht="16.5" customHeight="1" x14ac:dyDescent="0.2"/>
    <row r="452" ht="16.5" customHeight="1" x14ac:dyDescent="0.2"/>
    <row r="453" ht="16.5" customHeight="1" x14ac:dyDescent="0.2"/>
    <row r="454" ht="16.5" customHeight="1" x14ac:dyDescent="0.2"/>
    <row r="455" ht="16.5" customHeight="1" x14ac:dyDescent="0.2"/>
    <row r="456" ht="16.5" customHeight="1" x14ac:dyDescent="0.2"/>
    <row r="457" ht="16.5" customHeight="1" x14ac:dyDescent="0.2"/>
    <row r="458" ht="16.5" customHeight="1" x14ac:dyDescent="0.2"/>
    <row r="459" ht="16.5" customHeight="1" x14ac:dyDescent="0.2"/>
    <row r="460" ht="16.5" customHeight="1" x14ac:dyDescent="0.2"/>
    <row r="461" ht="16.5" customHeight="1" x14ac:dyDescent="0.2"/>
    <row r="462" ht="16.5" customHeight="1" x14ac:dyDescent="0.2"/>
    <row r="463" ht="16.5" customHeight="1" x14ac:dyDescent="0.2"/>
    <row r="464" ht="16.5" customHeight="1" x14ac:dyDescent="0.2"/>
    <row r="465" ht="16.5" customHeight="1" x14ac:dyDescent="0.2"/>
    <row r="466" ht="16.5" customHeight="1" x14ac:dyDescent="0.2"/>
    <row r="467" ht="16.5" customHeight="1" x14ac:dyDescent="0.2"/>
    <row r="468" ht="16.5" customHeight="1" x14ac:dyDescent="0.2"/>
    <row r="469" ht="16.5" customHeight="1" x14ac:dyDescent="0.2"/>
    <row r="470" ht="16.5" customHeight="1" x14ac:dyDescent="0.2"/>
    <row r="471" ht="16.5" customHeight="1" x14ac:dyDescent="0.2"/>
    <row r="472" ht="16.5" customHeight="1" x14ac:dyDescent="0.2"/>
    <row r="473" ht="16.5" customHeight="1" x14ac:dyDescent="0.2"/>
    <row r="474" ht="16.5" customHeight="1" x14ac:dyDescent="0.2"/>
    <row r="475" ht="16.5" customHeight="1" x14ac:dyDescent="0.2"/>
    <row r="476" ht="16.5" customHeight="1" x14ac:dyDescent="0.2"/>
    <row r="477" ht="16.5" customHeight="1" x14ac:dyDescent="0.2"/>
    <row r="478" ht="16.5" customHeight="1" x14ac:dyDescent="0.2"/>
    <row r="479" ht="16.5" customHeight="1" x14ac:dyDescent="0.2"/>
    <row r="480" ht="16.5" customHeight="1" x14ac:dyDescent="0.2"/>
    <row r="481" ht="16.5" customHeight="1" x14ac:dyDescent="0.2"/>
    <row r="482" ht="16.5" customHeight="1" x14ac:dyDescent="0.2"/>
    <row r="483" ht="16.5" customHeight="1" x14ac:dyDescent="0.2"/>
    <row r="484" ht="16.5" customHeight="1" x14ac:dyDescent="0.2"/>
    <row r="485" ht="16.5" customHeight="1" x14ac:dyDescent="0.2"/>
    <row r="486" ht="16.5" customHeight="1" x14ac:dyDescent="0.2"/>
    <row r="487" ht="16.5" customHeight="1" x14ac:dyDescent="0.2"/>
    <row r="488" ht="16.5" customHeight="1" x14ac:dyDescent="0.2"/>
    <row r="489" ht="16.5" customHeight="1" x14ac:dyDescent="0.2"/>
    <row r="490" ht="16.5" customHeight="1" x14ac:dyDescent="0.2"/>
    <row r="491" ht="16.5" customHeight="1" x14ac:dyDescent="0.2"/>
    <row r="492" ht="16.5" customHeight="1" x14ac:dyDescent="0.2"/>
    <row r="493" ht="16.5" customHeight="1" x14ac:dyDescent="0.2"/>
    <row r="494" ht="16.5" customHeight="1" x14ac:dyDescent="0.2"/>
    <row r="495" ht="16.5" customHeight="1" x14ac:dyDescent="0.2"/>
    <row r="496" ht="16.5" customHeight="1" x14ac:dyDescent="0.2"/>
    <row r="497" ht="16.5" customHeight="1" x14ac:dyDescent="0.2"/>
    <row r="498" ht="16.5" customHeight="1" x14ac:dyDescent="0.2"/>
    <row r="499" ht="16.5" customHeight="1" x14ac:dyDescent="0.2"/>
    <row r="500" ht="16.5" customHeight="1" x14ac:dyDescent="0.2"/>
    <row r="501" ht="16.5" customHeight="1" x14ac:dyDescent="0.2"/>
    <row r="502" ht="16.5" customHeight="1" x14ac:dyDescent="0.2"/>
    <row r="503" ht="16.5" customHeight="1" x14ac:dyDescent="0.2"/>
    <row r="504" ht="16.5" customHeight="1" x14ac:dyDescent="0.2"/>
    <row r="505" ht="16.5" customHeight="1" x14ac:dyDescent="0.2"/>
    <row r="506" ht="16.5" customHeight="1" x14ac:dyDescent="0.2"/>
    <row r="507" ht="16.5" customHeight="1" x14ac:dyDescent="0.2"/>
    <row r="508" ht="16.5" customHeight="1" x14ac:dyDescent="0.2"/>
    <row r="509" ht="16.5" customHeight="1" x14ac:dyDescent="0.2"/>
    <row r="510" ht="16.5" customHeight="1" x14ac:dyDescent="0.2"/>
    <row r="511" ht="16.5" customHeight="1" x14ac:dyDescent="0.2"/>
    <row r="512" ht="16.5" customHeight="1" x14ac:dyDescent="0.2"/>
    <row r="513" ht="16.5" customHeight="1" x14ac:dyDescent="0.2"/>
    <row r="514" ht="16.5" customHeight="1" x14ac:dyDescent="0.2"/>
    <row r="515" ht="16.5" customHeight="1" x14ac:dyDescent="0.2"/>
    <row r="516" ht="16.5" customHeight="1" x14ac:dyDescent="0.2"/>
    <row r="517" ht="16.5" customHeight="1" x14ac:dyDescent="0.2"/>
    <row r="518" ht="16.5" customHeight="1" x14ac:dyDescent="0.2"/>
    <row r="519" ht="16.5" customHeight="1" x14ac:dyDescent="0.2"/>
    <row r="520" ht="16.5" customHeight="1" x14ac:dyDescent="0.2"/>
    <row r="521" ht="16.5" customHeight="1" x14ac:dyDescent="0.2"/>
    <row r="522" ht="16.5" customHeight="1" x14ac:dyDescent="0.2"/>
    <row r="523" ht="16.5" customHeight="1" x14ac:dyDescent="0.2"/>
    <row r="524" ht="16.5" customHeight="1" x14ac:dyDescent="0.2"/>
    <row r="525" ht="16.5" customHeight="1" x14ac:dyDescent="0.2"/>
    <row r="526" ht="16.5" customHeight="1" x14ac:dyDescent="0.2"/>
    <row r="527" ht="16.5" customHeight="1" x14ac:dyDescent="0.2"/>
    <row r="528" ht="16.5" customHeight="1" x14ac:dyDescent="0.2"/>
    <row r="529" ht="16.5" customHeight="1" x14ac:dyDescent="0.2"/>
    <row r="530" ht="16.5" customHeight="1" x14ac:dyDescent="0.2"/>
    <row r="531" ht="16.5" customHeight="1" x14ac:dyDescent="0.2"/>
    <row r="532" ht="16.5" customHeight="1" x14ac:dyDescent="0.2"/>
    <row r="533" ht="16.5" customHeight="1" x14ac:dyDescent="0.2"/>
    <row r="534" ht="16.5" customHeight="1" x14ac:dyDescent="0.2"/>
    <row r="535" ht="16.5" customHeight="1" x14ac:dyDescent="0.2"/>
    <row r="536" ht="16.5" customHeight="1" x14ac:dyDescent="0.2"/>
    <row r="537" ht="16.5" customHeight="1" x14ac:dyDescent="0.2"/>
    <row r="538" ht="16.5" customHeight="1" x14ac:dyDescent="0.2"/>
    <row r="539" ht="16.5" customHeight="1" x14ac:dyDescent="0.2"/>
    <row r="540" ht="16.5" customHeight="1" x14ac:dyDescent="0.2"/>
    <row r="541" ht="16.5" customHeight="1" x14ac:dyDescent="0.2"/>
    <row r="542" ht="16.5" customHeight="1" x14ac:dyDescent="0.2"/>
    <row r="543" ht="16.5" customHeight="1" x14ac:dyDescent="0.2"/>
    <row r="544" ht="16.5" customHeight="1" x14ac:dyDescent="0.2"/>
    <row r="545" ht="16.5" customHeight="1" x14ac:dyDescent="0.2"/>
    <row r="546" ht="16.5" customHeight="1" x14ac:dyDescent="0.2"/>
    <row r="547" ht="16.5" customHeight="1" x14ac:dyDescent="0.2"/>
    <row r="548" ht="16.5" customHeight="1" x14ac:dyDescent="0.2"/>
    <row r="549" ht="16.5" customHeight="1" x14ac:dyDescent="0.2"/>
    <row r="550" ht="16.5" customHeight="1" x14ac:dyDescent="0.2"/>
    <row r="551" ht="16.5" customHeight="1" x14ac:dyDescent="0.2"/>
    <row r="552" ht="16.5" customHeight="1" x14ac:dyDescent="0.2"/>
    <row r="553" ht="16.5" customHeight="1" x14ac:dyDescent="0.2"/>
    <row r="554" ht="16.5" customHeight="1" x14ac:dyDescent="0.2"/>
    <row r="555" ht="16.5" customHeight="1" x14ac:dyDescent="0.2"/>
    <row r="556" ht="16.5" customHeight="1" x14ac:dyDescent="0.2"/>
    <row r="557" ht="16.5" customHeight="1" x14ac:dyDescent="0.2"/>
    <row r="558" ht="16.5" customHeight="1" x14ac:dyDescent="0.2"/>
    <row r="559" ht="16.5" customHeight="1" x14ac:dyDescent="0.2"/>
    <row r="560" ht="16.5" customHeight="1" x14ac:dyDescent="0.2"/>
    <row r="561" ht="16.5" customHeight="1" x14ac:dyDescent="0.2"/>
    <row r="562" ht="16.5" customHeight="1" x14ac:dyDescent="0.2"/>
    <row r="563" ht="16.5" customHeight="1" x14ac:dyDescent="0.2"/>
    <row r="564" ht="16.5" customHeight="1" x14ac:dyDescent="0.2"/>
    <row r="565" ht="16.5" customHeight="1" x14ac:dyDescent="0.2"/>
    <row r="566" ht="16.5" customHeight="1" x14ac:dyDescent="0.2"/>
    <row r="567" ht="16.5" customHeight="1" x14ac:dyDescent="0.2"/>
    <row r="568" ht="16.5" customHeight="1" x14ac:dyDescent="0.2"/>
    <row r="569" ht="16.5" customHeight="1" x14ac:dyDescent="0.2"/>
    <row r="570" ht="16.5" customHeight="1" x14ac:dyDescent="0.2"/>
    <row r="571" ht="16.5" customHeight="1" x14ac:dyDescent="0.2"/>
    <row r="572" ht="16.5" customHeight="1" x14ac:dyDescent="0.2"/>
    <row r="573" ht="16.5" customHeight="1" x14ac:dyDescent="0.2"/>
    <row r="574" ht="16.5" customHeight="1" x14ac:dyDescent="0.2"/>
    <row r="575" ht="16.5" customHeight="1" x14ac:dyDescent="0.2"/>
    <row r="576" ht="16.5" customHeight="1" x14ac:dyDescent="0.2"/>
    <row r="577" ht="16.5" customHeight="1" x14ac:dyDescent="0.2"/>
    <row r="578" ht="16.5" customHeight="1" x14ac:dyDescent="0.2"/>
    <row r="579" ht="16.5" customHeight="1" x14ac:dyDescent="0.2"/>
    <row r="580" ht="16.5" customHeight="1" x14ac:dyDescent="0.2"/>
    <row r="581" ht="16.5" customHeight="1" x14ac:dyDescent="0.2"/>
    <row r="582" ht="16.5" customHeight="1" x14ac:dyDescent="0.2"/>
    <row r="583" ht="16.5" customHeight="1" x14ac:dyDescent="0.2"/>
    <row r="584" ht="16.5" customHeight="1" x14ac:dyDescent="0.2"/>
    <row r="585" ht="16.5" customHeight="1" x14ac:dyDescent="0.2"/>
    <row r="586" ht="16.5" customHeight="1" x14ac:dyDescent="0.2"/>
    <row r="587" ht="16.5" customHeight="1" x14ac:dyDescent="0.2"/>
    <row r="588" ht="16.5" customHeight="1" x14ac:dyDescent="0.2"/>
    <row r="589" ht="16.5" customHeight="1" x14ac:dyDescent="0.2"/>
    <row r="590" ht="16.5" customHeight="1" x14ac:dyDescent="0.2"/>
    <row r="591" ht="16.5" customHeight="1" x14ac:dyDescent="0.2"/>
    <row r="592" ht="16.5" customHeight="1" x14ac:dyDescent="0.2"/>
    <row r="593" ht="16.5" customHeight="1" x14ac:dyDescent="0.2"/>
    <row r="594" ht="16.5" customHeight="1" x14ac:dyDescent="0.2"/>
    <row r="595" ht="16.5" customHeight="1" x14ac:dyDescent="0.2"/>
    <row r="596" ht="16.5" customHeight="1" x14ac:dyDescent="0.2"/>
    <row r="597" ht="16.5" customHeight="1" x14ac:dyDescent="0.2"/>
    <row r="598" ht="16.5" customHeight="1" x14ac:dyDescent="0.2"/>
    <row r="599" ht="16.5" customHeight="1" x14ac:dyDescent="0.2"/>
    <row r="600" ht="16.5" customHeight="1" x14ac:dyDescent="0.2"/>
    <row r="601" ht="16.5" customHeight="1" x14ac:dyDescent="0.2"/>
    <row r="602" ht="16.5" customHeight="1" x14ac:dyDescent="0.2"/>
    <row r="603" ht="16.5" customHeight="1" x14ac:dyDescent="0.2"/>
    <row r="604" ht="16.5" customHeight="1" x14ac:dyDescent="0.2"/>
    <row r="605" ht="16.5" customHeight="1" x14ac:dyDescent="0.2"/>
    <row r="606" ht="16.5" customHeight="1" x14ac:dyDescent="0.2"/>
    <row r="607" ht="16.5" customHeight="1" x14ac:dyDescent="0.2"/>
    <row r="608" ht="16.5" customHeight="1" x14ac:dyDescent="0.2"/>
    <row r="609" ht="16.5" customHeight="1" x14ac:dyDescent="0.2"/>
    <row r="610" ht="16.5" customHeight="1" x14ac:dyDescent="0.2"/>
    <row r="611" ht="16.5" customHeight="1" x14ac:dyDescent="0.2"/>
    <row r="612" ht="16.5" customHeight="1" x14ac:dyDescent="0.2"/>
    <row r="613" ht="16.5" customHeight="1" x14ac:dyDescent="0.2"/>
    <row r="614" ht="16.5" customHeight="1" x14ac:dyDescent="0.2"/>
    <row r="615" ht="16.5" customHeight="1" x14ac:dyDescent="0.2"/>
    <row r="616" ht="16.5" customHeight="1" x14ac:dyDescent="0.2"/>
    <row r="617" ht="16.5" customHeight="1" x14ac:dyDescent="0.2"/>
    <row r="618" ht="16.5" customHeight="1" x14ac:dyDescent="0.2"/>
    <row r="619" ht="16.5" customHeight="1" x14ac:dyDescent="0.2"/>
    <row r="620" ht="16.5" customHeight="1" x14ac:dyDescent="0.2"/>
    <row r="621" ht="16.5" customHeight="1" x14ac:dyDescent="0.2"/>
    <row r="622" ht="16.5" customHeight="1" x14ac:dyDescent="0.2"/>
    <row r="623" ht="16.5" customHeight="1" x14ac:dyDescent="0.2"/>
    <row r="624" ht="16.5" customHeight="1" x14ac:dyDescent="0.2"/>
    <row r="625" ht="16.5" customHeight="1" x14ac:dyDescent="0.2"/>
    <row r="626" ht="16.5" customHeight="1" x14ac:dyDescent="0.2"/>
    <row r="627" ht="16.5" customHeight="1" x14ac:dyDescent="0.2"/>
    <row r="628" ht="16.5" customHeight="1" x14ac:dyDescent="0.2"/>
    <row r="629" ht="16.5" customHeight="1" x14ac:dyDescent="0.2"/>
    <row r="630" ht="16.5" customHeight="1" x14ac:dyDescent="0.2"/>
    <row r="631" ht="16.5" customHeight="1" x14ac:dyDescent="0.2"/>
    <row r="632" ht="16.5" customHeight="1" x14ac:dyDescent="0.2"/>
    <row r="633" ht="16.5" customHeight="1" x14ac:dyDescent="0.2"/>
    <row r="634" ht="16.5" customHeight="1" x14ac:dyDescent="0.2"/>
    <row r="635" ht="16.5" customHeight="1" x14ac:dyDescent="0.2"/>
    <row r="636" ht="16.5" customHeight="1" x14ac:dyDescent="0.2"/>
    <row r="637" ht="16.5" customHeight="1" x14ac:dyDescent="0.2"/>
    <row r="638" ht="16.5" customHeight="1" x14ac:dyDescent="0.2"/>
    <row r="639" ht="16.5" customHeight="1" x14ac:dyDescent="0.2"/>
    <row r="640" ht="16.5" customHeight="1" x14ac:dyDescent="0.2"/>
    <row r="641" ht="16.5" customHeight="1" x14ac:dyDescent="0.2"/>
    <row r="642" ht="16.5" customHeight="1" x14ac:dyDescent="0.2"/>
    <row r="643" ht="16.5" customHeight="1" x14ac:dyDescent="0.2"/>
    <row r="644" ht="16.5" customHeight="1" x14ac:dyDescent="0.2"/>
    <row r="645" ht="16.5" customHeight="1" x14ac:dyDescent="0.2"/>
    <row r="646" ht="16.5" customHeight="1" x14ac:dyDescent="0.2"/>
    <row r="647" ht="16.5" customHeight="1" x14ac:dyDescent="0.2"/>
    <row r="648" ht="16.5" customHeight="1" x14ac:dyDescent="0.2"/>
    <row r="649" ht="16.5" customHeight="1" x14ac:dyDescent="0.2"/>
    <row r="650" ht="16.5" customHeight="1" x14ac:dyDescent="0.2"/>
    <row r="651" ht="16.5" customHeight="1" x14ac:dyDescent="0.2"/>
    <row r="652" ht="16.5" customHeight="1" x14ac:dyDescent="0.2"/>
    <row r="653" ht="16.5" customHeight="1" x14ac:dyDescent="0.2"/>
    <row r="654" ht="16.5" customHeight="1" x14ac:dyDescent="0.2"/>
    <row r="655" ht="16.5" customHeight="1" x14ac:dyDescent="0.2"/>
    <row r="656" ht="16.5" customHeight="1" x14ac:dyDescent="0.2"/>
    <row r="657" ht="16.5" customHeight="1" x14ac:dyDescent="0.2"/>
    <row r="658" ht="16.5" customHeight="1" x14ac:dyDescent="0.2"/>
    <row r="659" ht="16.5" customHeight="1" x14ac:dyDescent="0.2"/>
    <row r="660" ht="16.5" customHeight="1" x14ac:dyDescent="0.2"/>
    <row r="661" ht="16.5" customHeight="1" x14ac:dyDescent="0.2"/>
    <row r="662" ht="16.5" customHeight="1" x14ac:dyDescent="0.2"/>
    <row r="663" ht="16.5" customHeight="1" x14ac:dyDescent="0.2"/>
    <row r="664" ht="16.5" customHeight="1" x14ac:dyDescent="0.2"/>
    <row r="665" ht="16.5" customHeight="1" x14ac:dyDescent="0.2"/>
    <row r="666" ht="16.5" customHeight="1" x14ac:dyDescent="0.2"/>
    <row r="667" ht="16.5" customHeight="1" x14ac:dyDescent="0.2"/>
    <row r="668" ht="16.5" customHeight="1" x14ac:dyDescent="0.2"/>
    <row r="669" ht="16.5" customHeight="1" x14ac:dyDescent="0.2"/>
    <row r="670" ht="16.5" customHeight="1" x14ac:dyDescent="0.2"/>
    <row r="671" ht="16.5" customHeight="1" x14ac:dyDescent="0.2"/>
    <row r="672" ht="16.5" customHeight="1" x14ac:dyDescent="0.2"/>
    <row r="673" ht="16.5" customHeight="1" x14ac:dyDescent="0.2"/>
    <row r="674" ht="16.5" customHeight="1" x14ac:dyDescent="0.2"/>
    <row r="675" ht="16.5" customHeight="1" x14ac:dyDescent="0.2"/>
    <row r="676" ht="16.5" customHeight="1" x14ac:dyDescent="0.2"/>
    <row r="677" ht="16.5" customHeight="1" x14ac:dyDescent="0.2"/>
    <row r="678" ht="16.5" customHeight="1" x14ac:dyDescent="0.2"/>
    <row r="679" ht="16.5" customHeight="1" x14ac:dyDescent="0.2"/>
    <row r="680" ht="16.5" customHeight="1" x14ac:dyDescent="0.2"/>
    <row r="681" ht="16.5" customHeight="1" x14ac:dyDescent="0.2"/>
    <row r="682" ht="16.5" customHeight="1" x14ac:dyDescent="0.2"/>
    <row r="683" ht="16.5" customHeight="1" x14ac:dyDescent="0.2"/>
    <row r="684" ht="16.5" customHeight="1" x14ac:dyDescent="0.2"/>
    <row r="685" ht="16.5" customHeight="1" x14ac:dyDescent="0.2"/>
    <row r="686" ht="16.5" customHeight="1" x14ac:dyDescent="0.2"/>
    <row r="687" ht="16.5" customHeight="1" x14ac:dyDescent="0.2"/>
    <row r="688" ht="16.5" customHeight="1" x14ac:dyDescent="0.2"/>
    <row r="689" ht="16.5" customHeight="1" x14ac:dyDescent="0.2"/>
    <row r="690" ht="16.5" customHeight="1" x14ac:dyDescent="0.2"/>
    <row r="691" ht="16.5" customHeight="1" x14ac:dyDescent="0.2"/>
    <row r="692" ht="16.5" customHeight="1" x14ac:dyDescent="0.2"/>
    <row r="693" ht="16.5" customHeight="1" x14ac:dyDescent="0.2"/>
    <row r="694" ht="16.5" customHeight="1" x14ac:dyDescent="0.2"/>
    <row r="695" ht="16.5" customHeight="1" x14ac:dyDescent="0.2"/>
    <row r="696" ht="16.5" customHeight="1" x14ac:dyDescent="0.2"/>
    <row r="697" ht="16.5" customHeight="1" x14ac:dyDescent="0.2"/>
    <row r="698" ht="16.5" customHeight="1" x14ac:dyDescent="0.2"/>
    <row r="699" ht="16.5" customHeight="1" x14ac:dyDescent="0.2"/>
    <row r="700" ht="16.5" customHeight="1" x14ac:dyDescent="0.2"/>
    <row r="701" ht="16.5" customHeight="1" x14ac:dyDescent="0.2"/>
    <row r="702" ht="16.5" customHeight="1" x14ac:dyDescent="0.2"/>
    <row r="703" ht="16.5" customHeight="1" x14ac:dyDescent="0.2"/>
    <row r="704" ht="16.5" customHeight="1" x14ac:dyDescent="0.2"/>
    <row r="705" ht="16.5" customHeight="1" x14ac:dyDescent="0.2"/>
    <row r="706" ht="16.5" customHeight="1" x14ac:dyDescent="0.2"/>
    <row r="707" ht="16.5" customHeight="1" x14ac:dyDescent="0.2"/>
    <row r="708" ht="16.5" customHeight="1" x14ac:dyDescent="0.2"/>
    <row r="709" ht="16.5" customHeight="1" x14ac:dyDescent="0.2"/>
    <row r="710" ht="16.5" customHeight="1" x14ac:dyDescent="0.2"/>
    <row r="711" ht="16.5" customHeight="1" x14ac:dyDescent="0.2"/>
    <row r="712" ht="16.5" customHeight="1" x14ac:dyDescent="0.2"/>
    <row r="713" ht="16.5" customHeight="1" x14ac:dyDescent="0.2"/>
    <row r="714" ht="16.5" customHeight="1" x14ac:dyDescent="0.2"/>
    <row r="715" ht="16.5" customHeight="1" x14ac:dyDescent="0.2"/>
    <row r="716" ht="16.5" customHeight="1" x14ac:dyDescent="0.2"/>
    <row r="717" ht="16.5" customHeight="1" x14ac:dyDescent="0.2"/>
    <row r="718" ht="16.5" customHeight="1" x14ac:dyDescent="0.2"/>
    <row r="719" ht="16.5" customHeight="1" x14ac:dyDescent="0.2"/>
    <row r="720" ht="16.5" customHeight="1" x14ac:dyDescent="0.2"/>
    <row r="721" ht="16.5" customHeight="1" x14ac:dyDescent="0.2"/>
    <row r="722" ht="16.5" customHeight="1" x14ac:dyDescent="0.2"/>
    <row r="723" ht="16.5" customHeight="1" x14ac:dyDescent="0.2"/>
    <row r="724" ht="16.5" customHeight="1" x14ac:dyDescent="0.2"/>
    <row r="725" ht="16.5" customHeight="1" x14ac:dyDescent="0.2"/>
    <row r="726" ht="16.5" customHeight="1" x14ac:dyDescent="0.2"/>
    <row r="727" ht="16.5" customHeight="1" x14ac:dyDescent="0.2"/>
    <row r="728" ht="16.5" customHeight="1" x14ac:dyDescent="0.2"/>
    <row r="729" ht="16.5" customHeight="1" x14ac:dyDescent="0.2"/>
    <row r="730" ht="16.5" customHeight="1" x14ac:dyDescent="0.2"/>
    <row r="731" ht="16.5" customHeight="1" x14ac:dyDescent="0.2"/>
    <row r="732" ht="16.5" customHeight="1" x14ac:dyDescent="0.2"/>
    <row r="733" ht="16.5" customHeight="1" x14ac:dyDescent="0.2"/>
    <row r="734" ht="16.5" customHeight="1" x14ac:dyDescent="0.2"/>
    <row r="735" ht="16.5" customHeight="1" x14ac:dyDescent="0.2"/>
    <row r="736" ht="16.5" customHeight="1" x14ac:dyDescent="0.2"/>
    <row r="737" ht="16.5" customHeight="1" x14ac:dyDescent="0.2"/>
    <row r="738" ht="16.5" customHeight="1" x14ac:dyDescent="0.2"/>
    <row r="739" ht="16.5" customHeight="1" x14ac:dyDescent="0.2"/>
    <row r="740" ht="16.5" customHeight="1" x14ac:dyDescent="0.2"/>
    <row r="741" ht="16.5" customHeight="1" x14ac:dyDescent="0.2"/>
    <row r="742" ht="16.5" customHeight="1" x14ac:dyDescent="0.2"/>
    <row r="743" ht="16.5" customHeight="1" x14ac:dyDescent="0.2"/>
    <row r="744" ht="16.5" customHeight="1" x14ac:dyDescent="0.2"/>
    <row r="745" ht="16.5" customHeight="1" x14ac:dyDescent="0.2"/>
    <row r="746" ht="16.5" customHeight="1" x14ac:dyDescent="0.2"/>
    <row r="747" ht="16.5" customHeight="1" x14ac:dyDescent="0.2"/>
    <row r="748" ht="16.5" customHeight="1" x14ac:dyDescent="0.2"/>
    <row r="749" ht="16.5" customHeight="1" x14ac:dyDescent="0.2"/>
    <row r="750" ht="16.5" customHeight="1" x14ac:dyDescent="0.2"/>
    <row r="751" ht="16.5" customHeight="1" x14ac:dyDescent="0.2"/>
    <row r="752" ht="16.5" customHeight="1" x14ac:dyDescent="0.2"/>
    <row r="753" ht="16.5" customHeight="1" x14ac:dyDescent="0.2"/>
    <row r="754" ht="16.5" customHeight="1" x14ac:dyDescent="0.2"/>
    <row r="755" ht="16.5" customHeight="1" x14ac:dyDescent="0.2"/>
    <row r="756" ht="16.5" customHeight="1" x14ac:dyDescent="0.2"/>
    <row r="757" ht="16.5" customHeight="1" x14ac:dyDescent="0.2"/>
    <row r="758" ht="16.5" customHeight="1" x14ac:dyDescent="0.2"/>
    <row r="759" ht="16.5" customHeight="1" x14ac:dyDescent="0.2"/>
    <row r="760" ht="16.5" customHeight="1" x14ac:dyDescent="0.2"/>
    <row r="761" ht="16.5" customHeight="1" x14ac:dyDescent="0.2"/>
    <row r="762" ht="16.5" customHeight="1" x14ac:dyDescent="0.2"/>
    <row r="763" ht="16.5" customHeight="1" x14ac:dyDescent="0.2"/>
    <row r="764" ht="16.5" customHeight="1" x14ac:dyDescent="0.2"/>
    <row r="765" ht="16.5" customHeight="1" x14ac:dyDescent="0.2"/>
    <row r="766" ht="16.5" customHeight="1" x14ac:dyDescent="0.2"/>
    <row r="767" ht="16.5" customHeight="1" x14ac:dyDescent="0.2"/>
    <row r="768" ht="16.5" customHeight="1" x14ac:dyDescent="0.2"/>
    <row r="769" ht="16.5" customHeight="1" x14ac:dyDescent="0.2"/>
    <row r="770" ht="16.5" customHeight="1" x14ac:dyDescent="0.2"/>
    <row r="771" ht="16.5" customHeight="1" x14ac:dyDescent="0.2"/>
    <row r="772" ht="16.5" customHeight="1" x14ac:dyDescent="0.2"/>
    <row r="773" ht="16.5" customHeight="1" x14ac:dyDescent="0.2"/>
    <row r="774" ht="16.5" customHeight="1" x14ac:dyDescent="0.2"/>
    <row r="775" ht="16.5" customHeight="1" x14ac:dyDescent="0.2"/>
    <row r="776" ht="16.5" customHeight="1" x14ac:dyDescent="0.2"/>
    <row r="777" ht="16.5" customHeight="1" x14ac:dyDescent="0.2"/>
    <row r="778" ht="16.5" customHeight="1" x14ac:dyDescent="0.2"/>
    <row r="779" ht="16.5" customHeight="1" x14ac:dyDescent="0.2"/>
    <row r="780" ht="16.5" customHeight="1" x14ac:dyDescent="0.2"/>
    <row r="781" ht="16.5" customHeight="1" x14ac:dyDescent="0.2"/>
    <row r="782" ht="16.5" customHeight="1" x14ac:dyDescent="0.2"/>
    <row r="783" ht="16.5" customHeight="1" x14ac:dyDescent="0.2"/>
    <row r="784" ht="16.5" customHeight="1" x14ac:dyDescent="0.2"/>
    <row r="785" ht="16.5" customHeight="1" x14ac:dyDescent="0.2"/>
    <row r="786" ht="16.5" customHeight="1" x14ac:dyDescent="0.2"/>
    <row r="787" ht="16.5" customHeight="1" x14ac:dyDescent="0.2"/>
    <row r="788" ht="16.5" customHeight="1" x14ac:dyDescent="0.2"/>
    <row r="789" ht="16.5" customHeight="1" x14ac:dyDescent="0.2"/>
    <row r="790" ht="16.5" customHeight="1" x14ac:dyDescent="0.2"/>
    <row r="791" ht="16.5" customHeight="1" x14ac:dyDescent="0.2"/>
    <row r="792" ht="16.5" customHeight="1" x14ac:dyDescent="0.2"/>
    <row r="793" ht="16.5" customHeight="1" x14ac:dyDescent="0.2"/>
    <row r="794" ht="16.5" customHeight="1" x14ac:dyDescent="0.2"/>
    <row r="795" ht="16.5" customHeight="1" x14ac:dyDescent="0.2"/>
    <row r="796" ht="16.5" customHeight="1" x14ac:dyDescent="0.2"/>
    <row r="797" ht="16.5" customHeight="1" x14ac:dyDescent="0.2"/>
    <row r="798" ht="16.5" customHeight="1" x14ac:dyDescent="0.2"/>
    <row r="799" ht="16.5" customHeight="1" x14ac:dyDescent="0.2"/>
    <row r="800" ht="16.5" customHeight="1" x14ac:dyDescent="0.2"/>
    <row r="801" ht="16.5" customHeight="1" x14ac:dyDescent="0.2"/>
    <row r="802" ht="16.5" customHeight="1" x14ac:dyDescent="0.2"/>
    <row r="803" ht="16.5" customHeight="1" x14ac:dyDescent="0.2"/>
    <row r="804" ht="16.5" customHeight="1" x14ac:dyDescent="0.2"/>
    <row r="805" ht="16.5" customHeight="1" x14ac:dyDescent="0.2"/>
    <row r="806" ht="16.5" customHeight="1" x14ac:dyDescent="0.2"/>
    <row r="807" ht="16.5" customHeight="1" x14ac:dyDescent="0.2"/>
    <row r="808" ht="16.5" customHeight="1" x14ac:dyDescent="0.2"/>
    <row r="809" ht="16.5" customHeight="1" x14ac:dyDescent="0.2"/>
    <row r="810" ht="16.5" customHeight="1" x14ac:dyDescent="0.2"/>
    <row r="811" ht="16.5" customHeight="1" x14ac:dyDescent="0.2"/>
    <row r="812" ht="16.5" customHeight="1" x14ac:dyDescent="0.2"/>
    <row r="813" ht="16.5" customHeight="1" x14ac:dyDescent="0.2"/>
    <row r="814" ht="16.5" customHeight="1" x14ac:dyDescent="0.2"/>
    <row r="815" ht="16.5" customHeight="1" x14ac:dyDescent="0.2"/>
    <row r="816" ht="16.5" customHeight="1" x14ac:dyDescent="0.2"/>
    <row r="817" ht="16.5" customHeight="1" x14ac:dyDescent="0.2"/>
    <row r="818" ht="16.5" customHeight="1" x14ac:dyDescent="0.2"/>
    <row r="819" ht="16.5" customHeight="1" x14ac:dyDescent="0.2"/>
    <row r="820" ht="16.5" customHeight="1" x14ac:dyDescent="0.2"/>
    <row r="821" ht="16.5" customHeight="1" x14ac:dyDescent="0.2"/>
    <row r="822" ht="16.5" customHeight="1" x14ac:dyDescent="0.2"/>
    <row r="823" ht="16.5" customHeight="1" x14ac:dyDescent="0.2"/>
    <row r="824" ht="16.5" customHeight="1" x14ac:dyDescent="0.2"/>
    <row r="825" ht="16.5" customHeight="1" x14ac:dyDescent="0.2"/>
    <row r="826" ht="16.5" customHeight="1" x14ac:dyDescent="0.2"/>
    <row r="827" ht="16.5" customHeight="1" x14ac:dyDescent="0.2"/>
    <row r="828" ht="16.5" customHeight="1" x14ac:dyDescent="0.2"/>
    <row r="829" ht="16.5" customHeight="1" x14ac:dyDescent="0.2"/>
    <row r="830" ht="16.5" customHeight="1" x14ac:dyDescent="0.2"/>
    <row r="831" ht="16.5" customHeight="1" x14ac:dyDescent="0.2"/>
    <row r="832" ht="16.5" customHeight="1" x14ac:dyDescent="0.2"/>
    <row r="833" ht="16.5" customHeight="1" x14ac:dyDescent="0.2"/>
    <row r="834" ht="16.5" customHeight="1" x14ac:dyDescent="0.2"/>
    <row r="835" ht="16.5" customHeight="1" x14ac:dyDescent="0.2"/>
    <row r="836" ht="16.5" customHeight="1" x14ac:dyDescent="0.2"/>
    <row r="837" ht="16.5" customHeight="1" x14ac:dyDescent="0.2"/>
    <row r="838" ht="16.5" customHeight="1" x14ac:dyDescent="0.2"/>
    <row r="839" ht="16.5" customHeight="1" x14ac:dyDescent="0.2"/>
    <row r="840" ht="16.5" customHeight="1" x14ac:dyDescent="0.2"/>
    <row r="841" ht="16.5" customHeight="1" x14ac:dyDescent="0.2"/>
    <row r="842" ht="16.5" customHeight="1" x14ac:dyDescent="0.2"/>
    <row r="843" ht="16.5" customHeight="1" x14ac:dyDescent="0.2"/>
    <row r="844" ht="16.5" customHeight="1" x14ac:dyDescent="0.2"/>
    <row r="845" ht="16.5" customHeight="1" x14ac:dyDescent="0.2"/>
    <row r="846" ht="16.5" customHeight="1" x14ac:dyDescent="0.2"/>
    <row r="847" ht="16.5" customHeight="1" x14ac:dyDescent="0.2"/>
    <row r="848" ht="16.5" customHeight="1" x14ac:dyDescent="0.2"/>
    <row r="849" ht="16.5" customHeight="1" x14ac:dyDescent="0.2"/>
    <row r="850" ht="16.5" customHeight="1" x14ac:dyDescent="0.2"/>
    <row r="851" ht="16.5" customHeight="1" x14ac:dyDescent="0.2"/>
    <row r="852" ht="16.5" customHeight="1" x14ac:dyDescent="0.2"/>
    <row r="853" ht="16.5" customHeight="1" x14ac:dyDescent="0.2"/>
    <row r="854" ht="16.5" customHeight="1" x14ac:dyDescent="0.2"/>
    <row r="855" ht="16.5" customHeight="1" x14ac:dyDescent="0.2"/>
    <row r="856" ht="16.5" customHeight="1" x14ac:dyDescent="0.2"/>
    <row r="857" ht="16.5" customHeight="1" x14ac:dyDescent="0.2"/>
    <row r="858" ht="16.5" customHeight="1" x14ac:dyDescent="0.2"/>
    <row r="859" ht="16.5" customHeight="1" x14ac:dyDescent="0.2"/>
    <row r="860" ht="16.5" customHeight="1" x14ac:dyDescent="0.2"/>
    <row r="861" ht="16.5" customHeight="1" x14ac:dyDescent="0.2"/>
    <row r="862" ht="16.5" customHeight="1" x14ac:dyDescent="0.2"/>
    <row r="863" ht="16.5" customHeight="1" x14ac:dyDescent="0.2"/>
    <row r="864" ht="16.5" customHeight="1" x14ac:dyDescent="0.2"/>
    <row r="865" ht="16.5" customHeight="1" x14ac:dyDescent="0.2"/>
    <row r="866" ht="16.5" customHeight="1" x14ac:dyDescent="0.2"/>
    <row r="867" ht="16.5" customHeight="1" x14ac:dyDescent="0.2"/>
    <row r="868" ht="16.5" customHeight="1" x14ac:dyDescent="0.2"/>
    <row r="869" ht="16.5" customHeight="1" x14ac:dyDescent="0.2"/>
    <row r="870" ht="16.5" customHeight="1" x14ac:dyDescent="0.2"/>
    <row r="871" ht="16.5" customHeight="1" x14ac:dyDescent="0.2"/>
    <row r="872" ht="16.5" customHeight="1" x14ac:dyDescent="0.2"/>
    <row r="873" ht="16.5" customHeight="1" x14ac:dyDescent="0.2"/>
    <row r="874" ht="16.5" customHeight="1" x14ac:dyDescent="0.2"/>
    <row r="875" ht="16.5" customHeight="1" x14ac:dyDescent="0.2"/>
    <row r="876" ht="16.5" customHeight="1" x14ac:dyDescent="0.2"/>
    <row r="877" ht="16.5" customHeight="1" x14ac:dyDescent="0.2"/>
    <row r="878" ht="16.5" customHeight="1" x14ac:dyDescent="0.2"/>
    <row r="879" ht="16.5" customHeight="1" x14ac:dyDescent="0.2"/>
    <row r="880" ht="16.5" customHeight="1" x14ac:dyDescent="0.2"/>
    <row r="881" ht="16.5" customHeight="1" x14ac:dyDescent="0.2"/>
    <row r="882" ht="16.5" customHeight="1" x14ac:dyDescent="0.2"/>
    <row r="883" ht="16.5" customHeight="1" x14ac:dyDescent="0.2"/>
    <row r="884" ht="16.5" customHeight="1" x14ac:dyDescent="0.2"/>
    <row r="885" ht="16.5" customHeight="1" x14ac:dyDescent="0.2"/>
    <row r="886" ht="16.5" customHeight="1" x14ac:dyDescent="0.2"/>
    <row r="887" ht="16.5" customHeight="1" x14ac:dyDescent="0.2"/>
    <row r="888" ht="16.5" customHeight="1" x14ac:dyDescent="0.2"/>
    <row r="889" ht="16.5" customHeight="1" x14ac:dyDescent="0.2"/>
    <row r="890" ht="16.5" customHeight="1" x14ac:dyDescent="0.2"/>
    <row r="891" ht="16.5" customHeight="1" x14ac:dyDescent="0.2"/>
    <row r="892" ht="16.5" customHeight="1" x14ac:dyDescent="0.2"/>
    <row r="893" ht="16.5" customHeight="1" x14ac:dyDescent="0.2"/>
    <row r="894" ht="16.5" customHeight="1" x14ac:dyDescent="0.2"/>
    <row r="895" ht="16.5" customHeight="1" x14ac:dyDescent="0.2"/>
    <row r="896" ht="16.5" customHeight="1" x14ac:dyDescent="0.2"/>
    <row r="897" ht="16.5" customHeight="1" x14ac:dyDescent="0.2"/>
    <row r="898" ht="16.5" customHeight="1" x14ac:dyDescent="0.2"/>
    <row r="899" ht="16.5" customHeight="1" x14ac:dyDescent="0.2"/>
    <row r="900" ht="16.5" customHeight="1" x14ac:dyDescent="0.2"/>
    <row r="901" ht="16.5" customHeight="1" x14ac:dyDescent="0.2"/>
    <row r="902" ht="16.5" customHeight="1" x14ac:dyDescent="0.2"/>
    <row r="903" ht="16.5" customHeight="1" x14ac:dyDescent="0.2"/>
    <row r="904" ht="16.5" customHeight="1" x14ac:dyDescent="0.2"/>
    <row r="905" ht="16.5" customHeight="1" x14ac:dyDescent="0.2"/>
    <row r="906" ht="16.5" customHeight="1" x14ac:dyDescent="0.2"/>
    <row r="907" ht="16.5" customHeight="1" x14ac:dyDescent="0.2"/>
    <row r="908" ht="16.5" customHeight="1" x14ac:dyDescent="0.2"/>
    <row r="909" ht="16.5" customHeight="1" x14ac:dyDescent="0.2"/>
    <row r="910" ht="16.5" customHeight="1" x14ac:dyDescent="0.2"/>
    <row r="911" ht="16.5" customHeight="1" x14ac:dyDescent="0.2"/>
    <row r="912" ht="16.5" customHeight="1" x14ac:dyDescent="0.2"/>
    <row r="913" ht="16.5" customHeight="1" x14ac:dyDescent="0.2"/>
    <row r="914" ht="16.5" customHeight="1" x14ac:dyDescent="0.2"/>
    <row r="915" ht="16.5" customHeight="1" x14ac:dyDescent="0.2"/>
    <row r="916" ht="16.5" customHeight="1" x14ac:dyDescent="0.2"/>
    <row r="917" ht="16.5" customHeight="1" x14ac:dyDescent="0.2"/>
    <row r="918" ht="16.5" customHeight="1" x14ac:dyDescent="0.2"/>
    <row r="919" ht="16.5" customHeight="1" x14ac:dyDescent="0.2"/>
    <row r="920" ht="16.5" customHeight="1" x14ac:dyDescent="0.2"/>
    <row r="921" ht="16.5" customHeight="1" x14ac:dyDescent="0.2"/>
    <row r="922" ht="16.5" customHeight="1" x14ac:dyDescent="0.2"/>
    <row r="923" ht="16.5" customHeight="1" x14ac:dyDescent="0.2"/>
    <row r="924" ht="16.5" customHeight="1" x14ac:dyDescent="0.2"/>
    <row r="925" ht="16.5" customHeight="1" x14ac:dyDescent="0.2"/>
    <row r="926" ht="16.5" customHeight="1" x14ac:dyDescent="0.2"/>
    <row r="927" ht="16.5" customHeight="1" x14ac:dyDescent="0.2"/>
    <row r="928" ht="16.5" customHeight="1" x14ac:dyDescent="0.2"/>
    <row r="929" ht="16.5" customHeight="1" x14ac:dyDescent="0.2"/>
    <row r="930" ht="16.5" customHeight="1" x14ac:dyDescent="0.2"/>
    <row r="931" ht="16.5" customHeight="1" x14ac:dyDescent="0.2"/>
    <row r="932" ht="16.5" customHeight="1" x14ac:dyDescent="0.2"/>
    <row r="933" ht="16.5" customHeight="1" x14ac:dyDescent="0.2"/>
    <row r="934" ht="16.5" customHeight="1" x14ac:dyDescent="0.2"/>
    <row r="935" ht="16.5" customHeight="1" x14ac:dyDescent="0.2"/>
    <row r="936" ht="16.5" customHeight="1" x14ac:dyDescent="0.2"/>
    <row r="937" ht="16.5" customHeight="1" x14ac:dyDescent="0.2"/>
    <row r="938" ht="16.5" customHeight="1" x14ac:dyDescent="0.2"/>
    <row r="939" ht="16.5" customHeight="1" x14ac:dyDescent="0.2"/>
    <row r="940" ht="16.5" customHeight="1" x14ac:dyDescent="0.2"/>
    <row r="941" ht="16.5" customHeight="1" x14ac:dyDescent="0.2"/>
    <row r="942" ht="16.5" customHeight="1" x14ac:dyDescent="0.2"/>
    <row r="943" ht="16.5" customHeight="1" x14ac:dyDescent="0.2"/>
    <row r="944" ht="16.5" customHeight="1" x14ac:dyDescent="0.2"/>
    <row r="945" ht="16.5" customHeight="1" x14ac:dyDescent="0.2"/>
    <row r="946" ht="16.5" customHeight="1" x14ac:dyDescent="0.2"/>
    <row r="947" ht="16.5" customHeight="1" x14ac:dyDescent="0.2"/>
    <row r="948" ht="16.5" customHeight="1" x14ac:dyDescent="0.2"/>
    <row r="949" ht="16.5" customHeight="1" x14ac:dyDescent="0.2"/>
    <row r="950" ht="16.5" customHeight="1" x14ac:dyDescent="0.2"/>
    <row r="951" ht="16.5" customHeight="1" x14ac:dyDescent="0.2"/>
    <row r="952" ht="16.5" customHeight="1" x14ac:dyDescent="0.2"/>
    <row r="953" ht="16.5" customHeight="1" x14ac:dyDescent="0.2"/>
    <row r="954" ht="16.5" customHeight="1" x14ac:dyDescent="0.2"/>
    <row r="955" ht="16.5" customHeight="1" x14ac:dyDescent="0.2"/>
    <row r="956" ht="16.5" customHeight="1" x14ac:dyDescent="0.2"/>
    <row r="957" ht="16.5" customHeight="1" x14ac:dyDescent="0.2"/>
    <row r="958" ht="16.5" customHeight="1" x14ac:dyDescent="0.2"/>
    <row r="959" ht="16.5" customHeight="1" x14ac:dyDescent="0.2"/>
    <row r="960" ht="16.5" customHeight="1" x14ac:dyDescent="0.2"/>
    <row r="961" ht="16.5" customHeight="1" x14ac:dyDescent="0.2"/>
    <row r="962" ht="16.5" customHeight="1" x14ac:dyDescent="0.2"/>
    <row r="963" ht="16.5" customHeight="1" x14ac:dyDescent="0.2"/>
    <row r="964" ht="16.5" customHeight="1" x14ac:dyDescent="0.2"/>
    <row r="965" ht="16.5" customHeight="1" x14ac:dyDescent="0.2"/>
    <row r="966" ht="16.5" customHeight="1" x14ac:dyDescent="0.2"/>
    <row r="967" ht="16.5" customHeight="1" x14ac:dyDescent="0.2"/>
    <row r="968" ht="16.5" customHeight="1" x14ac:dyDescent="0.2"/>
    <row r="969" ht="16.5" customHeight="1" x14ac:dyDescent="0.2"/>
    <row r="970" ht="16.5" customHeight="1" x14ac:dyDescent="0.2"/>
    <row r="971" ht="16.5" customHeight="1" x14ac:dyDescent="0.2"/>
    <row r="972" ht="16.5" customHeight="1" x14ac:dyDescent="0.2"/>
    <row r="973" ht="16.5" customHeight="1" x14ac:dyDescent="0.2"/>
    <row r="974" ht="16.5" customHeight="1" x14ac:dyDescent="0.2"/>
    <row r="975" ht="16.5" customHeight="1" x14ac:dyDescent="0.2"/>
    <row r="976" ht="16.5" customHeight="1" x14ac:dyDescent="0.2"/>
    <row r="977" ht="16.5" customHeight="1" x14ac:dyDescent="0.2"/>
    <row r="978" ht="16.5" customHeight="1" x14ac:dyDescent="0.2"/>
    <row r="979" ht="16.5" customHeight="1" x14ac:dyDescent="0.2"/>
    <row r="980" ht="16.5" customHeight="1" x14ac:dyDescent="0.2"/>
    <row r="981" ht="16.5" customHeight="1" x14ac:dyDescent="0.2"/>
    <row r="982" ht="16.5" customHeight="1" x14ac:dyDescent="0.2"/>
    <row r="983" ht="16.5" customHeight="1" x14ac:dyDescent="0.2"/>
    <row r="984" ht="16.5" customHeight="1" x14ac:dyDescent="0.2"/>
    <row r="985" ht="16.5" customHeight="1" x14ac:dyDescent="0.2"/>
    <row r="986" ht="16.5" customHeight="1" x14ac:dyDescent="0.2"/>
    <row r="987" ht="16.5" customHeight="1" x14ac:dyDescent="0.2"/>
    <row r="988" ht="16.5" customHeight="1" x14ac:dyDescent="0.2"/>
    <row r="989" ht="16.5" customHeight="1" x14ac:dyDescent="0.2"/>
    <row r="990" ht="16.5" customHeight="1" x14ac:dyDescent="0.2"/>
    <row r="991" ht="16.5" customHeight="1" x14ac:dyDescent="0.2"/>
    <row r="992" ht="16.5" customHeight="1" x14ac:dyDescent="0.2"/>
    <row r="993" ht="16.5" customHeight="1" x14ac:dyDescent="0.2"/>
    <row r="994" ht="16.5" customHeight="1" x14ac:dyDescent="0.2"/>
  </sheetData>
  <mergeCells count="14">
    <mergeCell ref="AM13:AM14"/>
    <mergeCell ref="AM7:AM10"/>
    <mergeCell ref="AM11:AM12"/>
    <mergeCell ref="C3:AI3"/>
    <mergeCell ref="C4:D4"/>
    <mergeCell ref="L5:M5"/>
    <mergeCell ref="N5:W5"/>
    <mergeCell ref="C7:C8"/>
    <mergeCell ref="D25:D27"/>
    <mergeCell ref="D31:D40"/>
    <mergeCell ref="D41:D43"/>
    <mergeCell ref="D44:D46"/>
    <mergeCell ref="D47:D49"/>
    <mergeCell ref="C52:E52"/>
  </mergeCells>
  <phoneticPr fontId="15" type="noConversion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250710(기획 실질 - 디자인 2번방향)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최승일</dc:creator>
  <cp:lastModifiedBy>user</cp:lastModifiedBy>
  <dcterms:created xsi:type="dcterms:W3CDTF">2025-01-15T10:03:09Z</dcterms:created>
  <dcterms:modified xsi:type="dcterms:W3CDTF">2025-07-11T03:21:27Z</dcterms:modified>
</cp:coreProperties>
</file>