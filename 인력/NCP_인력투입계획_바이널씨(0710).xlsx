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user/Downloads/인력/"/>
    </mc:Choice>
  </mc:AlternateContent>
  <xr:revisionPtr revIDLastSave="0" documentId="13_ncr:1_{2B671D87-6D02-C543-97A2-EE5285648805}" xr6:coauthVersionLast="47" xr6:coauthVersionMax="47" xr10:uidLastSave="{00000000-0000-0000-0000-000000000000}"/>
  <bookViews>
    <workbookView xWindow="0" yWindow="780" windowWidth="34200" windowHeight="19660" activeTab="8" xr2:uid="{00000000-000D-0000-FFFF-FFFF00000000}"/>
  </bookViews>
  <sheets>
    <sheet name="자리배치도" sheetId="1" r:id="rId1"/>
    <sheet name="250117 (제출본-최초)" sheetId="2" r:id="rId2"/>
    <sheet name="250217 (제출본-최종)" sheetId="3" r:id="rId3"/>
    <sheet name="250305" sheetId="4" r:id="rId4"/>
    <sheet name="250326" sheetId="5" r:id="rId5"/>
    <sheet name="250411" sheetId="6" r:id="rId6"/>
    <sheet name="250602" sheetId="7" r:id="rId7"/>
    <sheet name="250704(기본)" sheetId="8" r:id="rId8"/>
    <sheet name="250710(기획 실질 - 디자인 2번방향)" sheetId="9" r:id="rId9"/>
  </sheets>
  <externalReferences>
    <externalReference r:id="rId10"/>
  </externalReferences>
  <definedNames>
    <definedName name="프로젝트유형">[1]기준!$B$28:$B$34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2" roundtripDataChecksum="nTm5C4j3MGzs1buDs1ooUyskuHITmbBcQc1pPimAWKc="/>
    </ext>
  </extLst>
</workbook>
</file>

<file path=xl/calcChain.xml><?xml version="1.0" encoding="utf-8"?>
<calcChain xmlns="http://schemas.openxmlformats.org/spreadsheetml/2006/main">
  <c r="U62" i="9" l="1"/>
  <c r="U60" i="9"/>
  <c r="U61" i="9"/>
  <c r="AI37" i="9" l="1"/>
  <c r="AI33" i="9"/>
  <c r="W60" i="9" l="1"/>
  <c r="U58" i="9"/>
  <c r="W58" i="9" s="1"/>
  <c r="Z57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AI40" i="9"/>
  <c r="AI39" i="9"/>
  <c r="AI38" i="9"/>
  <c r="AI36" i="9"/>
  <c r="AI35" i="9"/>
  <c r="AI34" i="9"/>
  <c r="W62" i="9" s="1"/>
  <c r="AI32" i="9"/>
  <c r="AI31" i="9"/>
  <c r="AI30" i="9"/>
  <c r="W61" i="9" s="1"/>
  <c r="Z28" i="9"/>
  <c r="Z52" i="9" s="1"/>
  <c r="Y28" i="9"/>
  <c r="Y52" i="9" s="1"/>
  <c r="X28" i="9"/>
  <c r="X52" i="9" s="1"/>
  <c r="W28" i="9"/>
  <c r="W52" i="9" s="1"/>
  <c r="V28" i="9"/>
  <c r="U28" i="9"/>
  <c r="U52" i="9" s="1"/>
  <c r="T28" i="9"/>
  <c r="S28" i="9"/>
  <c r="R28" i="9"/>
  <c r="Q28" i="9"/>
  <c r="Q52" i="9" s="1"/>
  <c r="P28" i="9"/>
  <c r="P52" i="9" s="1"/>
  <c r="O28" i="9"/>
  <c r="N28" i="9"/>
  <c r="M28" i="9"/>
  <c r="M52" i="9" s="1"/>
  <c r="L28" i="9"/>
  <c r="AI27" i="9"/>
  <c r="AI26" i="9"/>
  <c r="AI25" i="9"/>
  <c r="AI24" i="9"/>
  <c r="AI23" i="9"/>
  <c r="AI22" i="9"/>
  <c r="AI21" i="9"/>
  <c r="AI20" i="9"/>
  <c r="U59" i="9" s="1"/>
  <c r="W59" i="9" s="1"/>
  <c r="AI19" i="9"/>
  <c r="AI18" i="9"/>
  <c r="AI17" i="9"/>
  <c r="AI16" i="9"/>
  <c r="AI15" i="9"/>
  <c r="AI14" i="9"/>
  <c r="AI13" i="9"/>
  <c r="AI12" i="9"/>
  <c r="AI11" i="9"/>
  <c r="AI10" i="9"/>
  <c r="AI9" i="9"/>
  <c r="AI8" i="9"/>
  <c r="AI7" i="9"/>
  <c r="AI12" i="8"/>
  <c r="AI15" i="8"/>
  <c r="AI14" i="8"/>
  <c r="O52" i="9" l="1"/>
  <c r="R52" i="9"/>
  <c r="S52" i="9"/>
  <c r="AI50" i="9"/>
  <c r="L52" i="9"/>
  <c r="N52" i="9"/>
  <c r="V52" i="9"/>
  <c r="T52" i="9"/>
  <c r="U57" i="9"/>
  <c r="W57" i="9" s="1"/>
  <c r="W63" i="9" s="1"/>
  <c r="V60" i="9"/>
  <c r="AI28" i="9"/>
  <c r="AI52" i="9" l="1"/>
  <c r="V57" i="9"/>
  <c r="V63" i="9" s="1"/>
  <c r="V64" i="9" s="1"/>
  <c r="U60" i="8" l="1"/>
  <c r="W60" i="8" s="1"/>
  <c r="U59" i="8"/>
  <c r="W59" i="8" s="1"/>
  <c r="U58" i="8"/>
  <c r="Z55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AI38" i="8"/>
  <c r="AI37" i="8"/>
  <c r="AI36" i="8"/>
  <c r="AI35" i="8"/>
  <c r="AI34" i="8"/>
  <c r="AI33" i="8"/>
  <c r="AI32" i="8"/>
  <c r="AI31" i="8"/>
  <c r="AI30" i="8"/>
  <c r="Z28" i="8"/>
  <c r="Z50" i="8" s="1"/>
  <c r="Y28" i="8"/>
  <c r="Y50" i="8" s="1"/>
  <c r="X28" i="8"/>
  <c r="X50" i="8" s="1"/>
  <c r="W28" i="8"/>
  <c r="W50" i="8" s="1"/>
  <c r="V28" i="8"/>
  <c r="U28" i="8"/>
  <c r="T28" i="8"/>
  <c r="S28" i="8"/>
  <c r="S50" i="8" s="1"/>
  <c r="R28" i="8"/>
  <c r="R50" i="8" s="1"/>
  <c r="Q28" i="8"/>
  <c r="Q50" i="8" s="1"/>
  <c r="P28" i="8"/>
  <c r="P50" i="8" s="1"/>
  <c r="O28" i="8"/>
  <c r="O50" i="8" s="1"/>
  <c r="N28" i="8"/>
  <c r="M28" i="8"/>
  <c r="L28" i="8"/>
  <c r="AI27" i="8"/>
  <c r="AI26" i="8"/>
  <c r="AI25" i="8"/>
  <c r="AI24" i="8"/>
  <c r="AI23" i="8"/>
  <c r="AI22" i="8"/>
  <c r="AI21" i="8"/>
  <c r="U57" i="8" s="1"/>
  <c r="W57" i="8" s="1"/>
  <c r="AI20" i="8"/>
  <c r="AI19" i="8"/>
  <c r="AI18" i="8"/>
  <c r="AI17" i="8"/>
  <c r="U56" i="8" s="1"/>
  <c r="W56" i="8" s="1"/>
  <c r="AI16" i="8"/>
  <c r="AI10" i="8"/>
  <c r="AI13" i="8"/>
  <c r="AI9" i="8"/>
  <c r="AI11" i="8"/>
  <c r="AI8" i="8"/>
  <c r="AI7" i="8"/>
  <c r="AI31" i="7"/>
  <c r="AI32" i="7"/>
  <c r="AI48" i="8" l="1"/>
  <c r="M50" i="8"/>
  <c r="U50" i="8"/>
  <c r="L50" i="8"/>
  <c r="N50" i="8"/>
  <c r="AI28" i="8"/>
  <c r="AI50" i="8" s="1"/>
  <c r="U55" i="8"/>
  <c r="V55" i="8" s="1"/>
  <c r="V61" i="8" s="1"/>
  <c r="V62" i="8" s="1"/>
  <c r="V50" i="8"/>
  <c r="T50" i="8"/>
  <c r="V58" i="8"/>
  <c r="W58" i="8"/>
  <c r="AI12" i="7"/>
  <c r="U56" i="7"/>
  <c r="U55" i="7"/>
  <c r="W55" i="7" s="1"/>
  <c r="Z53" i="7"/>
  <c r="U53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AI36" i="7"/>
  <c r="U58" i="7" s="1"/>
  <c r="W58" i="7" s="1"/>
  <c r="AI35" i="7"/>
  <c r="AI34" i="7"/>
  <c r="AI33" i="7"/>
  <c r="AI30" i="7"/>
  <c r="AI29" i="7"/>
  <c r="AI28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AI25" i="7"/>
  <c r="AI24" i="7"/>
  <c r="AI23" i="7"/>
  <c r="AI22" i="7"/>
  <c r="AI21" i="7"/>
  <c r="AI20" i="7"/>
  <c r="AI19" i="7"/>
  <c r="AI18" i="7"/>
  <c r="AI17" i="7"/>
  <c r="AI16" i="7"/>
  <c r="AI15" i="7"/>
  <c r="U54" i="7" s="1"/>
  <c r="W54" i="7" s="1"/>
  <c r="AI14" i="7"/>
  <c r="AI13" i="7"/>
  <c r="AI11" i="7"/>
  <c r="AI10" i="7"/>
  <c r="AI9" i="7"/>
  <c r="AI8" i="7"/>
  <c r="AI7" i="7"/>
  <c r="U53" i="6"/>
  <c r="Z50" i="6"/>
  <c r="Z43" i="6"/>
  <c r="Z45" i="6" s="1"/>
  <c r="Y43" i="6"/>
  <c r="Y45" i="6" s="1"/>
  <c r="X43" i="6"/>
  <c r="X45" i="6" s="1"/>
  <c r="W43" i="6"/>
  <c r="W45" i="6" s="1"/>
  <c r="V43" i="6"/>
  <c r="U43" i="6"/>
  <c r="T43" i="6"/>
  <c r="S43" i="6"/>
  <c r="R43" i="6"/>
  <c r="R45" i="6" s="1"/>
  <c r="Q43" i="6"/>
  <c r="P43" i="6"/>
  <c r="P45" i="6" s="1"/>
  <c r="O43" i="6"/>
  <c r="O45" i="6" s="1"/>
  <c r="N43" i="6"/>
  <c r="M43" i="6"/>
  <c r="L43" i="6"/>
  <c r="AI33" i="6"/>
  <c r="AI32" i="6"/>
  <c r="AI31" i="6"/>
  <c r="AI30" i="6"/>
  <c r="U55" i="6" s="1"/>
  <c r="W55" i="6" s="1"/>
  <c r="AI29" i="6"/>
  <c r="AI28" i="6"/>
  <c r="AI27" i="6"/>
  <c r="U54" i="6" s="1"/>
  <c r="W54" i="6" s="1"/>
  <c r="Z25" i="6"/>
  <c r="Y25" i="6"/>
  <c r="X25" i="6"/>
  <c r="W25" i="6"/>
  <c r="V25" i="6"/>
  <c r="U25" i="6"/>
  <c r="U45" i="6" s="1"/>
  <c r="T25" i="6"/>
  <c r="S25" i="6"/>
  <c r="S45" i="6" s="1"/>
  <c r="R25" i="6"/>
  <c r="Q25" i="6"/>
  <c r="Q45" i="6" s="1"/>
  <c r="P25" i="6"/>
  <c r="O25" i="6"/>
  <c r="N25" i="6"/>
  <c r="M25" i="6"/>
  <c r="M45" i="6" s="1"/>
  <c r="L25" i="6"/>
  <c r="AI24" i="6"/>
  <c r="AI23" i="6"/>
  <c r="AI22" i="6"/>
  <c r="AI21" i="6"/>
  <c r="AI20" i="6"/>
  <c r="AI19" i="6"/>
  <c r="AI18" i="6"/>
  <c r="U52" i="6" s="1"/>
  <c r="W52" i="6" s="1"/>
  <c r="AI17" i="6"/>
  <c r="AI16" i="6"/>
  <c r="U51" i="6" s="1"/>
  <c r="W51" i="6" s="1"/>
  <c r="AI15" i="6"/>
  <c r="AI14" i="6"/>
  <c r="AI13" i="6"/>
  <c r="AI12" i="6"/>
  <c r="AI11" i="6"/>
  <c r="AI10" i="6"/>
  <c r="AI9" i="6"/>
  <c r="AI8" i="6"/>
  <c r="U50" i="6" s="1"/>
  <c r="AI7" i="6"/>
  <c r="U53" i="5"/>
  <c r="U52" i="5"/>
  <c r="Z50" i="5"/>
  <c r="Z43" i="5"/>
  <c r="Y43" i="5"/>
  <c r="X43" i="5"/>
  <c r="W43" i="5"/>
  <c r="V43" i="5"/>
  <c r="U43" i="5"/>
  <c r="T43" i="5"/>
  <c r="S43" i="5"/>
  <c r="R43" i="5"/>
  <c r="Q43" i="5"/>
  <c r="Q45" i="5" s="1"/>
  <c r="P43" i="5"/>
  <c r="O43" i="5"/>
  <c r="N43" i="5"/>
  <c r="M43" i="5"/>
  <c r="L43" i="5"/>
  <c r="AI33" i="5"/>
  <c r="AI32" i="5"/>
  <c r="AI31" i="5"/>
  <c r="AI30" i="5"/>
  <c r="AI29" i="5"/>
  <c r="U54" i="5" s="1"/>
  <c r="AI28" i="5"/>
  <c r="AI27" i="5"/>
  <c r="Z25" i="5"/>
  <c r="Z45" i="5" s="1"/>
  <c r="Y25" i="5"/>
  <c r="X25" i="5"/>
  <c r="X45" i="5" s="1"/>
  <c r="W25" i="5"/>
  <c r="W45" i="5" s="1"/>
  <c r="V25" i="5"/>
  <c r="V45" i="5" s="1"/>
  <c r="U25" i="5"/>
  <c r="U45" i="5" s="1"/>
  <c r="T25" i="5"/>
  <c r="S25" i="5"/>
  <c r="S45" i="5" s="1"/>
  <c r="R25" i="5"/>
  <c r="R45" i="5" s="1"/>
  <c r="Q25" i="5"/>
  <c r="P25" i="5"/>
  <c r="P45" i="5" s="1"/>
  <c r="O25" i="5"/>
  <c r="O45" i="5" s="1"/>
  <c r="N25" i="5"/>
  <c r="N45" i="5" s="1"/>
  <c r="M25" i="5"/>
  <c r="M45" i="5" s="1"/>
  <c r="L25" i="5"/>
  <c r="L45" i="5" s="1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U50" i="5" s="1"/>
  <c r="U52" i="4"/>
  <c r="U51" i="4"/>
  <c r="Z49" i="4"/>
  <c r="U49" i="4"/>
  <c r="W43" i="4"/>
  <c r="V43" i="4"/>
  <c r="U43" i="4"/>
  <c r="P43" i="4"/>
  <c r="Z41" i="4"/>
  <c r="Z43" i="4" s="1"/>
  <c r="Y41" i="4"/>
  <c r="X41" i="4"/>
  <c r="W41" i="4"/>
  <c r="V41" i="4"/>
  <c r="U41" i="4"/>
  <c r="T41" i="4"/>
  <c r="S41" i="4"/>
  <c r="R41" i="4"/>
  <c r="R43" i="4" s="1"/>
  <c r="Q41" i="4"/>
  <c r="P41" i="4"/>
  <c r="O41" i="4"/>
  <c r="N41" i="4"/>
  <c r="N43" i="4" s="1"/>
  <c r="M41" i="4"/>
  <c r="L41" i="4"/>
  <c r="AI31" i="4"/>
  <c r="AI30" i="4"/>
  <c r="AI29" i="4"/>
  <c r="AI28" i="4"/>
  <c r="U54" i="4" s="1"/>
  <c r="AI27" i="4"/>
  <c r="AI26" i="4"/>
  <c r="U53" i="4" s="1"/>
  <c r="AI25" i="4"/>
  <c r="Z23" i="4"/>
  <c r="Y23" i="4"/>
  <c r="Y43" i="4" s="1"/>
  <c r="X23" i="4"/>
  <c r="X43" i="4" s="1"/>
  <c r="W23" i="4"/>
  <c r="V23" i="4"/>
  <c r="U23" i="4"/>
  <c r="T23" i="4"/>
  <c r="T43" i="4" s="1"/>
  <c r="S23" i="4"/>
  <c r="S43" i="4" s="1"/>
  <c r="R23" i="4"/>
  <c r="Q23" i="4"/>
  <c r="Q43" i="4" s="1"/>
  <c r="P23" i="4"/>
  <c r="O23" i="4"/>
  <c r="O43" i="4" s="1"/>
  <c r="N23" i="4"/>
  <c r="M23" i="4"/>
  <c r="M43" i="4" s="1"/>
  <c r="L23" i="4"/>
  <c r="L43" i="4" s="1"/>
  <c r="AI22" i="4"/>
  <c r="AI21" i="4"/>
  <c r="AI20" i="4"/>
  <c r="AI19" i="4"/>
  <c r="AI18" i="4"/>
  <c r="AI17" i="4"/>
  <c r="AI16" i="4"/>
  <c r="AI15" i="4"/>
  <c r="AI14" i="4"/>
  <c r="AI13" i="4"/>
  <c r="AI12" i="4"/>
  <c r="U50" i="4" s="1"/>
  <c r="AI11" i="4"/>
  <c r="AI10" i="4"/>
  <c r="AI9" i="4"/>
  <c r="AI8" i="4"/>
  <c r="AI7" i="4"/>
  <c r="AI23" i="4" s="1"/>
  <c r="U53" i="3"/>
  <c r="U52" i="3"/>
  <c r="U51" i="3"/>
  <c r="U50" i="3"/>
  <c r="Z49" i="3"/>
  <c r="U49" i="3"/>
  <c r="V49" i="3" s="1"/>
  <c r="Z43" i="3"/>
  <c r="Y43" i="3"/>
  <c r="T43" i="3"/>
  <c r="N43" i="3"/>
  <c r="M43" i="3"/>
  <c r="Z41" i="3"/>
  <c r="Y41" i="3"/>
  <c r="X41" i="3"/>
  <c r="X43" i="3" s="1"/>
  <c r="W41" i="3"/>
  <c r="V41" i="3"/>
  <c r="U41" i="3"/>
  <c r="T41" i="3"/>
  <c r="S41" i="3"/>
  <c r="R41" i="3"/>
  <c r="Q41" i="3"/>
  <c r="P41" i="3"/>
  <c r="O41" i="3"/>
  <c r="N41" i="3"/>
  <c r="M41" i="3"/>
  <c r="L41" i="3"/>
  <c r="L43" i="3" s="1"/>
  <c r="AI31" i="3"/>
  <c r="AI30" i="3"/>
  <c r="AI29" i="3"/>
  <c r="AI28" i="3"/>
  <c r="U54" i="3" s="1"/>
  <c r="AI27" i="3"/>
  <c r="AI26" i="3"/>
  <c r="AI25" i="3"/>
  <c r="AI41" i="3" s="1"/>
  <c r="Z23" i="3"/>
  <c r="Y23" i="3"/>
  <c r="X23" i="3"/>
  <c r="W23" i="3"/>
  <c r="W43" i="3" s="1"/>
  <c r="V23" i="3"/>
  <c r="V43" i="3" s="1"/>
  <c r="U23" i="3"/>
  <c r="U43" i="3" s="1"/>
  <c r="T23" i="3"/>
  <c r="S23" i="3"/>
  <c r="S43" i="3" s="1"/>
  <c r="R23" i="3"/>
  <c r="R43" i="3" s="1"/>
  <c r="Q23" i="3"/>
  <c r="Q43" i="3" s="1"/>
  <c r="P23" i="3"/>
  <c r="P43" i="3" s="1"/>
  <c r="O23" i="3"/>
  <c r="O43" i="3" s="1"/>
  <c r="N23" i="3"/>
  <c r="M23" i="3"/>
  <c r="L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23" i="3" s="1"/>
  <c r="AI43" i="3" s="1"/>
  <c r="AI9" i="3"/>
  <c r="AI8" i="3"/>
  <c r="AI7" i="3"/>
  <c r="U51" i="2"/>
  <c r="U50" i="2"/>
  <c r="W53" i="3" s="1"/>
  <c r="U49" i="2"/>
  <c r="W52" i="4" s="1"/>
  <c r="U47" i="2"/>
  <c r="Z46" i="2"/>
  <c r="W41" i="2"/>
  <c r="Q41" i="2"/>
  <c r="P41" i="2"/>
  <c r="Z39" i="2"/>
  <c r="Y39" i="2"/>
  <c r="X39" i="2"/>
  <c r="W39" i="2"/>
  <c r="V39" i="2"/>
  <c r="U39" i="2"/>
  <c r="U41" i="2" s="1"/>
  <c r="T39" i="2"/>
  <c r="S39" i="2"/>
  <c r="R39" i="2"/>
  <c r="Q39" i="2"/>
  <c r="P39" i="2"/>
  <c r="O39" i="2"/>
  <c r="N39" i="2"/>
  <c r="M39" i="2"/>
  <c r="L39" i="2"/>
  <c r="AI29" i="2"/>
  <c r="AI28" i="2"/>
  <c r="AI27" i="2"/>
  <c r="AI39" i="2" s="1"/>
  <c r="AI26" i="2"/>
  <c r="AI25" i="2"/>
  <c r="AI24" i="2"/>
  <c r="AI23" i="2"/>
  <c r="Z21" i="2"/>
  <c r="Z41" i="2" s="1"/>
  <c r="Y21" i="2"/>
  <c r="Y41" i="2" s="1"/>
  <c r="X21" i="2"/>
  <c r="X41" i="2" s="1"/>
  <c r="W21" i="2"/>
  <c r="V21" i="2"/>
  <c r="V41" i="2" s="1"/>
  <c r="U21" i="2"/>
  <c r="T21" i="2"/>
  <c r="T41" i="2" s="1"/>
  <c r="S21" i="2"/>
  <c r="S41" i="2" s="1"/>
  <c r="R21" i="2"/>
  <c r="R41" i="2" s="1"/>
  <c r="Q21" i="2"/>
  <c r="P21" i="2"/>
  <c r="O21" i="2"/>
  <c r="O41" i="2" s="1"/>
  <c r="N21" i="2"/>
  <c r="N41" i="2" s="1"/>
  <c r="M21" i="2"/>
  <c r="M41" i="2" s="1"/>
  <c r="L21" i="2"/>
  <c r="L41" i="2" s="1"/>
  <c r="AI14" i="2"/>
  <c r="AI13" i="2"/>
  <c r="U48" i="2" s="1"/>
  <c r="AI12" i="2"/>
  <c r="AI11" i="2"/>
  <c r="AI10" i="2"/>
  <c r="U46" i="2" s="1"/>
  <c r="AI9" i="2"/>
  <c r="AI8" i="2"/>
  <c r="AI7" i="2"/>
  <c r="W55" i="8" l="1"/>
  <c r="W61" i="8" s="1"/>
  <c r="N48" i="7"/>
  <c r="O48" i="7"/>
  <c r="W48" i="7"/>
  <c r="V48" i="7"/>
  <c r="L48" i="7"/>
  <c r="T48" i="7"/>
  <c r="P48" i="7"/>
  <c r="X48" i="7"/>
  <c r="V53" i="7"/>
  <c r="AI46" i="7"/>
  <c r="M48" i="7"/>
  <c r="U48" i="7"/>
  <c r="U57" i="7"/>
  <c r="W57" i="7" s="1"/>
  <c r="AI26" i="7"/>
  <c r="S48" i="7"/>
  <c r="Q48" i="7"/>
  <c r="Y48" i="7"/>
  <c r="R48" i="7"/>
  <c r="Z48" i="7"/>
  <c r="W53" i="7"/>
  <c r="W56" i="7"/>
  <c r="AI25" i="5"/>
  <c r="AI43" i="5"/>
  <c r="T45" i="5"/>
  <c r="U55" i="5"/>
  <c r="V53" i="5" s="1"/>
  <c r="U51" i="5"/>
  <c r="V50" i="5" s="1"/>
  <c r="Y45" i="5"/>
  <c r="L45" i="6"/>
  <c r="AI43" i="6"/>
  <c r="N45" i="6"/>
  <c r="V45" i="6"/>
  <c r="T45" i="6"/>
  <c r="V50" i="6"/>
  <c r="W50" i="6"/>
  <c r="V53" i="6"/>
  <c r="W53" i="6"/>
  <c r="AI25" i="6"/>
  <c r="AI45" i="6" s="1"/>
  <c r="W49" i="3"/>
  <c r="W50" i="5"/>
  <c r="W49" i="4"/>
  <c r="V46" i="2"/>
  <c r="W54" i="3"/>
  <c r="W51" i="4"/>
  <c r="W51" i="3"/>
  <c r="W52" i="5"/>
  <c r="V49" i="4"/>
  <c r="V55" i="4" s="1"/>
  <c r="V52" i="3"/>
  <c r="V55" i="3" s="1"/>
  <c r="V52" i="4"/>
  <c r="AI45" i="5"/>
  <c r="W53" i="4"/>
  <c r="W50" i="3"/>
  <c r="W54" i="4"/>
  <c r="W53" i="5"/>
  <c r="V49" i="2"/>
  <c r="W50" i="4"/>
  <c r="W54" i="5"/>
  <c r="AI41" i="4"/>
  <c r="AI43" i="4" s="1"/>
  <c r="W52" i="3"/>
  <c r="AI21" i="2"/>
  <c r="AI41" i="2" s="1"/>
  <c r="AI48" i="7" l="1"/>
  <c r="V56" i="7"/>
  <c r="V59" i="7" s="1"/>
  <c r="V60" i="7" s="1"/>
  <c r="W59" i="7"/>
  <c r="V56" i="5"/>
  <c r="V57" i="5" s="1"/>
  <c r="W55" i="5"/>
  <c r="W51" i="5"/>
  <c r="W56" i="5" s="1"/>
  <c r="W56" i="6"/>
  <c r="V56" i="6"/>
  <c r="V57" i="6" s="1"/>
  <c r="W55" i="3"/>
  <c r="V52" i="2"/>
  <c r="W55" i="4"/>
</calcChain>
</file>

<file path=xl/sharedStrings.xml><?xml version="1.0" encoding="utf-8"?>
<sst xmlns="http://schemas.openxmlformats.org/spreadsheetml/2006/main" count="1356" uniqueCount="118">
  <si>
    <t>바이널씨 자리배치도</t>
  </si>
  <si>
    <t>4C</t>
  </si>
  <si>
    <t>4D</t>
  </si>
  <si>
    <t>고우정</t>
  </si>
  <si>
    <t>황세진</t>
  </si>
  <si>
    <t>배지효</t>
  </si>
  <si>
    <t>이경진</t>
  </si>
  <si>
    <t>정수정</t>
  </si>
  <si>
    <t>우미숙</t>
  </si>
  <si>
    <t>윤혜림</t>
  </si>
  <si>
    <t>박성호</t>
  </si>
  <si>
    <t>김강현</t>
  </si>
  <si>
    <t>김세진</t>
  </si>
  <si>
    <t>김민지</t>
  </si>
  <si>
    <t>조선자</t>
  </si>
  <si>
    <t>장익준</t>
  </si>
  <si>
    <t>이태림</t>
  </si>
  <si>
    <t>민수연</t>
  </si>
  <si>
    <t>안광훈</t>
  </si>
  <si>
    <t>김영근</t>
  </si>
  <si>
    <t>유경구</t>
  </si>
  <si>
    <t>박민정</t>
  </si>
  <si>
    <t>현대백화점 New 커머스 플랫폼 구축</t>
  </si>
  <si>
    <t>업무구분</t>
  </si>
  <si>
    <t>역할</t>
  </si>
  <si>
    <t>계약등급</t>
  </si>
  <si>
    <t>이름</t>
  </si>
  <si>
    <t>실등급</t>
  </si>
  <si>
    <t>계약투입일</t>
  </si>
  <si>
    <t>계약철수일</t>
  </si>
  <si>
    <t>실투입일</t>
  </si>
  <si>
    <t>실철수일</t>
  </si>
  <si>
    <t>M1
(2월)</t>
  </si>
  <si>
    <t>M2
(3월)</t>
  </si>
  <si>
    <t>M3
(4월)</t>
  </si>
  <si>
    <t>M4
(5월)</t>
  </si>
  <si>
    <t>M5
(6월)</t>
  </si>
  <si>
    <t>M6
(7월)</t>
  </si>
  <si>
    <t>M7
(8월)</t>
  </si>
  <si>
    <t>M8
(9월)</t>
  </si>
  <si>
    <t>M9
(10월)</t>
  </si>
  <si>
    <t>M10
(11월)</t>
  </si>
  <si>
    <t>M11
(12월)</t>
  </si>
  <si>
    <t>M12
(1월)</t>
  </si>
  <si>
    <t>M13
(2월)</t>
  </si>
  <si>
    <t>M14
(3월)</t>
  </si>
  <si>
    <t>M15
(4월)</t>
  </si>
  <si>
    <t>M/M계</t>
  </si>
  <si>
    <t>현장관리</t>
  </si>
  <si>
    <t>기획/디자인 총괄 (바이널씨 PM)</t>
  </si>
  <si>
    <t>고급</t>
  </si>
  <si>
    <t>특급</t>
  </si>
  <si>
    <t>기획</t>
  </si>
  <si>
    <t>PL (제작가이드, 산출물 검수)</t>
  </si>
  <si>
    <t xml:space="preserve">앱웹 Front UXUI 상세 화면설계
</t>
  </si>
  <si>
    <t>-</t>
  </si>
  <si>
    <t>중급</t>
  </si>
  <si>
    <t>최철원</t>
  </si>
  <si>
    <t>초급</t>
  </si>
  <si>
    <t>합계</t>
  </si>
  <si>
    <t>mm</t>
  </si>
  <si>
    <t>디자인</t>
  </si>
  <si>
    <t>앱웹 화면 UI 디자인</t>
  </si>
  <si>
    <t>인터렉션 디자인
(Interaction 설계 및 구현)</t>
  </si>
  <si>
    <t>MM</t>
  </si>
  <si>
    <t>등급별 계획공수</t>
  </si>
  <si>
    <t>계획공수</t>
  </si>
  <si>
    <t>부문</t>
  </si>
  <si>
    <t>등급</t>
  </si>
  <si>
    <t>공수</t>
  </si>
  <si>
    <t>계약공수</t>
  </si>
  <si>
    <t>본사 추가지원 공수</t>
  </si>
  <si>
    <t>총 가용 공수</t>
  </si>
  <si>
    <t>총계</t>
  </si>
  <si>
    <t xml:space="preserve">월별 인력 투입 계획 </t>
  </si>
  <si>
    <t>TBD</t>
  </si>
  <si>
    <t xml:space="preserve"> </t>
  </si>
  <si>
    <t>&gt; 최초 인력투입 계획 (1/17)에서는 정수정님, 김강현님이 2월까지로 되어 있었으나, 실제 두 분 계약은 각각 11월/10월로 되어있어서 수정</t>
  </si>
  <si>
    <t>&gt; 설계 범위가 당초 예상보다 매우 클 것으로 예상되어 설계단계까지 인력이 더 많이 필요할 것 같아 통테 지원을 줄이기로 PM과 합의하여 조정</t>
  </si>
  <si>
    <t>차이</t>
  </si>
  <si>
    <t>본사 추가지원 가능 공수</t>
  </si>
  <si>
    <t>잔여 가용 공수</t>
    <phoneticPr fontId="22" type="noConversion"/>
  </si>
  <si>
    <t>박지황</t>
    <phoneticPr fontId="22" type="noConversion"/>
  </si>
  <si>
    <t>김단비</t>
    <phoneticPr fontId="22" type="noConversion"/>
  </si>
  <si>
    <t>김원경</t>
    <phoneticPr fontId="22" type="noConversion"/>
  </si>
  <si>
    <t>고우정</t>
    <phoneticPr fontId="22" type="noConversion"/>
  </si>
  <si>
    <t>유승용</t>
    <phoneticPr fontId="22" type="noConversion"/>
  </si>
  <si>
    <t>유지현</t>
    <phoneticPr fontId="22" type="noConversion"/>
  </si>
  <si>
    <t>앱웹 Front UXUI 상세 화면설계</t>
    <phoneticPr fontId="22" type="noConversion"/>
  </si>
  <si>
    <t>고급</t>
    <phoneticPr fontId="22" type="noConversion"/>
  </si>
  <si>
    <t>PL (제작가이드, 산출물 검수)</t>
    <phoneticPr fontId="22" type="noConversion"/>
  </si>
  <si>
    <t>우미숙</t>
    <phoneticPr fontId="22" type="noConversion"/>
  </si>
  <si>
    <t>ㅗ</t>
    <phoneticPr fontId="22" type="noConversion"/>
  </si>
  <si>
    <t>중급</t>
    <phoneticPr fontId="22" type="noConversion"/>
  </si>
  <si>
    <t>TBD</t>
    <phoneticPr fontId="22" type="noConversion"/>
  </si>
  <si>
    <t>초급</t>
    <phoneticPr fontId="22" type="noConversion"/>
  </si>
  <si>
    <r>
      <t xml:space="preserve">1. </t>
    </r>
    <r>
      <rPr>
        <b/>
        <sz val="11"/>
        <color theme="1"/>
        <rFont val="Malgun Gothic"/>
        <family val="2"/>
        <charset val="129"/>
      </rPr>
      <t>기간별 TASK</t>
    </r>
    <phoneticPr fontId="22" type="noConversion"/>
  </si>
  <si>
    <t>8월 - 9월</t>
    <phoneticPr fontId="25" type="noConversion"/>
  </si>
  <si>
    <t>단위테스트케이스 산출물 관리 / 테스트 시행</t>
    <phoneticPr fontId="25" type="noConversion"/>
  </si>
  <si>
    <t>추가요건에 대한 설계</t>
    <phoneticPr fontId="25" type="noConversion"/>
  </si>
  <si>
    <t>산출물(설계) 품질관리 및 현행화</t>
    <phoneticPr fontId="25" type="noConversion"/>
  </si>
  <si>
    <t>요구사항 추적표 관리</t>
    <phoneticPr fontId="25" type="noConversion"/>
  </si>
  <si>
    <t>메뉴구조도 관리</t>
    <phoneticPr fontId="25" type="noConversion"/>
  </si>
  <si>
    <t>10월 ~ 12월</t>
    <phoneticPr fontId="25" type="noConversion"/>
  </si>
  <si>
    <t>1월 ~ 3월</t>
    <phoneticPr fontId="25" type="noConversion"/>
  </si>
  <si>
    <t>통합테스트 (개발대응)</t>
    <phoneticPr fontId="25" type="noConversion"/>
  </si>
  <si>
    <r>
      <t xml:space="preserve">2. </t>
    </r>
    <r>
      <rPr>
        <b/>
        <sz val="11"/>
        <color theme="1"/>
        <rFont val="Malgun Gothic"/>
        <family val="2"/>
        <charset val="129"/>
      </rPr>
      <t>각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Malgun Gothic"/>
        <family val="2"/>
        <charset val="129"/>
      </rPr>
      <t>파트별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작업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영역</t>
    </r>
    <phoneticPr fontId="22" type="noConversion"/>
  </si>
  <si>
    <t>로그인, 회원, 상품, 주문, 마이페이지 관리</t>
  </si>
  <si>
    <t>장바구니, 주문서, 주문완료</t>
  </si>
  <si>
    <t>구독, 마이페이지(주문관리)</t>
  </si>
  <si>
    <t>프로모션, 이벤트, 마이페이지(나의활동, 나의혜택)</t>
  </si>
  <si>
    <t>(김강현)</t>
  </si>
  <si>
    <t>로그인, 회원가입, 마이페이지(나의정보)</t>
  </si>
  <si>
    <t>(장익준)</t>
  </si>
  <si>
    <t>상품 (유형, 무형)</t>
  </si>
  <si>
    <t>모듈, 피드/샵메인, 전문관, 브랜드관, 콘텐츠, 신규기능(미스페이스, 잼/마이컬렉션) 고객센터, 공통</t>
  </si>
  <si>
    <t>모듈, 브랜드관, 콘텐츠</t>
  </si>
  <si>
    <t>신규기능(미스페이스, 잼/마이컬렉션), 고객센터, 공통, 전문관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</si>
</sst>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m&quot;/&quot;d"/>
    <numFmt numFmtId="177" formatCode="@\ \ &quot;인력투입계획&quot;"/>
    <numFmt numFmtId="178" formatCode="&quot;작성일 : &quot;m&quot;월&quot;\ d&quot;일&quot;"/>
    <numFmt numFmtId="179" formatCode="0.0_ "/>
    <numFmt numFmtId="180" formatCode="yy/mm/dd"/>
    <numFmt numFmtId="181" formatCode="0.00_);[Red]\(0.00\)"/>
    <numFmt numFmtId="182" formatCode="_-* #,##0_-;\-* #,##0_-;_-* &quot;-&quot;_-;_-@"/>
    <numFmt numFmtId="183" formatCode="#,##0.00_ "/>
  </numFmts>
  <fonts count="27" x14ac:knownFonts="1">
    <font>
      <sz val="11"/>
      <color theme="1"/>
      <name val="Calibri"/>
      <scheme val="minor"/>
    </font>
    <font>
      <sz val="11"/>
      <color theme="1"/>
      <name val="Malgun Gothic"/>
      <family val="2"/>
      <charset val="129"/>
    </font>
    <font>
      <sz val="18"/>
      <color theme="1"/>
      <name val="Malgun Gothic"/>
      <family val="2"/>
      <charset val="129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Malgun Gothic"/>
      <family val="2"/>
      <charset val="129"/>
    </font>
    <font>
      <sz val="16"/>
      <color theme="1"/>
      <name val="Malgun Gothic"/>
      <family val="2"/>
      <charset val="129"/>
    </font>
    <font>
      <sz val="9"/>
      <color theme="1"/>
      <name val="Malgun Gothic"/>
      <family val="2"/>
      <charset val="129"/>
    </font>
    <font>
      <b/>
      <sz val="22"/>
      <color theme="1"/>
      <name val="Malgun Gothic"/>
      <family val="2"/>
      <charset val="129"/>
    </font>
    <font>
      <b/>
      <sz val="8"/>
      <color rgb="FFFF0000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9"/>
      <color rgb="FFC00000"/>
      <name val="Malgun Gothic"/>
      <family val="2"/>
      <charset val="129"/>
    </font>
    <font>
      <sz val="9"/>
      <color rgb="FFC00000"/>
      <name val="Malgun Gothic"/>
      <family val="2"/>
      <charset val="129"/>
    </font>
    <font>
      <sz val="9"/>
      <color rgb="FFFF0000"/>
      <name val="Malgun Gothic"/>
      <family val="2"/>
      <charset val="129"/>
    </font>
    <font>
      <sz val="9"/>
      <color theme="0"/>
      <name val="Malgun Gothic"/>
      <family val="2"/>
      <charset val="129"/>
    </font>
    <font>
      <sz val="11"/>
      <color theme="1"/>
      <name val="Dotum"/>
      <family val="2"/>
      <charset val="129"/>
    </font>
    <font>
      <sz val="11"/>
      <color rgb="FFC00000"/>
      <name val="Dotum"/>
      <family val="2"/>
      <charset val="129"/>
    </font>
    <font>
      <b/>
      <sz val="12"/>
      <color rgb="FF00B0F0"/>
      <name val="Malgun Gothic"/>
      <family val="2"/>
      <charset val="129"/>
    </font>
    <font>
      <b/>
      <sz val="8"/>
      <color theme="1"/>
      <name val="Malgun Gothic"/>
      <family val="2"/>
      <charset val="129"/>
    </font>
    <font>
      <b/>
      <sz val="9"/>
      <color theme="0"/>
      <name val="Malgun Gothic"/>
      <family val="2"/>
      <charset val="129"/>
    </font>
    <font>
      <sz val="11"/>
      <color rgb="FFFF0000"/>
      <name val="Malgun Gothic"/>
      <family val="2"/>
      <charset val="129"/>
    </font>
    <font>
      <sz val="8"/>
      <name val="Calibri"/>
      <family val="3"/>
      <charset val="129"/>
      <scheme val="minor"/>
    </font>
    <font>
      <b/>
      <sz val="9"/>
      <color theme="9"/>
      <name val="Malgun Gothic"/>
      <family val="2"/>
      <charset val="129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8D8D8"/>
        <bgColor rgb="FFD8D8D8"/>
      </patternFill>
    </fill>
    <fill>
      <patternFill patternType="solid">
        <fgColor rgb="FF99CCFF"/>
        <bgColor rgb="FF99CCFF"/>
      </patternFill>
    </fill>
    <fill>
      <patternFill patternType="solid">
        <fgColor rgb="FFCCECFF"/>
        <bgColor rgb="FFCCECFF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2"/>
        <bgColor indexed="64"/>
      </patternFill>
    </fill>
    <fill>
      <patternFill patternType="solid">
        <fgColor theme="5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9ACCFF"/>
        <bgColor rgb="FF99CCFF"/>
      </patternFill>
    </fill>
    <fill>
      <patternFill patternType="solid">
        <fgColor theme="5"/>
        <bgColor rgb="FFCCECFF"/>
      </patternFill>
    </fill>
    <fill>
      <patternFill patternType="solid">
        <fgColor rgb="FFFFFF00"/>
        <bgColor rgb="FFCCECFF"/>
      </patternFill>
    </fill>
    <fill>
      <patternFill patternType="solid">
        <fgColor rgb="FFCCECFF"/>
        <bgColor indexed="64"/>
      </patternFill>
    </fill>
    <fill>
      <patternFill patternType="solid">
        <fgColor theme="1" tint="0.499984740745262"/>
        <bgColor rgb="FF99CCFF"/>
      </patternFill>
    </fill>
    <fill>
      <patternFill patternType="solid">
        <fgColor theme="1" tint="0.499984740745262"/>
        <bgColor rgb="FFCCECF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0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176" fontId="1" fillId="2" borderId="17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3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11" fillId="6" borderId="24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 wrapText="1"/>
    </xf>
    <xf numFmtId="179" fontId="11" fillId="0" borderId="28" xfId="0" applyNumberFormat="1" applyFont="1" applyBorder="1" applyAlignment="1">
      <alignment vertical="center" wrapText="1"/>
    </xf>
    <xf numFmtId="179" fontId="7" fillId="7" borderId="25" xfId="0" applyNumberFormat="1" applyFont="1" applyFill="1" applyBorder="1" applyAlignment="1">
      <alignment horizontal="center" vertical="center"/>
    </xf>
    <xf numFmtId="179" fontId="13" fillId="7" borderId="25" xfId="0" applyNumberFormat="1" applyFont="1" applyFill="1" applyBorder="1" applyAlignment="1">
      <alignment horizontal="center" vertical="center"/>
    </xf>
    <xf numFmtId="180" fontId="7" fillId="7" borderId="25" xfId="0" applyNumberFormat="1" applyFont="1" applyFill="1" applyBorder="1" applyAlignment="1">
      <alignment vertical="center"/>
    </xf>
    <xf numFmtId="181" fontId="7" fillId="7" borderId="25" xfId="0" applyNumberFormat="1" applyFont="1" applyFill="1" applyBorder="1" applyAlignment="1">
      <alignment horizontal="center" vertical="center"/>
    </xf>
    <xf numFmtId="181" fontId="7" fillId="0" borderId="25" xfId="0" applyNumberFormat="1" applyFont="1" applyBorder="1" applyAlignment="1">
      <alignment horizontal="center" vertical="center"/>
    </xf>
    <xf numFmtId="181" fontId="7" fillId="6" borderId="26" xfId="0" applyNumberFormat="1" applyFont="1" applyFill="1" applyBorder="1" applyAlignment="1">
      <alignment horizontal="center" vertical="center"/>
    </xf>
    <xf numFmtId="181" fontId="14" fillId="7" borderId="25" xfId="0" applyNumberFormat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79" fontId="13" fillId="7" borderId="25" xfId="0" quotePrefix="1" applyNumberFormat="1" applyFont="1" applyFill="1" applyBorder="1" applyAlignment="1">
      <alignment horizontal="center" vertical="center"/>
    </xf>
    <xf numFmtId="180" fontId="14" fillId="7" borderId="25" xfId="0" applyNumberFormat="1" applyFont="1" applyFill="1" applyBorder="1" applyAlignment="1">
      <alignment vertical="center"/>
    </xf>
    <xf numFmtId="0" fontId="15" fillId="0" borderId="29" xfId="0" applyFont="1" applyBorder="1" applyAlignment="1">
      <alignment horizontal="center" vertical="center"/>
    </xf>
    <xf numFmtId="179" fontId="7" fillId="8" borderId="25" xfId="0" applyNumberFormat="1" applyFont="1" applyFill="1" applyBorder="1" applyAlignment="1">
      <alignment horizontal="center" vertical="center"/>
    </xf>
    <xf numFmtId="179" fontId="13" fillId="8" borderId="25" xfId="0" applyNumberFormat="1" applyFont="1" applyFill="1" applyBorder="1" applyAlignment="1">
      <alignment horizontal="center" vertical="center"/>
    </xf>
    <xf numFmtId="180" fontId="7" fillId="8" borderId="25" xfId="0" applyNumberFormat="1" applyFont="1" applyFill="1" applyBorder="1" applyAlignment="1">
      <alignment vertical="center"/>
    </xf>
    <xf numFmtId="181" fontId="14" fillId="8" borderId="25" xfId="0" applyNumberFormat="1" applyFont="1" applyFill="1" applyBorder="1" applyAlignment="1">
      <alignment horizontal="center" vertical="center"/>
    </xf>
    <xf numFmtId="181" fontId="7" fillId="8" borderId="25" xfId="0" applyNumberFormat="1" applyFont="1" applyFill="1" applyBorder="1" applyAlignment="1">
      <alignment horizontal="center" vertical="center"/>
    </xf>
    <xf numFmtId="180" fontId="14" fillId="8" borderId="25" xfId="0" applyNumberFormat="1" applyFont="1" applyFill="1" applyBorder="1" applyAlignment="1">
      <alignment vertical="center"/>
    </xf>
    <xf numFmtId="179" fontId="7" fillId="0" borderId="25" xfId="0" applyNumberFormat="1" applyFont="1" applyBorder="1" applyAlignment="1">
      <alignment horizontal="center" vertical="center"/>
    </xf>
    <xf numFmtId="179" fontId="13" fillId="0" borderId="25" xfId="0" quotePrefix="1" applyNumberFormat="1" applyFont="1" applyBorder="1" applyAlignment="1">
      <alignment horizontal="center" vertical="center"/>
    </xf>
    <xf numFmtId="180" fontId="7" fillId="0" borderId="25" xfId="0" applyNumberFormat="1" applyFont="1" applyBorder="1" applyAlignment="1">
      <alignment vertical="center"/>
    </xf>
    <xf numFmtId="179" fontId="13" fillId="0" borderId="25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79" fontId="7" fillId="0" borderId="33" xfId="0" applyNumberFormat="1" applyFont="1" applyBorder="1" applyAlignment="1">
      <alignment vertical="center"/>
    </xf>
    <xf numFmtId="179" fontId="16" fillId="0" borderId="34" xfId="0" applyNumberFormat="1" applyFont="1" applyBorder="1" applyAlignment="1">
      <alignment vertical="center"/>
    </xf>
    <xf numFmtId="179" fontId="17" fillId="0" borderId="34" xfId="0" applyNumberFormat="1" applyFont="1" applyBorder="1" applyAlignment="1">
      <alignment vertical="center"/>
    </xf>
    <xf numFmtId="180" fontId="7" fillId="9" borderId="25" xfId="0" applyNumberFormat="1" applyFont="1" applyFill="1" applyBorder="1" applyAlignment="1">
      <alignment horizontal="center" vertical="center"/>
    </xf>
    <xf numFmtId="180" fontId="7" fillId="9" borderId="25" xfId="0" applyNumberFormat="1" applyFont="1" applyFill="1" applyBorder="1" applyAlignment="1">
      <alignment horizontal="right" vertical="center"/>
    </xf>
    <xf numFmtId="180" fontId="11" fillId="6" borderId="25" xfId="0" applyNumberFormat="1" applyFont="1" applyFill="1" applyBorder="1" applyAlignment="1">
      <alignment vertical="center"/>
    </xf>
    <xf numFmtId="181" fontId="11" fillId="6" borderId="25" xfId="0" applyNumberFormat="1" applyFont="1" applyFill="1" applyBorder="1" applyAlignment="1">
      <alignment horizontal="center" vertical="center"/>
    </xf>
    <xf numFmtId="181" fontId="11" fillId="6" borderId="2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6" xfId="0" applyFont="1" applyBorder="1" applyAlignment="1">
      <alignment vertical="center"/>
    </xf>
    <xf numFmtId="179" fontId="11" fillId="10" borderId="35" xfId="0" applyNumberFormat="1" applyFont="1" applyFill="1" applyBorder="1" applyAlignment="1">
      <alignment horizontal="center" vertical="center" wrapText="1"/>
    </xf>
    <xf numFmtId="179" fontId="11" fillId="10" borderId="35" xfId="0" applyNumberFormat="1" applyFont="1" applyFill="1" applyBorder="1" applyAlignment="1">
      <alignment vertical="center" wrapText="1"/>
    </xf>
    <xf numFmtId="0" fontId="16" fillId="10" borderId="35" xfId="0" applyFont="1" applyFill="1" applyBorder="1" applyAlignment="1">
      <alignment vertical="center"/>
    </xf>
    <xf numFmtId="0" fontId="17" fillId="10" borderId="35" xfId="0" applyFont="1" applyFill="1" applyBorder="1" applyAlignment="1">
      <alignment vertical="center"/>
    </xf>
    <xf numFmtId="180" fontId="16" fillId="10" borderId="35" xfId="0" applyNumberFormat="1" applyFont="1" applyFill="1" applyBorder="1" applyAlignment="1">
      <alignment vertical="center"/>
    </xf>
    <xf numFmtId="0" fontId="16" fillId="6" borderId="35" xfId="0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179" fontId="11" fillId="0" borderId="25" xfId="0" applyNumberFormat="1" applyFont="1" applyBorder="1" applyAlignment="1">
      <alignment vertical="center" wrapText="1"/>
    </xf>
    <xf numFmtId="179" fontId="13" fillId="8" borderId="25" xfId="0" quotePrefix="1" applyNumberFormat="1" applyFont="1" applyFill="1" applyBorder="1" applyAlignment="1">
      <alignment horizontal="center" vertical="center"/>
    </xf>
    <xf numFmtId="181" fontId="14" fillId="0" borderId="25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179" fontId="11" fillId="6" borderId="39" xfId="0" applyNumberFormat="1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right" vertical="center"/>
    </xf>
    <xf numFmtId="182" fontId="10" fillId="6" borderId="25" xfId="0" applyNumberFormat="1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right" vertical="center"/>
    </xf>
    <xf numFmtId="0" fontId="7" fillId="0" borderId="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5" fillId="11" borderId="40" xfId="0" applyFont="1" applyFill="1" applyBorder="1" applyAlignment="1">
      <alignment horizontal="center" vertical="center"/>
    </xf>
    <xf numFmtId="0" fontId="5" fillId="11" borderId="41" xfId="0" applyFont="1" applyFill="1" applyBorder="1" applyAlignment="1">
      <alignment horizontal="center" vertical="center"/>
    </xf>
    <xf numFmtId="181" fontId="11" fillId="0" borderId="40" xfId="0" applyNumberFormat="1" applyFont="1" applyBorder="1" applyAlignment="1">
      <alignment vertical="center"/>
    </xf>
    <xf numFmtId="0" fontId="11" fillId="0" borderId="40" xfId="0" applyFont="1" applyBorder="1" applyAlignment="1">
      <alignment horizontal="center" vertical="center"/>
    </xf>
    <xf numFmtId="181" fontId="11" fillId="0" borderId="40" xfId="0" applyNumberFormat="1" applyFont="1" applyBorder="1" applyAlignment="1">
      <alignment horizontal="right" vertical="center"/>
    </xf>
    <xf numFmtId="0" fontId="20" fillId="13" borderId="24" xfId="0" applyFont="1" applyFill="1" applyBorder="1" applyAlignment="1">
      <alignment horizontal="center" vertical="center"/>
    </xf>
    <xf numFmtId="0" fontId="20" fillId="13" borderId="25" xfId="0" applyFont="1" applyFill="1" applyBorder="1" applyAlignment="1">
      <alignment horizontal="center" vertical="center"/>
    </xf>
    <xf numFmtId="0" fontId="20" fillId="13" borderId="25" xfId="0" applyFont="1" applyFill="1" applyBorder="1" applyAlignment="1">
      <alignment horizontal="center" vertical="center" wrapText="1"/>
    </xf>
    <xf numFmtId="0" fontId="20" fillId="13" borderId="26" xfId="0" applyFont="1" applyFill="1" applyBorder="1" applyAlignment="1">
      <alignment horizontal="center" vertical="center"/>
    </xf>
    <xf numFmtId="179" fontId="7" fillId="7" borderId="25" xfId="0" quotePrefix="1" applyNumberFormat="1" applyFont="1" applyFill="1" applyBorder="1" applyAlignment="1">
      <alignment horizontal="center" vertical="center"/>
    </xf>
    <xf numFmtId="179" fontId="7" fillId="0" borderId="25" xfId="0" quotePrefix="1" applyNumberFormat="1" applyFont="1" applyBorder="1" applyAlignment="1">
      <alignment horizontal="center" vertical="center"/>
    </xf>
    <xf numFmtId="180" fontId="7" fillId="9" borderId="25" xfId="0" applyNumberFormat="1" applyFont="1" applyFill="1" applyBorder="1" applyAlignment="1">
      <alignment horizontal="left" vertical="center"/>
    </xf>
    <xf numFmtId="179" fontId="7" fillId="8" borderId="25" xfId="0" quotePrefix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83" fontId="1" fillId="0" borderId="0" xfId="0" applyNumberFormat="1" applyFont="1" applyAlignment="1">
      <alignment horizontal="left" vertical="center"/>
    </xf>
    <xf numFmtId="0" fontId="20" fillId="11" borderId="40" xfId="0" applyFont="1" applyFill="1" applyBorder="1" applyAlignment="1">
      <alignment vertical="center"/>
    </xf>
    <xf numFmtId="0" fontId="7" fillId="0" borderId="40" xfId="0" applyFont="1" applyBorder="1" applyAlignment="1">
      <alignment vertical="center"/>
    </xf>
    <xf numFmtId="179" fontId="7" fillId="14" borderId="25" xfId="0" applyNumberFormat="1" applyFont="1" applyFill="1" applyBorder="1" applyAlignment="1">
      <alignment horizontal="center" vertical="center"/>
    </xf>
    <xf numFmtId="179" fontId="7" fillId="14" borderId="25" xfId="0" quotePrefix="1" applyNumberFormat="1" applyFont="1" applyFill="1" applyBorder="1" applyAlignment="1">
      <alignment horizontal="center" vertical="center"/>
    </xf>
    <xf numFmtId="180" fontId="7" fillId="14" borderId="25" xfId="0" applyNumberFormat="1" applyFont="1" applyFill="1" applyBorder="1" applyAlignment="1">
      <alignment vertical="center"/>
    </xf>
    <xf numFmtId="181" fontId="7" fillId="14" borderId="25" xfId="0" applyNumberFormat="1" applyFont="1" applyFill="1" applyBorder="1" applyAlignment="1">
      <alignment horizontal="center" vertical="center"/>
    </xf>
    <xf numFmtId="181" fontId="14" fillId="14" borderId="25" xfId="0" applyNumberFormat="1" applyFont="1" applyFill="1" applyBorder="1" applyAlignment="1">
      <alignment horizontal="center" vertical="center"/>
    </xf>
    <xf numFmtId="179" fontId="7" fillId="15" borderId="25" xfId="0" applyNumberFormat="1" applyFont="1" applyFill="1" applyBorder="1" applyAlignment="1">
      <alignment horizontal="center" vertical="center"/>
    </xf>
    <xf numFmtId="179" fontId="7" fillId="15" borderId="25" xfId="0" quotePrefix="1" applyNumberFormat="1" applyFont="1" applyFill="1" applyBorder="1" applyAlignment="1">
      <alignment horizontal="center" vertical="center"/>
    </xf>
    <xf numFmtId="180" fontId="7" fillId="15" borderId="25" xfId="0" applyNumberFormat="1" applyFont="1" applyFill="1" applyBorder="1" applyAlignment="1">
      <alignment vertical="center"/>
    </xf>
    <xf numFmtId="181" fontId="7" fillId="15" borderId="25" xfId="0" applyNumberFormat="1" applyFont="1" applyFill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81" fontId="7" fillId="18" borderId="25" xfId="0" applyNumberFormat="1" applyFont="1" applyFill="1" applyBorder="1" applyAlignment="1">
      <alignment horizontal="center" vertical="center"/>
    </xf>
    <xf numFmtId="181" fontId="7" fillId="19" borderId="25" xfId="0" applyNumberFormat="1" applyFont="1" applyFill="1" applyBorder="1" applyAlignment="1">
      <alignment horizontal="center" vertical="center"/>
    </xf>
    <xf numFmtId="181" fontId="23" fillId="8" borderId="25" xfId="0" applyNumberFormat="1" applyFont="1" applyFill="1" applyBorder="1" applyAlignment="1">
      <alignment horizontal="center" vertical="center"/>
    </xf>
    <xf numFmtId="181" fontId="23" fillId="7" borderId="25" xfId="0" applyNumberFormat="1" applyFont="1" applyFill="1" applyBorder="1" applyAlignment="1">
      <alignment horizontal="center" vertical="center"/>
    </xf>
    <xf numFmtId="181" fontId="23" fillId="14" borderId="25" xfId="0" applyNumberFormat="1" applyFont="1" applyFill="1" applyBorder="1" applyAlignment="1">
      <alignment horizontal="center" vertical="center"/>
    </xf>
    <xf numFmtId="181" fontId="7" fillId="20" borderId="25" xfId="0" applyNumberFormat="1" applyFont="1" applyFill="1" applyBorder="1" applyAlignment="1">
      <alignment horizontal="center" vertical="center"/>
    </xf>
    <xf numFmtId="179" fontId="7" fillId="21" borderId="25" xfId="0" applyNumberFormat="1" applyFont="1" applyFill="1" applyBorder="1" applyAlignment="1">
      <alignment horizontal="center" vertical="center"/>
    </xf>
    <xf numFmtId="180" fontId="7" fillId="21" borderId="25" xfId="0" applyNumberFormat="1" applyFont="1" applyFill="1" applyBorder="1" applyAlignment="1">
      <alignment vertical="center"/>
    </xf>
    <xf numFmtId="181" fontId="7" fillId="21" borderId="25" xfId="0" applyNumberFormat="1" applyFont="1" applyFill="1" applyBorder="1" applyAlignment="1">
      <alignment horizontal="center" vertical="center"/>
    </xf>
    <xf numFmtId="179" fontId="7" fillId="21" borderId="25" xfId="0" quotePrefix="1" applyNumberFormat="1" applyFont="1" applyFill="1" applyBorder="1" applyAlignment="1">
      <alignment horizontal="center" vertical="center"/>
    </xf>
    <xf numFmtId="181" fontId="23" fillId="21" borderId="25" xfId="0" applyNumberFormat="1" applyFont="1" applyFill="1" applyBorder="1" applyAlignment="1">
      <alignment horizontal="center" vertical="center"/>
    </xf>
    <xf numFmtId="181" fontId="14" fillId="21" borderId="25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179" fontId="14" fillId="7" borderId="25" xfId="0" applyNumberFormat="1" applyFont="1" applyFill="1" applyBorder="1" applyAlignment="1">
      <alignment horizontal="center" vertical="center"/>
    </xf>
    <xf numFmtId="179" fontId="14" fillId="0" borderId="25" xfId="0" applyNumberFormat="1" applyFont="1" applyBorder="1" applyAlignment="1">
      <alignment horizontal="center" vertical="center"/>
    </xf>
    <xf numFmtId="179" fontId="14" fillId="14" borderId="25" xfId="0" applyNumberFormat="1" applyFont="1" applyFill="1" applyBorder="1" applyAlignment="1">
      <alignment horizontal="center" vertical="center"/>
    </xf>
    <xf numFmtId="181" fontId="7" fillId="23" borderId="25" xfId="0" applyNumberFormat="1" applyFont="1" applyFill="1" applyBorder="1" applyAlignment="1">
      <alignment horizontal="center" vertical="center"/>
    </xf>
    <xf numFmtId="179" fontId="7" fillId="20" borderId="25" xfId="0" applyNumberFormat="1" applyFont="1" applyFill="1" applyBorder="1" applyAlignment="1">
      <alignment horizontal="center" vertical="center"/>
    </xf>
    <xf numFmtId="179" fontId="7" fillId="20" borderId="25" xfId="0" quotePrefix="1" applyNumberFormat="1" applyFont="1" applyFill="1" applyBorder="1" applyAlignment="1">
      <alignment horizontal="center" vertical="center"/>
    </xf>
    <xf numFmtId="180" fontId="7" fillId="20" borderId="25" xfId="0" applyNumberFormat="1" applyFont="1" applyFill="1" applyBorder="1" applyAlignment="1">
      <alignment vertical="center"/>
    </xf>
    <xf numFmtId="179" fontId="7" fillId="24" borderId="25" xfId="0" applyNumberFormat="1" applyFont="1" applyFill="1" applyBorder="1" applyAlignment="1">
      <alignment horizontal="center" vertical="center"/>
    </xf>
    <xf numFmtId="179" fontId="7" fillId="24" borderId="25" xfId="0" quotePrefix="1" applyNumberFormat="1" applyFont="1" applyFill="1" applyBorder="1" applyAlignment="1">
      <alignment horizontal="center" vertical="center"/>
    </xf>
    <xf numFmtId="180" fontId="7" fillId="24" borderId="25" xfId="0" applyNumberFormat="1" applyFont="1" applyFill="1" applyBorder="1" applyAlignment="1">
      <alignment vertical="center"/>
    </xf>
    <xf numFmtId="181" fontId="7" fillId="24" borderId="25" xfId="0" applyNumberFormat="1" applyFont="1" applyFill="1" applyBorder="1" applyAlignment="1">
      <alignment horizontal="center" vertical="center"/>
    </xf>
    <xf numFmtId="181" fontId="7" fillId="25" borderId="25" xfId="0" applyNumberFormat="1" applyFont="1" applyFill="1" applyBorder="1" applyAlignment="1">
      <alignment horizontal="center" vertical="center"/>
    </xf>
    <xf numFmtId="181" fontId="14" fillId="25" borderId="25" xfId="0" applyNumberFormat="1" applyFont="1" applyFill="1" applyBorder="1" applyAlignment="1">
      <alignment horizontal="center" vertical="center"/>
    </xf>
    <xf numFmtId="181" fontId="7" fillId="26" borderId="25" xfId="0" applyNumberFormat="1" applyFont="1" applyFill="1" applyBorder="1" applyAlignment="1">
      <alignment horizontal="center" vertical="center"/>
    </xf>
    <xf numFmtId="181" fontId="7" fillId="27" borderId="25" xfId="0" applyNumberFormat="1" applyFont="1" applyFill="1" applyBorder="1" applyAlignment="1">
      <alignment horizontal="center" vertical="center"/>
    </xf>
    <xf numFmtId="181" fontId="7" fillId="22" borderId="25" xfId="0" applyNumberFormat="1" applyFont="1" applyFill="1" applyBorder="1" applyAlignment="1">
      <alignment horizontal="center" vertical="center"/>
    </xf>
    <xf numFmtId="181" fontId="7" fillId="28" borderId="25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0" xfId="0" applyFont="1" applyBorder="1" applyAlignment="1">
      <alignment vertical="center"/>
    </xf>
    <xf numFmtId="0" fontId="1" fillId="17" borderId="12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vertical="center"/>
    </xf>
    <xf numFmtId="0" fontId="3" fillId="16" borderId="19" xfId="0" applyFont="1" applyFill="1" applyBorder="1" applyAlignment="1">
      <alignment vertical="center"/>
    </xf>
    <xf numFmtId="0" fontId="3" fillId="16" borderId="12" xfId="0" applyFont="1" applyFill="1" applyBorder="1" applyAlignment="1">
      <alignment horizontal="center" vertical="center"/>
    </xf>
    <xf numFmtId="0" fontId="3" fillId="16" borderId="15" xfId="0" applyFont="1" applyFill="1" applyBorder="1" applyAlignment="1">
      <alignment horizontal="center" vertical="center"/>
    </xf>
    <xf numFmtId="0" fontId="3" fillId="16" borderId="19" xfId="0" applyFont="1" applyFill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181" fontId="11" fillId="0" borderId="44" xfId="0" applyNumberFormat="1" applyFont="1" applyBorder="1" applyAlignment="1">
      <alignment horizontal="right" vertical="center"/>
    </xf>
    <xf numFmtId="0" fontId="1" fillId="0" borderId="42" xfId="0" applyFont="1" applyBorder="1" applyAlignment="1">
      <alignment horizontal="center" vertical="center"/>
    </xf>
    <xf numFmtId="0" fontId="3" fillId="0" borderId="47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179" fontId="11" fillId="0" borderId="30" xfId="0" applyNumberFormat="1" applyFont="1" applyBorder="1" applyAlignment="1">
      <alignment vertical="center" wrapText="1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79" fontId="11" fillId="0" borderId="28" xfId="0" applyNumberFormat="1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179" fontId="11" fillId="6" borderId="36" xfId="0" applyNumberFormat="1" applyFont="1" applyFill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5" fillId="11" borderId="42" xfId="0" applyFont="1" applyFill="1" applyBorder="1" applyAlignment="1">
      <alignment vertical="center"/>
    </xf>
    <xf numFmtId="0" fontId="5" fillId="12" borderId="42" xfId="0" applyFont="1" applyFill="1" applyBorder="1" applyAlignment="1">
      <alignment vertical="center"/>
    </xf>
    <xf numFmtId="177" fontId="8" fillId="2" borderId="20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178" fontId="9" fillId="0" borderId="5" xfId="0" applyNumberFormat="1" applyFont="1" applyBorder="1" applyAlignment="1">
      <alignment horizontal="left" vertical="top" wrapText="1"/>
    </xf>
    <xf numFmtId="0" fontId="7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10" fillId="12" borderId="42" xfId="0" applyFont="1" applyFill="1" applyBorder="1" applyAlignment="1">
      <alignment vertical="center"/>
    </xf>
    <xf numFmtId="0" fontId="10" fillId="11" borderId="42" xfId="0" applyFont="1" applyFill="1" applyBorder="1" applyAlignment="1">
      <alignment vertical="center"/>
    </xf>
    <xf numFmtId="178" fontId="19" fillId="0" borderId="5" xfId="0" applyNumberFormat="1" applyFont="1" applyBorder="1" applyAlignment="1">
      <alignment horizontal="left" vertical="top" wrapText="1"/>
    </xf>
    <xf numFmtId="179" fontId="11" fillId="0" borderId="28" xfId="0" applyNumberFormat="1" applyFont="1" applyBorder="1" applyAlignment="1">
      <alignment horizontal="center" vertical="center" wrapText="1"/>
    </xf>
    <xf numFmtId="179" fontId="11" fillId="0" borderId="38" xfId="0" applyNumberFormat="1" applyFont="1" applyBorder="1" applyAlignment="1">
      <alignment horizontal="center" vertical="center" wrapText="1"/>
    </xf>
    <xf numFmtId="179" fontId="11" fillId="0" borderId="32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0" fillId="20" borderId="48" xfId="0" applyFill="1" applyBorder="1" applyAlignment="1">
      <alignment horizontal="center" vertical="center"/>
    </xf>
    <xf numFmtId="0" fontId="0" fillId="20" borderId="49" xfId="0" applyFill="1" applyBorder="1" applyAlignment="1">
      <alignment vertical="center"/>
    </xf>
    <xf numFmtId="0" fontId="0" fillId="20" borderId="50" xfId="0" applyFill="1" applyBorder="1" applyAlignment="1">
      <alignment horizontal="center" vertical="center"/>
    </xf>
    <xf numFmtId="0" fontId="0" fillId="20" borderId="51" xfId="0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vertical="center"/>
    </xf>
    <xf numFmtId="0" fontId="0" fillId="29" borderId="49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ECFF"/>
      <color rgb="FF9A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561975</xdr:colOff>
      <xdr:row>3</xdr:row>
      <xdr:rowOff>419100</xdr:rowOff>
    </xdr:from>
    <xdr:ext cx="1076325" cy="295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943100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 rot="-5400000">
          <a:off x="5188838" y="2817975"/>
          <a:ext cx="314325" cy="19240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18</xdr:col>
      <xdr:colOff>76200</xdr:colOff>
      <xdr:row>3</xdr:row>
      <xdr:rowOff>714375</xdr:rowOff>
    </xdr:from>
    <xdr:ext cx="2571750" cy="2857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-5400000">
          <a:off x="5212650" y="2503650"/>
          <a:ext cx="266700" cy="25527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419100</xdr:colOff>
      <xdr:row>3</xdr:row>
      <xdr:rowOff>438150</xdr:rowOff>
    </xdr:from>
    <xdr:ext cx="676275" cy="2952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637BC4A-815B-714F-AEFC-59FDD1CC9A5F}"/>
            </a:ext>
          </a:extLst>
        </xdr:cNvPr>
        <xdr:cNvSpPr/>
      </xdr:nvSpPr>
      <xdr:spPr>
        <a:xfrm rot="-5400000">
          <a:off x="8655580" y="949852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452438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5F4E91C5-52C9-D246-B78A-7BB70E6B300E}"/>
            </a:ext>
          </a:extLst>
        </xdr:cNvPr>
        <xdr:cNvSpPr txBox="1"/>
      </xdr:nvSpPr>
      <xdr:spPr>
        <a:xfrm>
          <a:off x="10290705" y="1293283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93B237AB-FB05-CE4A-976E-8072BE6B7E29}"/>
            </a:ext>
          </a:extLst>
        </xdr:cNvPr>
        <xdr:cNvSpPr txBox="1"/>
      </xdr:nvSpPr>
      <xdr:spPr>
        <a:xfrm>
          <a:off x="8136464" y="1097182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723899</xdr:rowOff>
    </xdr:from>
    <xdr:ext cx="2421465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8010EDCB-7C99-9E43-BC67-B6A877A71393}"/>
            </a:ext>
          </a:extLst>
        </xdr:cNvPr>
        <xdr:cNvSpPr/>
      </xdr:nvSpPr>
      <xdr:spPr>
        <a:xfrm rot="-5400000">
          <a:off x="10662180" y="509587"/>
          <a:ext cx="333375" cy="2421465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2A094B2D-BAFF-9840-90AB-71D8CE930C96}"/>
            </a:ext>
          </a:extLst>
        </xdr:cNvPr>
        <xdr:cNvSpPr/>
      </xdr:nvSpPr>
      <xdr:spPr>
        <a:xfrm rot="-5400000">
          <a:off x="17616487" y="1444096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42D68BD3-295E-A54E-A8FA-4AD9E7C8D5DE}"/>
            </a:ext>
          </a:extLst>
        </xdr:cNvPr>
        <xdr:cNvSpPr txBox="1"/>
      </xdr:nvSpPr>
      <xdr:spPr>
        <a:xfrm>
          <a:off x="17305867" y="1267883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BC361CFB-5ECA-5048-B5C0-ACC8488104A8}"/>
            </a:ext>
          </a:extLst>
        </xdr:cNvPr>
        <xdr:cNvSpPr/>
      </xdr:nvSpPr>
      <xdr:spPr>
        <a:xfrm rot="-5400000">
          <a:off x="15998825" y="791634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C83685A3-9647-A242-A99C-F2FB69A01CAF}"/>
            </a:ext>
          </a:extLst>
        </xdr:cNvPr>
        <xdr:cNvSpPr txBox="1"/>
      </xdr:nvSpPr>
      <xdr:spPr>
        <a:xfrm>
          <a:off x="15290800" y="1271324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17</xdr:col>
      <xdr:colOff>736603</xdr:colOff>
      <xdr:row>3</xdr:row>
      <xdr:rowOff>781050</xdr:rowOff>
    </xdr:from>
    <xdr:ext cx="2568572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8C138C9B-676C-9847-BFC7-EB85D32624C8}"/>
            </a:ext>
          </a:extLst>
        </xdr:cNvPr>
        <xdr:cNvSpPr/>
      </xdr:nvSpPr>
      <xdr:spPr>
        <a:xfrm rot="-5400000">
          <a:off x="13228109" y="464610"/>
          <a:ext cx="276225" cy="2568572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606425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4C98EFB9-81E5-4440-B447-71670BE621A9}"/>
            </a:ext>
          </a:extLst>
        </xdr:cNvPr>
        <xdr:cNvSpPr txBox="1"/>
      </xdr:nvSpPr>
      <xdr:spPr>
        <a:xfrm>
          <a:off x="12705292" y="1271324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04EBA63C-6B9E-2E4C-AA60-2B06C0C64DE1}"/>
            </a:ext>
          </a:extLst>
        </xdr:cNvPr>
        <xdr:cNvSpPr txBox="1"/>
      </xdr:nvSpPr>
      <xdr:spPr>
        <a:xfrm>
          <a:off x="6731002" y="1097182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BCA07D50-8301-D04A-B808-4B882CBF486C}"/>
            </a:ext>
          </a:extLst>
        </xdr:cNvPr>
        <xdr:cNvSpPr/>
      </xdr:nvSpPr>
      <xdr:spPr>
        <a:xfrm rot="-5400000">
          <a:off x="7267048" y="1153055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F96A5C9-A56C-1449-93DF-8978914D0A5E}"/>
            </a:ext>
          </a:extLst>
        </xdr:cNvPr>
        <xdr:cNvSpPr/>
      </xdr:nvSpPr>
      <xdr:spPr>
        <a:xfrm rot="-5400000">
          <a:off x="8621713" y="945619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714905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ADB50562-C90F-E34F-A6D5-1EFB837270A8}"/>
            </a:ext>
          </a:extLst>
        </xdr:cNvPr>
        <xdr:cNvSpPr txBox="1"/>
      </xdr:nvSpPr>
      <xdr:spPr>
        <a:xfrm>
          <a:off x="10553172" y="1293283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307AEDE5-05ED-8948-A7D5-A0E6C5B138C7}"/>
            </a:ext>
          </a:extLst>
        </xdr:cNvPr>
        <xdr:cNvSpPr txBox="1"/>
      </xdr:nvSpPr>
      <xdr:spPr>
        <a:xfrm>
          <a:off x="8102597" y="1092949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723898</xdr:rowOff>
    </xdr:from>
    <xdr:ext cx="3149598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37454D78-50E2-FF4A-BD1A-0AB2895467D2}"/>
            </a:ext>
          </a:extLst>
        </xdr:cNvPr>
        <xdr:cNvSpPr/>
      </xdr:nvSpPr>
      <xdr:spPr>
        <a:xfrm rot="-5400000">
          <a:off x="11026246" y="145520"/>
          <a:ext cx="333375" cy="3149598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3C0F88DA-35A0-1240-975C-86B2905CABE2}"/>
            </a:ext>
          </a:extLst>
        </xdr:cNvPr>
        <xdr:cNvSpPr/>
      </xdr:nvSpPr>
      <xdr:spPr>
        <a:xfrm rot="-5400000">
          <a:off x="17527587" y="1439863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009AFD44-356D-0D42-B534-6D6704653A36}"/>
            </a:ext>
          </a:extLst>
        </xdr:cNvPr>
        <xdr:cNvSpPr txBox="1"/>
      </xdr:nvSpPr>
      <xdr:spPr>
        <a:xfrm>
          <a:off x="17221200" y="1263650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9DB2E021-73CB-2545-80E0-19B94BA46B70}"/>
            </a:ext>
          </a:extLst>
        </xdr:cNvPr>
        <xdr:cNvSpPr/>
      </xdr:nvSpPr>
      <xdr:spPr>
        <a:xfrm rot="-5400000">
          <a:off x="15922625" y="787401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3C8FDA43-A08B-6244-8EC7-8E7B1795B215}"/>
            </a:ext>
          </a:extLst>
        </xdr:cNvPr>
        <xdr:cNvSpPr txBox="1"/>
      </xdr:nvSpPr>
      <xdr:spPr>
        <a:xfrm>
          <a:off x="15214600" y="1267091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18</xdr:col>
      <xdr:colOff>728135</xdr:colOff>
      <xdr:row>3</xdr:row>
      <xdr:rowOff>781050</xdr:rowOff>
    </xdr:from>
    <xdr:ext cx="1823505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09E72F8D-7F4F-6B4E-B5CC-74D4EFE50EFB}"/>
            </a:ext>
          </a:extLst>
        </xdr:cNvPr>
        <xdr:cNvSpPr/>
      </xdr:nvSpPr>
      <xdr:spPr>
        <a:xfrm rot="-5400000">
          <a:off x="13600642" y="837143"/>
          <a:ext cx="276225" cy="1823505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115359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B238D88E-8A18-9E46-A620-66E80BEA7679}"/>
            </a:ext>
          </a:extLst>
        </xdr:cNvPr>
        <xdr:cNvSpPr txBox="1"/>
      </xdr:nvSpPr>
      <xdr:spPr>
        <a:xfrm>
          <a:off x="12967759" y="1271324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2ECAC685-796E-B54B-92A6-EBA91139085A}"/>
            </a:ext>
          </a:extLst>
        </xdr:cNvPr>
        <xdr:cNvSpPr txBox="1"/>
      </xdr:nvSpPr>
      <xdr:spPr>
        <a:xfrm>
          <a:off x="6705602" y="1092949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9FC4E0F5-BEFF-C040-B24B-A0B7A794F8A4}"/>
            </a:ext>
          </a:extLst>
        </xdr:cNvPr>
        <xdr:cNvSpPr/>
      </xdr:nvSpPr>
      <xdr:spPr>
        <a:xfrm rot="-5400000">
          <a:off x="7237415" y="1148822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AE35CBF-D362-6343-9F98-2BD33053240B}"/>
            </a:ext>
          </a:extLst>
        </xdr:cNvPr>
        <xdr:cNvSpPr/>
      </xdr:nvSpPr>
      <xdr:spPr>
        <a:xfrm rot="-5400000">
          <a:off x="8621713" y="945619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714905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98838953-9F5C-F140-949F-8A564BFBA3D3}"/>
            </a:ext>
          </a:extLst>
        </xdr:cNvPr>
        <xdr:cNvSpPr txBox="1"/>
      </xdr:nvSpPr>
      <xdr:spPr>
        <a:xfrm>
          <a:off x="10506605" y="1289050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A4F7BB1C-F510-5341-8AD6-E60B2E0ACD6D}"/>
            </a:ext>
          </a:extLst>
        </xdr:cNvPr>
        <xdr:cNvSpPr txBox="1"/>
      </xdr:nvSpPr>
      <xdr:spPr>
        <a:xfrm>
          <a:off x="8102597" y="1092949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723898</xdr:rowOff>
    </xdr:from>
    <xdr:ext cx="3149598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91777E5D-E4F9-264F-8EE5-F6D98C589576}"/>
            </a:ext>
          </a:extLst>
        </xdr:cNvPr>
        <xdr:cNvSpPr/>
      </xdr:nvSpPr>
      <xdr:spPr>
        <a:xfrm rot="-5400000">
          <a:off x="10983913" y="141287"/>
          <a:ext cx="333375" cy="3149598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98999AA0-5BBC-9040-8DF4-8DF8D1B2CDEC}"/>
            </a:ext>
          </a:extLst>
        </xdr:cNvPr>
        <xdr:cNvSpPr/>
      </xdr:nvSpPr>
      <xdr:spPr>
        <a:xfrm rot="-5400000">
          <a:off x="17527587" y="1439863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AF0FB38C-E37D-F640-A8B2-CA20753AA588}"/>
            </a:ext>
          </a:extLst>
        </xdr:cNvPr>
        <xdr:cNvSpPr txBox="1"/>
      </xdr:nvSpPr>
      <xdr:spPr>
        <a:xfrm>
          <a:off x="17221200" y="1263650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F658319F-9D3C-0C4E-9F15-EB586B5DF64E}"/>
            </a:ext>
          </a:extLst>
        </xdr:cNvPr>
        <xdr:cNvSpPr/>
      </xdr:nvSpPr>
      <xdr:spPr>
        <a:xfrm rot="-5400000">
          <a:off x="15922625" y="787401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C7D9B96B-2272-EA42-99F9-759638D235B1}"/>
            </a:ext>
          </a:extLst>
        </xdr:cNvPr>
        <xdr:cNvSpPr txBox="1"/>
      </xdr:nvSpPr>
      <xdr:spPr>
        <a:xfrm>
          <a:off x="15214600" y="1267091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18</xdr:col>
      <xdr:colOff>728135</xdr:colOff>
      <xdr:row>3</xdr:row>
      <xdr:rowOff>781050</xdr:rowOff>
    </xdr:from>
    <xdr:ext cx="1823505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F2F035E1-71A5-B445-AF22-2AA66BF9FDF8}"/>
            </a:ext>
          </a:extLst>
        </xdr:cNvPr>
        <xdr:cNvSpPr/>
      </xdr:nvSpPr>
      <xdr:spPr>
        <a:xfrm rot="-5400000">
          <a:off x="13541375" y="832910"/>
          <a:ext cx="276225" cy="1823505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115359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65FDF32C-E3C4-8343-9B90-F45A3EC1CA43}"/>
            </a:ext>
          </a:extLst>
        </xdr:cNvPr>
        <xdr:cNvSpPr txBox="1"/>
      </xdr:nvSpPr>
      <xdr:spPr>
        <a:xfrm>
          <a:off x="12904259" y="1267091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81B57EAD-A3F1-2D46-9814-DB6C5C6602A1}"/>
            </a:ext>
          </a:extLst>
        </xdr:cNvPr>
        <xdr:cNvSpPr txBox="1"/>
      </xdr:nvSpPr>
      <xdr:spPr>
        <a:xfrm>
          <a:off x="6705602" y="1092949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16732A6A-88AB-AA45-A91E-59EE6891B2B3}"/>
            </a:ext>
          </a:extLst>
        </xdr:cNvPr>
        <xdr:cNvSpPr/>
      </xdr:nvSpPr>
      <xdr:spPr>
        <a:xfrm rot="-5400000">
          <a:off x="7237415" y="1148822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A2BAB71-F516-654F-8103-16A33C900011}"/>
            </a:ext>
          </a:extLst>
        </xdr:cNvPr>
        <xdr:cNvSpPr/>
      </xdr:nvSpPr>
      <xdr:spPr>
        <a:xfrm rot="-5400000">
          <a:off x="8621713" y="945619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714905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5940D637-E345-3A47-9E80-343C2E6BD324}"/>
            </a:ext>
          </a:extLst>
        </xdr:cNvPr>
        <xdr:cNvSpPr txBox="1"/>
      </xdr:nvSpPr>
      <xdr:spPr>
        <a:xfrm>
          <a:off x="10506605" y="1289050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8B1EB628-A32B-B74B-95B7-6E54760A58EC}"/>
            </a:ext>
          </a:extLst>
        </xdr:cNvPr>
        <xdr:cNvSpPr txBox="1"/>
      </xdr:nvSpPr>
      <xdr:spPr>
        <a:xfrm>
          <a:off x="8102597" y="1092949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723898</xdr:rowOff>
    </xdr:from>
    <xdr:ext cx="3149598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6E1908D7-2C15-8E47-90FE-9C4FD35E96A7}"/>
            </a:ext>
          </a:extLst>
        </xdr:cNvPr>
        <xdr:cNvSpPr/>
      </xdr:nvSpPr>
      <xdr:spPr>
        <a:xfrm rot="-5400000">
          <a:off x="10983913" y="141287"/>
          <a:ext cx="333375" cy="3149598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A4127FD2-58B1-CC41-87D3-10A72CEC6ABD}"/>
            </a:ext>
          </a:extLst>
        </xdr:cNvPr>
        <xdr:cNvSpPr/>
      </xdr:nvSpPr>
      <xdr:spPr>
        <a:xfrm rot="-5400000">
          <a:off x="17527587" y="1439863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BEB7CE78-1943-A64C-83B7-4AF840086A9D}"/>
            </a:ext>
          </a:extLst>
        </xdr:cNvPr>
        <xdr:cNvSpPr txBox="1"/>
      </xdr:nvSpPr>
      <xdr:spPr>
        <a:xfrm>
          <a:off x="17221200" y="1263650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4653485E-3C07-5740-8684-0AAF064B2673}"/>
            </a:ext>
          </a:extLst>
        </xdr:cNvPr>
        <xdr:cNvSpPr/>
      </xdr:nvSpPr>
      <xdr:spPr>
        <a:xfrm rot="-5400000">
          <a:off x="15922625" y="787401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D9615629-4E0E-4F4C-A7CA-7689B2E1CBC4}"/>
            </a:ext>
          </a:extLst>
        </xdr:cNvPr>
        <xdr:cNvSpPr txBox="1"/>
      </xdr:nvSpPr>
      <xdr:spPr>
        <a:xfrm>
          <a:off x="15214600" y="1267091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18</xdr:col>
      <xdr:colOff>728135</xdr:colOff>
      <xdr:row>3</xdr:row>
      <xdr:rowOff>781049</xdr:rowOff>
    </xdr:from>
    <xdr:ext cx="2283579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E10C3F2C-BD9A-6A4D-8FD9-2D79C4AC5524}"/>
            </a:ext>
          </a:extLst>
        </xdr:cNvPr>
        <xdr:cNvSpPr/>
      </xdr:nvSpPr>
      <xdr:spPr>
        <a:xfrm rot="-5400000">
          <a:off x="13796812" y="593801"/>
          <a:ext cx="276225" cy="2283579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450996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E2BB6C38-3A6F-5447-80ED-5A77A2FC05BB}"/>
            </a:ext>
          </a:extLst>
        </xdr:cNvPr>
        <xdr:cNvSpPr txBox="1"/>
      </xdr:nvSpPr>
      <xdr:spPr>
        <a:xfrm>
          <a:off x="13268925" y="1258020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C5D8DC8D-B3E4-5045-83B0-B405CC28233C}"/>
            </a:ext>
          </a:extLst>
        </xdr:cNvPr>
        <xdr:cNvSpPr txBox="1"/>
      </xdr:nvSpPr>
      <xdr:spPr>
        <a:xfrm>
          <a:off x="6705602" y="1092949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E2A00D56-2FB6-A54B-99DC-546D4F58FF30}"/>
            </a:ext>
          </a:extLst>
        </xdr:cNvPr>
        <xdr:cNvSpPr/>
      </xdr:nvSpPr>
      <xdr:spPr>
        <a:xfrm rot="-5400000">
          <a:off x="7237415" y="1148822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&#52572;&#49849;&#51068;/Desktop/work_240122/241017_&#54788;&#45824;&#48177;&#54868;&#51216;_&#51228;&#50504;/@&#44204;&#51201;&#49436;/250102_&#49688;&#51221;&#48260;&#51204;/&#45908;&#54788;&#45824;&#45815;&#52980;%20NEW%20&#52964;&#47672;&#49828;%20&#54540;&#47019;&#54268;%20&#44396;&#52629;%20&#44204;&#51201;&#49436;_V0.4_250102_&#48148;&#51060;&#45328;&#50472;(&#51064;&#47141;&#48324;&#48516;&#47532;)_2501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_인건비"/>
      <sheetName val="3_인건비외"/>
      <sheetName val="1_총견적"/>
      <sheetName val="2_투입계획"/>
      <sheetName val="기준"/>
      <sheetName val="개정내역"/>
    </sheetNames>
    <sheetDataSet>
      <sheetData sheetId="0"/>
      <sheetData sheetId="1"/>
      <sheetData sheetId="2"/>
      <sheetData sheetId="3"/>
      <sheetData sheetId="4">
        <row r="28">
          <cell r="B28" t="str">
            <v>임금조사연도</v>
          </cell>
        </row>
        <row r="29">
          <cell r="B29" t="str">
            <v>인상율</v>
          </cell>
        </row>
        <row r="30">
          <cell r="B30" t="str">
            <v>기술사</v>
          </cell>
        </row>
        <row r="31">
          <cell r="B31" t="str">
            <v>특급</v>
          </cell>
        </row>
        <row r="32">
          <cell r="B32" t="str">
            <v>고급</v>
          </cell>
        </row>
        <row r="33">
          <cell r="B33" t="str">
            <v>중급</v>
          </cell>
        </row>
        <row r="34">
          <cell r="B34" t="str">
            <v>초급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zoomScale="160" zoomScaleNormal="160" workbookViewId="0">
      <selection activeCell="M17" sqref="M17"/>
    </sheetView>
  </sheetViews>
  <sheetFormatPr baseColWidth="10" defaultColWidth="14.5" defaultRowHeight="15" customHeight="1" x14ac:dyDescent="0.2"/>
  <cols>
    <col min="1" max="2" width="10.83203125" customWidth="1"/>
    <col min="3" max="3" width="5.5" customWidth="1"/>
    <col min="4" max="5" width="10.83203125" customWidth="1"/>
    <col min="6" max="6" width="5.83203125" customWidth="1"/>
    <col min="7" max="7" width="10.83203125" customWidth="1"/>
    <col min="8" max="27" width="10.6640625" customWidth="1"/>
  </cols>
  <sheetData>
    <row r="1" spans="1:27" ht="16.5" customHeight="1" x14ac:dyDescent="0.2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customHeight="1" thickBot="1" x14ac:dyDescent="0.25">
      <c r="A2" s="3" t="s">
        <v>0</v>
      </c>
      <c r="B2" s="1"/>
      <c r="C2" s="4"/>
      <c r="D2" s="5"/>
      <c r="E2" s="5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7" customHeight="1" x14ac:dyDescent="0.2">
      <c r="A3" s="151" t="s">
        <v>1</v>
      </c>
      <c r="B3" s="152"/>
      <c r="C3" s="6"/>
      <c r="D3" s="151" t="s">
        <v>2</v>
      </c>
      <c r="E3" s="157"/>
      <c r="F3" s="157"/>
      <c r="G3" s="157"/>
      <c r="H3" s="15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7" customHeight="1" x14ac:dyDescent="0.2">
      <c r="A4" s="153"/>
      <c r="B4" s="154"/>
      <c r="C4" s="6"/>
      <c r="D4" s="153"/>
      <c r="E4" s="158"/>
      <c r="F4" s="158"/>
      <c r="G4" s="158"/>
      <c r="H4" s="1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7.75" customHeight="1" thickBot="1" x14ac:dyDescent="0.25">
      <c r="A5" s="155"/>
      <c r="B5" s="156"/>
      <c r="C5" s="6"/>
      <c r="D5" s="155"/>
      <c r="E5" s="159"/>
      <c r="F5" s="159"/>
      <c r="G5" s="159"/>
      <c r="H5" s="15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thickBot="1" x14ac:dyDescent="0.25">
      <c r="A6" s="1"/>
      <c r="B6" s="1"/>
      <c r="C6" s="7"/>
      <c r="D6" s="8"/>
      <c r="E6" s="8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 thickBot="1" x14ac:dyDescent="0.25">
      <c r="A7" s="160"/>
      <c r="B7" s="9" t="s">
        <v>14</v>
      </c>
      <c r="C7" s="2"/>
      <c r="D7" s="9" t="s">
        <v>18</v>
      </c>
      <c r="E7" s="10" t="s">
        <v>5</v>
      </c>
      <c r="F7" s="11"/>
      <c r="G7" s="9" t="s">
        <v>85</v>
      </c>
      <c r="H7" s="9" t="s">
        <v>86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customHeight="1" x14ac:dyDescent="0.2">
      <c r="A8" s="161"/>
      <c r="B8" s="18">
        <v>417</v>
      </c>
      <c r="C8" s="2"/>
      <c r="D8" s="18">
        <v>1020</v>
      </c>
      <c r="E8" s="12">
        <v>415</v>
      </c>
      <c r="F8" s="13"/>
      <c r="G8" s="12">
        <v>383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thickBot="1" x14ac:dyDescent="0.25">
      <c r="A9" s="161"/>
      <c r="B9" s="14">
        <v>45748</v>
      </c>
      <c r="C9" s="2"/>
      <c r="D9" s="14">
        <v>45748</v>
      </c>
      <c r="E9" s="14">
        <v>45726</v>
      </c>
      <c r="F9" s="15"/>
      <c r="G9" s="14">
        <v>45695</v>
      </c>
      <c r="H9" s="14">
        <v>45824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 customHeight="1" thickBot="1" x14ac:dyDescent="0.25">
      <c r="A10" s="161"/>
      <c r="B10" s="9" t="s">
        <v>7</v>
      </c>
      <c r="C10" s="2"/>
      <c r="D10" s="9" t="s">
        <v>8</v>
      </c>
      <c r="E10" s="10" t="s">
        <v>9</v>
      </c>
      <c r="F10" s="11"/>
      <c r="G10" s="10" t="s">
        <v>6</v>
      </c>
      <c r="H10" s="9" t="s">
        <v>87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 customHeight="1" x14ac:dyDescent="0.2">
      <c r="A11" s="161"/>
      <c r="B11" s="12">
        <v>346</v>
      </c>
      <c r="C11" s="2"/>
      <c r="D11" s="12">
        <v>58</v>
      </c>
      <c r="E11" s="12">
        <v>711</v>
      </c>
      <c r="F11" s="16"/>
      <c r="G11" s="12">
        <v>51</v>
      </c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customHeight="1" thickBot="1" x14ac:dyDescent="0.25">
      <c r="A12" s="161"/>
      <c r="B12" s="14">
        <v>45691</v>
      </c>
      <c r="C12" s="2"/>
      <c r="D12" s="14">
        <v>45691</v>
      </c>
      <c r="E12" s="14">
        <v>45726</v>
      </c>
      <c r="F12" s="15"/>
      <c r="G12" s="14">
        <v>45748</v>
      </c>
      <c r="H12" s="14">
        <v>45824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 thickBot="1" x14ac:dyDescent="0.25">
      <c r="A13" s="161"/>
      <c r="B13" s="9" t="s">
        <v>11</v>
      </c>
      <c r="C13" s="2"/>
      <c r="D13" s="9" t="s">
        <v>12</v>
      </c>
      <c r="E13" s="10" t="s">
        <v>13</v>
      </c>
      <c r="F13" s="17"/>
      <c r="G13" s="10" t="s">
        <v>10</v>
      </c>
      <c r="H13" s="16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customHeight="1" x14ac:dyDescent="0.2">
      <c r="A14" s="161"/>
      <c r="B14" s="12">
        <v>1012</v>
      </c>
      <c r="C14" s="2"/>
      <c r="D14" s="12">
        <v>63</v>
      </c>
      <c r="E14" s="12">
        <v>105</v>
      </c>
      <c r="F14" s="13"/>
      <c r="G14" s="12">
        <v>810</v>
      </c>
      <c r="H14" s="16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 thickBot="1" x14ac:dyDescent="0.25">
      <c r="A15" s="161"/>
      <c r="B15" s="14">
        <v>45691</v>
      </c>
      <c r="C15" s="2"/>
      <c r="D15" s="14">
        <v>45691</v>
      </c>
      <c r="E15" s="14">
        <v>45726</v>
      </c>
      <c r="F15" s="15"/>
      <c r="G15" s="14">
        <v>45748</v>
      </c>
      <c r="H15" s="16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customHeight="1" thickBot="1" x14ac:dyDescent="0.25">
      <c r="A16" s="161"/>
      <c r="B16" s="9" t="s">
        <v>15</v>
      </c>
      <c r="C16" s="2"/>
      <c r="D16" s="9" t="s">
        <v>16</v>
      </c>
      <c r="E16" s="10" t="s">
        <v>17</v>
      </c>
      <c r="F16" s="11"/>
      <c r="G16" s="10" t="s">
        <v>83</v>
      </c>
      <c r="H16" s="16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customHeight="1" x14ac:dyDescent="0.2">
      <c r="A17" s="161"/>
      <c r="B17" s="12">
        <v>419</v>
      </c>
      <c r="C17" s="2"/>
      <c r="D17" s="12">
        <v>1017</v>
      </c>
      <c r="E17" s="12">
        <v>311</v>
      </c>
      <c r="F17" s="13"/>
      <c r="G17" s="18"/>
      <c r="H17" s="16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 customHeight="1" thickBot="1" x14ac:dyDescent="0.25">
      <c r="A18" s="161"/>
      <c r="B18" s="14">
        <v>45720</v>
      </c>
      <c r="C18" s="2"/>
      <c r="D18" s="14">
        <v>45691</v>
      </c>
      <c r="E18" s="14">
        <v>45726</v>
      </c>
      <c r="F18" s="15"/>
      <c r="G18" s="14">
        <v>45810</v>
      </c>
      <c r="H18" s="16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 customHeight="1" thickBot="1" x14ac:dyDescent="0.25">
      <c r="A19" s="161"/>
      <c r="B19" s="9" t="s">
        <v>19</v>
      </c>
      <c r="C19" s="2"/>
      <c r="D19" s="9" t="s">
        <v>20</v>
      </c>
      <c r="E19" s="10" t="s">
        <v>21</v>
      </c>
      <c r="F19" s="11"/>
      <c r="G19" s="10" t="s">
        <v>84</v>
      </c>
      <c r="H19" s="16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 customHeight="1" x14ac:dyDescent="0.2">
      <c r="A20" s="161"/>
      <c r="B20" s="12">
        <v>320</v>
      </c>
      <c r="C20" s="2"/>
      <c r="D20" s="12">
        <v>323</v>
      </c>
      <c r="E20" s="12">
        <v>760</v>
      </c>
      <c r="F20" s="13"/>
      <c r="G20" s="18"/>
      <c r="H20" s="16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 customHeight="1" thickBot="1" x14ac:dyDescent="0.25">
      <c r="A21" s="162"/>
      <c r="B21" s="14">
        <v>45720</v>
      </c>
      <c r="C21" s="2"/>
      <c r="D21" s="14">
        <v>45733</v>
      </c>
      <c r="E21" s="14">
        <v>45748</v>
      </c>
      <c r="F21" s="15"/>
      <c r="G21" s="14">
        <v>45810</v>
      </c>
      <c r="H21" s="16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 customHeight="1" x14ac:dyDescent="0.2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 x14ac:dyDescent="0.2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 x14ac:dyDescent="0.2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 x14ac:dyDescent="0.2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 customHeight="1" x14ac:dyDescent="0.2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 customHeight="1" x14ac:dyDescent="0.2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 customHeight="1" x14ac:dyDescent="0.2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 x14ac:dyDescent="0.2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 x14ac:dyDescent="0.2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 customHeight="1" x14ac:dyDescent="0.2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 customHeight="1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 customHeight="1" x14ac:dyDescent="0.2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 customHeight="1" x14ac:dyDescent="0.2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 customHeight="1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 customHeight="1" x14ac:dyDescent="0.2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 customHeight="1" x14ac:dyDescent="0.2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 customHeight="1" x14ac:dyDescent="0.2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customHeight="1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 customHeight="1" x14ac:dyDescent="0.2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customHeight="1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customHeight="1" x14ac:dyDescent="0.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customHeight="1" x14ac:dyDescent="0.2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customHeight="1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customHeight="1" x14ac:dyDescent="0.2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customHeight="1" x14ac:dyDescent="0.2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customHeight="1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customHeight="1" x14ac:dyDescent="0.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customHeight="1" x14ac:dyDescent="0.2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customHeight="1" x14ac:dyDescent="0.2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customHeight="1" x14ac:dyDescent="0.2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customHeight="1" x14ac:dyDescent="0.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customHeight="1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customHeight="1" x14ac:dyDescent="0.2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customHeight="1" x14ac:dyDescent="0.2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customHeight="1" x14ac:dyDescent="0.2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 customHeight="1" x14ac:dyDescent="0.2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customHeight="1" x14ac:dyDescent="0.2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 customHeight="1" x14ac:dyDescent="0.2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customHeight="1" x14ac:dyDescent="0.2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customHeight="1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 customHeight="1" x14ac:dyDescent="0.2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customHeight="1" x14ac:dyDescent="0.2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customHeight="1" x14ac:dyDescent="0.2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 x14ac:dyDescent="0.2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 customHeight="1" x14ac:dyDescent="0.2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customHeight="1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 customHeight="1" x14ac:dyDescent="0.2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customHeight="1" x14ac:dyDescent="0.2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customHeight="1" x14ac:dyDescent="0.2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 customHeight="1" x14ac:dyDescent="0.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 customHeight="1" x14ac:dyDescent="0.2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 customHeight="1" x14ac:dyDescent="0.2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customHeight="1" x14ac:dyDescent="0.2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 customHeight="1" x14ac:dyDescent="0.2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customHeight="1" x14ac:dyDescent="0.2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customHeight="1" x14ac:dyDescent="0.2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 x14ac:dyDescent="0.2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customHeight="1" x14ac:dyDescent="0.2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customHeight="1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 x14ac:dyDescent="0.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 x14ac:dyDescent="0.2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 x14ac:dyDescent="0.2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 x14ac:dyDescent="0.2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 x14ac:dyDescent="0.2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customHeight="1" x14ac:dyDescent="0.2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customHeight="1" x14ac:dyDescent="0.2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 customHeight="1" x14ac:dyDescent="0.2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 customHeight="1" x14ac:dyDescent="0.2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 x14ac:dyDescent="0.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 x14ac:dyDescent="0.2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 x14ac:dyDescent="0.2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 customHeight="1" x14ac:dyDescent="0.2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 customHeight="1" x14ac:dyDescent="0.2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 customHeight="1" x14ac:dyDescent="0.2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 customHeight="1" x14ac:dyDescent="0.2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 customHeight="1" x14ac:dyDescent="0.2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customHeight="1" x14ac:dyDescent="0.2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 customHeight="1" x14ac:dyDescent="0.2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 customHeight="1" x14ac:dyDescent="0.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 x14ac:dyDescent="0.2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 customHeight="1" x14ac:dyDescent="0.2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 customHeight="1" x14ac:dyDescent="0.2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 customHeight="1" x14ac:dyDescent="0.2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 customHeight="1" x14ac:dyDescent="0.2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 customHeight="1" x14ac:dyDescent="0.2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 customHeight="1" x14ac:dyDescent="0.2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 x14ac:dyDescent="0.2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 customHeight="1" x14ac:dyDescent="0.2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 customHeight="1" x14ac:dyDescent="0.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 customHeight="1" x14ac:dyDescent="0.2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 customHeight="1" x14ac:dyDescent="0.2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 customHeight="1" x14ac:dyDescent="0.2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 customHeight="1" x14ac:dyDescent="0.2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 customHeight="1" x14ac:dyDescent="0.2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 customHeight="1" x14ac:dyDescent="0.2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 customHeight="1" x14ac:dyDescent="0.2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 customHeight="1" x14ac:dyDescent="0.2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 customHeight="1" x14ac:dyDescent="0.2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 customHeight="1" x14ac:dyDescent="0.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 customHeight="1" x14ac:dyDescent="0.2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 customHeight="1" x14ac:dyDescent="0.2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 customHeight="1" x14ac:dyDescent="0.2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 customHeight="1" x14ac:dyDescent="0.2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 customHeight="1" x14ac:dyDescent="0.2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 customHeight="1" x14ac:dyDescent="0.2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 customHeight="1" x14ac:dyDescent="0.2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 customHeight="1" x14ac:dyDescent="0.2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 customHeight="1" x14ac:dyDescent="0.2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 customHeight="1" x14ac:dyDescent="0.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 customHeight="1" x14ac:dyDescent="0.2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 customHeight="1" x14ac:dyDescent="0.2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 customHeight="1" x14ac:dyDescent="0.2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 customHeight="1" x14ac:dyDescent="0.2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 customHeight="1" x14ac:dyDescent="0.2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 customHeight="1" x14ac:dyDescent="0.2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 customHeight="1" x14ac:dyDescent="0.2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 customHeight="1" x14ac:dyDescent="0.2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 customHeight="1" x14ac:dyDescent="0.2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 customHeight="1" x14ac:dyDescent="0.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 customHeight="1" x14ac:dyDescent="0.2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 customHeight="1" x14ac:dyDescent="0.2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 customHeight="1" x14ac:dyDescent="0.2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 customHeight="1" x14ac:dyDescent="0.2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 customHeight="1" x14ac:dyDescent="0.2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 customHeight="1" x14ac:dyDescent="0.2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 customHeight="1" x14ac:dyDescent="0.2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 customHeight="1" x14ac:dyDescent="0.2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 customHeight="1" x14ac:dyDescent="0.2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 customHeight="1" x14ac:dyDescent="0.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 customHeight="1" x14ac:dyDescent="0.2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 customHeight="1" x14ac:dyDescent="0.2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 customHeight="1" x14ac:dyDescent="0.2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 customHeight="1" x14ac:dyDescent="0.2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 customHeight="1" x14ac:dyDescent="0.2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 customHeight="1" x14ac:dyDescent="0.2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 customHeight="1" x14ac:dyDescent="0.2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 customHeight="1" x14ac:dyDescent="0.2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 customHeight="1" x14ac:dyDescent="0.2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 customHeight="1" x14ac:dyDescent="0.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 customHeight="1" x14ac:dyDescent="0.2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 customHeight="1" x14ac:dyDescent="0.2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 customHeight="1" x14ac:dyDescent="0.2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 customHeight="1" x14ac:dyDescent="0.2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 customHeight="1" x14ac:dyDescent="0.2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 customHeight="1" x14ac:dyDescent="0.2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 customHeight="1" x14ac:dyDescent="0.2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 customHeight="1" x14ac:dyDescent="0.2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 customHeight="1" x14ac:dyDescent="0.2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 customHeight="1" x14ac:dyDescent="0.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 customHeight="1" x14ac:dyDescent="0.2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 customHeight="1" x14ac:dyDescent="0.2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 customHeight="1" x14ac:dyDescent="0.2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 customHeight="1" x14ac:dyDescent="0.2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 customHeight="1" x14ac:dyDescent="0.2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 customHeight="1" x14ac:dyDescent="0.2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 customHeight="1" x14ac:dyDescent="0.2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 customHeight="1" x14ac:dyDescent="0.2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 customHeight="1" x14ac:dyDescent="0.2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 customHeight="1" x14ac:dyDescent="0.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 customHeight="1" x14ac:dyDescent="0.2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 customHeight="1" x14ac:dyDescent="0.2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 customHeight="1" x14ac:dyDescent="0.2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 customHeight="1" x14ac:dyDescent="0.2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 customHeight="1" x14ac:dyDescent="0.2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 customHeight="1" x14ac:dyDescent="0.2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 customHeight="1" x14ac:dyDescent="0.2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 customHeight="1" x14ac:dyDescent="0.2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 customHeight="1" x14ac:dyDescent="0.2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 customHeight="1" x14ac:dyDescent="0.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 customHeight="1" x14ac:dyDescent="0.2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 customHeight="1" x14ac:dyDescent="0.2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 customHeight="1" x14ac:dyDescent="0.2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 customHeight="1" x14ac:dyDescent="0.2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 customHeight="1" x14ac:dyDescent="0.2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 customHeight="1" x14ac:dyDescent="0.2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 customHeight="1" x14ac:dyDescent="0.2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 customHeight="1" x14ac:dyDescent="0.2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 customHeight="1" x14ac:dyDescent="0.2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.5" customHeight="1" x14ac:dyDescent="0.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.5" customHeight="1" x14ac:dyDescent="0.2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.5" customHeight="1" x14ac:dyDescent="0.2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.5" customHeight="1" x14ac:dyDescent="0.2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.5" customHeight="1" x14ac:dyDescent="0.2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.5" customHeight="1" x14ac:dyDescent="0.2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.5" customHeight="1" x14ac:dyDescent="0.2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.5" customHeight="1" x14ac:dyDescent="0.2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.5" customHeight="1" x14ac:dyDescent="0.2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.5" customHeight="1" x14ac:dyDescent="0.2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.5" customHeight="1" x14ac:dyDescent="0.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.5" customHeight="1" x14ac:dyDescent="0.2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.5" customHeight="1" x14ac:dyDescent="0.2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.5" customHeight="1" x14ac:dyDescent="0.2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.5" customHeight="1" x14ac:dyDescent="0.2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.5" customHeight="1" x14ac:dyDescent="0.2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.5" customHeight="1" x14ac:dyDescent="0.2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.5" customHeight="1" x14ac:dyDescent="0.2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.5" customHeight="1" x14ac:dyDescent="0.2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.5" customHeight="1" x14ac:dyDescent="0.2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.5" customHeight="1" x14ac:dyDescent="0.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.5" customHeight="1" x14ac:dyDescent="0.2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.5" customHeight="1" x14ac:dyDescent="0.2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.5" customHeight="1" x14ac:dyDescent="0.2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.5" customHeight="1" x14ac:dyDescent="0.2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.5" customHeight="1" x14ac:dyDescent="0.2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.5" customHeight="1" x14ac:dyDescent="0.2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.5" customHeight="1" x14ac:dyDescent="0.2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.5" customHeight="1" x14ac:dyDescent="0.2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.5" customHeight="1" x14ac:dyDescent="0.2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.5" customHeight="1" x14ac:dyDescent="0.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.5" customHeight="1" x14ac:dyDescent="0.2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.5" customHeight="1" x14ac:dyDescent="0.2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.5" customHeight="1" x14ac:dyDescent="0.2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.5" customHeight="1" x14ac:dyDescent="0.2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.5" customHeight="1" x14ac:dyDescent="0.2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.5" customHeight="1" x14ac:dyDescent="0.2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.5" customHeight="1" x14ac:dyDescent="0.2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.5" customHeight="1" x14ac:dyDescent="0.2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.5" customHeight="1" x14ac:dyDescent="0.2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.5" customHeight="1" x14ac:dyDescent="0.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.5" customHeight="1" x14ac:dyDescent="0.2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.5" customHeight="1" x14ac:dyDescent="0.2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.5" customHeight="1" x14ac:dyDescent="0.2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.5" customHeight="1" x14ac:dyDescent="0.2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.5" customHeight="1" x14ac:dyDescent="0.2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.5" customHeight="1" x14ac:dyDescent="0.2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.5" customHeight="1" x14ac:dyDescent="0.2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.5" customHeight="1" x14ac:dyDescent="0.2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.5" customHeight="1" x14ac:dyDescent="0.2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.5" customHeight="1" x14ac:dyDescent="0.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.5" customHeight="1" x14ac:dyDescent="0.2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.5" customHeight="1" x14ac:dyDescent="0.2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.5" customHeight="1" x14ac:dyDescent="0.2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.5" customHeight="1" x14ac:dyDescent="0.2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.5" customHeight="1" x14ac:dyDescent="0.2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.5" customHeight="1" x14ac:dyDescent="0.2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.5" customHeight="1" x14ac:dyDescent="0.2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.5" customHeight="1" x14ac:dyDescent="0.2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.5" customHeight="1" x14ac:dyDescent="0.2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.5" customHeight="1" x14ac:dyDescent="0.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.5" customHeight="1" x14ac:dyDescent="0.2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.5" customHeight="1" x14ac:dyDescent="0.2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.5" customHeight="1" x14ac:dyDescent="0.2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.5" customHeight="1" x14ac:dyDescent="0.2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.5" customHeight="1" x14ac:dyDescent="0.2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.5" customHeight="1" x14ac:dyDescent="0.2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.5" customHeight="1" x14ac:dyDescent="0.2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.5" customHeight="1" x14ac:dyDescent="0.2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.5" customHeight="1" x14ac:dyDescent="0.2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.5" customHeight="1" x14ac:dyDescent="0.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.5" customHeight="1" x14ac:dyDescent="0.2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.5" customHeight="1" x14ac:dyDescent="0.2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.5" customHeight="1" x14ac:dyDescent="0.2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.5" customHeight="1" x14ac:dyDescent="0.2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.5" customHeight="1" x14ac:dyDescent="0.2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.5" customHeight="1" x14ac:dyDescent="0.2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.5" customHeight="1" x14ac:dyDescent="0.2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.5" customHeight="1" x14ac:dyDescent="0.2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.5" customHeight="1" x14ac:dyDescent="0.2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.5" customHeight="1" x14ac:dyDescent="0.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.5" customHeight="1" x14ac:dyDescent="0.2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.5" customHeight="1" x14ac:dyDescent="0.2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.5" customHeight="1" x14ac:dyDescent="0.2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.5" customHeight="1" x14ac:dyDescent="0.2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.5" customHeight="1" x14ac:dyDescent="0.2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.5" customHeight="1" x14ac:dyDescent="0.2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.5" customHeight="1" x14ac:dyDescent="0.2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.5" customHeight="1" x14ac:dyDescent="0.2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.5" customHeight="1" x14ac:dyDescent="0.2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.5" customHeight="1" x14ac:dyDescent="0.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.5" customHeight="1" x14ac:dyDescent="0.2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.5" customHeight="1" x14ac:dyDescent="0.2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.5" customHeight="1" x14ac:dyDescent="0.2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.5" customHeight="1" x14ac:dyDescent="0.2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.5" customHeight="1" x14ac:dyDescent="0.2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.5" customHeight="1" x14ac:dyDescent="0.2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.5" customHeight="1" x14ac:dyDescent="0.2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.5" customHeight="1" x14ac:dyDescent="0.2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.5" customHeight="1" x14ac:dyDescent="0.2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.5" customHeight="1" x14ac:dyDescent="0.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.5" customHeight="1" x14ac:dyDescent="0.2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.5" customHeight="1" x14ac:dyDescent="0.2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.5" customHeight="1" x14ac:dyDescent="0.2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.5" customHeight="1" x14ac:dyDescent="0.2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.5" customHeight="1" x14ac:dyDescent="0.2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.5" customHeight="1" x14ac:dyDescent="0.2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.5" customHeight="1" x14ac:dyDescent="0.2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.5" customHeight="1" x14ac:dyDescent="0.2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.5" customHeight="1" x14ac:dyDescent="0.2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.5" customHeight="1" x14ac:dyDescent="0.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.5" customHeight="1" x14ac:dyDescent="0.2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.5" customHeight="1" x14ac:dyDescent="0.2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.5" customHeight="1" x14ac:dyDescent="0.2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.5" customHeight="1" x14ac:dyDescent="0.2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.5" customHeight="1" x14ac:dyDescent="0.2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.5" customHeight="1" x14ac:dyDescent="0.2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.5" customHeight="1" x14ac:dyDescent="0.2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.5" customHeight="1" x14ac:dyDescent="0.2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.5" customHeight="1" x14ac:dyDescent="0.2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.5" customHeight="1" x14ac:dyDescent="0.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.5" customHeight="1" x14ac:dyDescent="0.2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.5" customHeight="1" x14ac:dyDescent="0.2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.5" customHeight="1" x14ac:dyDescent="0.2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.5" customHeight="1" x14ac:dyDescent="0.2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.5" customHeight="1" x14ac:dyDescent="0.2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.5" customHeight="1" x14ac:dyDescent="0.2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.5" customHeight="1" x14ac:dyDescent="0.2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.5" customHeight="1" x14ac:dyDescent="0.2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.5" customHeight="1" x14ac:dyDescent="0.2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.5" customHeight="1" x14ac:dyDescent="0.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.5" customHeight="1" x14ac:dyDescent="0.2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.5" customHeight="1" x14ac:dyDescent="0.2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.5" customHeight="1" x14ac:dyDescent="0.2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.5" customHeight="1" x14ac:dyDescent="0.2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.5" customHeight="1" x14ac:dyDescent="0.2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.5" customHeight="1" x14ac:dyDescent="0.2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.5" customHeight="1" x14ac:dyDescent="0.2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.5" customHeight="1" x14ac:dyDescent="0.2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.5" customHeight="1" x14ac:dyDescent="0.2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.5" customHeight="1" x14ac:dyDescent="0.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.5" customHeight="1" x14ac:dyDescent="0.2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.5" customHeight="1" x14ac:dyDescent="0.2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.5" customHeight="1" x14ac:dyDescent="0.2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.5" customHeight="1" x14ac:dyDescent="0.2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.5" customHeight="1" x14ac:dyDescent="0.2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.5" customHeight="1" x14ac:dyDescent="0.2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.5" customHeight="1" x14ac:dyDescent="0.2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.5" customHeight="1" x14ac:dyDescent="0.2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.5" customHeight="1" x14ac:dyDescent="0.2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.5" customHeight="1" x14ac:dyDescent="0.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.5" customHeight="1" x14ac:dyDescent="0.2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.5" customHeight="1" x14ac:dyDescent="0.2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.5" customHeight="1" x14ac:dyDescent="0.2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.5" customHeight="1" x14ac:dyDescent="0.2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.5" customHeight="1" x14ac:dyDescent="0.2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.5" customHeight="1" x14ac:dyDescent="0.2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.5" customHeight="1" x14ac:dyDescent="0.2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.5" customHeight="1" x14ac:dyDescent="0.2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.5" customHeight="1" x14ac:dyDescent="0.2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.5" customHeight="1" x14ac:dyDescent="0.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.5" customHeight="1" x14ac:dyDescent="0.2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.5" customHeight="1" x14ac:dyDescent="0.2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.5" customHeight="1" x14ac:dyDescent="0.2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.5" customHeight="1" x14ac:dyDescent="0.2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.5" customHeight="1" x14ac:dyDescent="0.2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.5" customHeight="1" x14ac:dyDescent="0.2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.5" customHeight="1" x14ac:dyDescent="0.2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.5" customHeight="1" x14ac:dyDescent="0.2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.5" customHeight="1" x14ac:dyDescent="0.2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.5" customHeight="1" x14ac:dyDescent="0.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.5" customHeight="1" x14ac:dyDescent="0.2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.5" customHeight="1" x14ac:dyDescent="0.2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.5" customHeight="1" x14ac:dyDescent="0.2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.5" customHeight="1" x14ac:dyDescent="0.2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.5" customHeight="1" x14ac:dyDescent="0.2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.5" customHeight="1" x14ac:dyDescent="0.2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.5" customHeight="1" x14ac:dyDescent="0.2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.5" customHeight="1" x14ac:dyDescent="0.2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.5" customHeight="1" x14ac:dyDescent="0.2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.5" customHeight="1" x14ac:dyDescent="0.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.5" customHeight="1" x14ac:dyDescent="0.2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.5" customHeight="1" x14ac:dyDescent="0.2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.5" customHeight="1" x14ac:dyDescent="0.2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.5" customHeight="1" x14ac:dyDescent="0.2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.5" customHeight="1" x14ac:dyDescent="0.2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.5" customHeight="1" x14ac:dyDescent="0.2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.5" customHeight="1" x14ac:dyDescent="0.2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.5" customHeight="1" x14ac:dyDescent="0.2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.5" customHeight="1" x14ac:dyDescent="0.2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.5" customHeight="1" x14ac:dyDescent="0.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.5" customHeight="1" x14ac:dyDescent="0.2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.5" customHeight="1" x14ac:dyDescent="0.2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.5" customHeight="1" x14ac:dyDescent="0.2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.5" customHeight="1" x14ac:dyDescent="0.2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.5" customHeight="1" x14ac:dyDescent="0.2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.5" customHeight="1" x14ac:dyDescent="0.2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.5" customHeight="1" x14ac:dyDescent="0.2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.5" customHeight="1" x14ac:dyDescent="0.2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.5" customHeight="1" x14ac:dyDescent="0.2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.5" customHeight="1" x14ac:dyDescent="0.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.5" customHeight="1" x14ac:dyDescent="0.2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.5" customHeight="1" x14ac:dyDescent="0.2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.5" customHeight="1" x14ac:dyDescent="0.2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.5" customHeight="1" x14ac:dyDescent="0.2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.5" customHeight="1" x14ac:dyDescent="0.2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.5" customHeight="1" x14ac:dyDescent="0.2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.5" customHeight="1" x14ac:dyDescent="0.2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.5" customHeight="1" x14ac:dyDescent="0.2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.5" customHeight="1" x14ac:dyDescent="0.2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.5" customHeight="1" x14ac:dyDescent="0.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.5" customHeight="1" x14ac:dyDescent="0.2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.5" customHeight="1" x14ac:dyDescent="0.2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.5" customHeight="1" x14ac:dyDescent="0.2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.5" customHeight="1" x14ac:dyDescent="0.2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.5" customHeight="1" x14ac:dyDescent="0.2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.5" customHeight="1" x14ac:dyDescent="0.2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.5" customHeight="1" x14ac:dyDescent="0.2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.5" customHeight="1" x14ac:dyDescent="0.2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.5" customHeight="1" x14ac:dyDescent="0.2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.5" customHeight="1" x14ac:dyDescent="0.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.5" customHeight="1" x14ac:dyDescent="0.2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.5" customHeight="1" x14ac:dyDescent="0.2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.5" customHeight="1" x14ac:dyDescent="0.2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.5" customHeight="1" x14ac:dyDescent="0.2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.5" customHeight="1" x14ac:dyDescent="0.2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.5" customHeight="1" x14ac:dyDescent="0.2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.5" customHeight="1" x14ac:dyDescent="0.2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.5" customHeight="1" x14ac:dyDescent="0.2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.5" customHeight="1" x14ac:dyDescent="0.2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.5" customHeight="1" x14ac:dyDescent="0.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.5" customHeight="1" x14ac:dyDescent="0.2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.5" customHeight="1" x14ac:dyDescent="0.2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.5" customHeight="1" x14ac:dyDescent="0.2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.5" customHeight="1" x14ac:dyDescent="0.2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.5" customHeight="1" x14ac:dyDescent="0.2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.5" customHeight="1" x14ac:dyDescent="0.2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.5" customHeight="1" x14ac:dyDescent="0.2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.5" customHeight="1" x14ac:dyDescent="0.2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.5" customHeight="1" x14ac:dyDescent="0.2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.5" customHeight="1" x14ac:dyDescent="0.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.5" customHeight="1" x14ac:dyDescent="0.2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.5" customHeight="1" x14ac:dyDescent="0.2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.5" customHeight="1" x14ac:dyDescent="0.2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.5" customHeight="1" x14ac:dyDescent="0.2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.5" customHeight="1" x14ac:dyDescent="0.2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.5" customHeight="1" x14ac:dyDescent="0.2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.5" customHeight="1" x14ac:dyDescent="0.2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.5" customHeight="1" x14ac:dyDescent="0.2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.5" customHeight="1" x14ac:dyDescent="0.2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.5" customHeight="1" x14ac:dyDescent="0.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.5" customHeight="1" x14ac:dyDescent="0.2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.5" customHeight="1" x14ac:dyDescent="0.2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.5" customHeight="1" x14ac:dyDescent="0.2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.5" customHeight="1" x14ac:dyDescent="0.2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.5" customHeight="1" x14ac:dyDescent="0.2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.5" customHeight="1" x14ac:dyDescent="0.2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.5" customHeight="1" x14ac:dyDescent="0.2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.5" customHeight="1" x14ac:dyDescent="0.2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.5" customHeight="1" x14ac:dyDescent="0.2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.5" customHeight="1" x14ac:dyDescent="0.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.5" customHeight="1" x14ac:dyDescent="0.2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.5" customHeight="1" x14ac:dyDescent="0.2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.5" customHeight="1" x14ac:dyDescent="0.2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.5" customHeight="1" x14ac:dyDescent="0.2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.5" customHeight="1" x14ac:dyDescent="0.2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.5" customHeight="1" x14ac:dyDescent="0.2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.5" customHeight="1" x14ac:dyDescent="0.2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.5" customHeight="1" x14ac:dyDescent="0.2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.5" customHeight="1" x14ac:dyDescent="0.2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.5" customHeight="1" x14ac:dyDescent="0.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.5" customHeight="1" x14ac:dyDescent="0.2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.5" customHeight="1" x14ac:dyDescent="0.2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.5" customHeight="1" x14ac:dyDescent="0.2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.5" customHeight="1" x14ac:dyDescent="0.2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.5" customHeight="1" x14ac:dyDescent="0.2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.5" customHeight="1" x14ac:dyDescent="0.2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.5" customHeight="1" x14ac:dyDescent="0.2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.5" customHeight="1" x14ac:dyDescent="0.2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.5" customHeight="1" x14ac:dyDescent="0.2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.5" customHeight="1" x14ac:dyDescent="0.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.5" customHeight="1" x14ac:dyDescent="0.2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.5" customHeight="1" x14ac:dyDescent="0.2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.5" customHeight="1" x14ac:dyDescent="0.2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.5" customHeight="1" x14ac:dyDescent="0.2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.5" customHeight="1" x14ac:dyDescent="0.2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.5" customHeight="1" x14ac:dyDescent="0.2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.5" customHeight="1" x14ac:dyDescent="0.2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.5" customHeight="1" x14ac:dyDescent="0.2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.5" customHeight="1" x14ac:dyDescent="0.2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.5" customHeight="1" x14ac:dyDescent="0.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.5" customHeight="1" x14ac:dyDescent="0.2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.5" customHeight="1" x14ac:dyDescent="0.2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.5" customHeight="1" x14ac:dyDescent="0.2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.5" customHeight="1" x14ac:dyDescent="0.2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.5" customHeight="1" x14ac:dyDescent="0.2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.5" customHeight="1" x14ac:dyDescent="0.2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.5" customHeight="1" x14ac:dyDescent="0.2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.5" customHeight="1" x14ac:dyDescent="0.2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.5" customHeight="1" x14ac:dyDescent="0.2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.5" customHeight="1" x14ac:dyDescent="0.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.5" customHeight="1" x14ac:dyDescent="0.2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.5" customHeight="1" x14ac:dyDescent="0.2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.5" customHeight="1" x14ac:dyDescent="0.2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.5" customHeight="1" x14ac:dyDescent="0.2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.5" customHeight="1" x14ac:dyDescent="0.2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.5" customHeight="1" x14ac:dyDescent="0.2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.5" customHeight="1" x14ac:dyDescent="0.2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.5" customHeight="1" x14ac:dyDescent="0.2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.5" customHeight="1" x14ac:dyDescent="0.2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.5" customHeight="1" x14ac:dyDescent="0.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.5" customHeight="1" x14ac:dyDescent="0.2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.5" customHeight="1" x14ac:dyDescent="0.2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.5" customHeight="1" x14ac:dyDescent="0.2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.5" customHeight="1" x14ac:dyDescent="0.2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.5" customHeight="1" x14ac:dyDescent="0.2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.5" customHeight="1" x14ac:dyDescent="0.2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.5" customHeight="1" x14ac:dyDescent="0.2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.5" customHeight="1" x14ac:dyDescent="0.2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.5" customHeight="1" x14ac:dyDescent="0.2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.5" customHeight="1" x14ac:dyDescent="0.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.5" customHeight="1" x14ac:dyDescent="0.2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.5" customHeight="1" x14ac:dyDescent="0.2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.5" customHeight="1" x14ac:dyDescent="0.2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.5" customHeight="1" x14ac:dyDescent="0.2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.5" customHeight="1" x14ac:dyDescent="0.2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.5" customHeight="1" x14ac:dyDescent="0.2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.5" customHeight="1" x14ac:dyDescent="0.2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.5" customHeight="1" x14ac:dyDescent="0.2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.5" customHeight="1" x14ac:dyDescent="0.2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.5" customHeight="1" x14ac:dyDescent="0.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.5" customHeight="1" x14ac:dyDescent="0.2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.5" customHeight="1" x14ac:dyDescent="0.2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.5" customHeight="1" x14ac:dyDescent="0.2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.5" customHeight="1" x14ac:dyDescent="0.2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.5" customHeight="1" x14ac:dyDescent="0.2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.5" customHeight="1" x14ac:dyDescent="0.2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.5" customHeight="1" x14ac:dyDescent="0.2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.5" customHeight="1" x14ac:dyDescent="0.2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.5" customHeight="1" x14ac:dyDescent="0.2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.5" customHeight="1" x14ac:dyDescent="0.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.5" customHeight="1" x14ac:dyDescent="0.2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.5" customHeight="1" x14ac:dyDescent="0.2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.5" customHeight="1" x14ac:dyDescent="0.2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.5" customHeight="1" x14ac:dyDescent="0.2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.5" customHeight="1" x14ac:dyDescent="0.2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.5" customHeight="1" x14ac:dyDescent="0.2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.5" customHeight="1" x14ac:dyDescent="0.2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.5" customHeight="1" x14ac:dyDescent="0.2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.5" customHeight="1" x14ac:dyDescent="0.2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.5" customHeight="1" x14ac:dyDescent="0.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.5" customHeight="1" x14ac:dyDescent="0.2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.5" customHeight="1" x14ac:dyDescent="0.2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.5" customHeight="1" x14ac:dyDescent="0.2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.5" customHeight="1" x14ac:dyDescent="0.2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.5" customHeight="1" x14ac:dyDescent="0.2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.5" customHeight="1" x14ac:dyDescent="0.2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.5" customHeight="1" x14ac:dyDescent="0.2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.5" customHeight="1" x14ac:dyDescent="0.2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.5" customHeight="1" x14ac:dyDescent="0.2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.5" customHeight="1" x14ac:dyDescent="0.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.5" customHeight="1" x14ac:dyDescent="0.2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.5" customHeight="1" x14ac:dyDescent="0.2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.5" customHeight="1" x14ac:dyDescent="0.2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.5" customHeight="1" x14ac:dyDescent="0.2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.5" customHeight="1" x14ac:dyDescent="0.2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.5" customHeight="1" x14ac:dyDescent="0.2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.5" customHeight="1" x14ac:dyDescent="0.2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.5" customHeight="1" x14ac:dyDescent="0.2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.5" customHeight="1" x14ac:dyDescent="0.2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.5" customHeight="1" x14ac:dyDescent="0.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.5" customHeight="1" x14ac:dyDescent="0.2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.5" customHeight="1" x14ac:dyDescent="0.2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.5" customHeight="1" x14ac:dyDescent="0.2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.5" customHeight="1" x14ac:dyDescent="0.2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.5" customHeight="1" x14ac:dyDescent="0.2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.5" customHeight="1" x14ac:dyDescent="0.2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.5" customHeight="1" x14ac:dyDescent="0.2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.5" customHeight="1" x14ac:dyDescent="0.2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.5" customHeight="1" x14ac:dyDescent="0.2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.5" customHeight="1" x14ac:dyDescent="0.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.5" customHeight="1" x14ac:dyDescent="0.2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.5" customHeight="1" x14ac:dyDescent="0.2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.5" customHeight="1" x14ac:dyDescent="0.2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.5" customHeight="1" x14ac:dyDescent="0.2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.5" customHeight="1" x14ac:dyDescent="0.2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.5" customHeight="1" x14ac:dyDescent="0.2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.5" customHeight="1" x14ac:dyDescent="0.2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.5" customHeight="1" x14ac:dyDescent="0.2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.5" customHeight="1" x14ac:dyDescent="0.2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.5" customHeight="1" x14ac:dyDescent="0.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.5" customHeight="1" x14ac:dyDescent="0.2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.5" customHeight="1" x14ac:dyDescent="0.2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.5" customHeight="1" x14ac:dyDescent="0.2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.5" customHeight="1" x14ac:dyDescent="0.2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.5" customHeight="1" x14ac:dyDescent="0.2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.5" customHeight="1" x14ac:dyDescent="0.2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.5" customHeight="1" x14ac:dyDescent="0.2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.5" customHeight="1" x14ac:dyDescent="0.2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.5" customHeight="1" x14ac:dyDescent="0.2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.5" customHeight="1" x14ac:dyDescent="0.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.5" customHeight="1" x14ac:dyDescent="0.2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.5" customHeight="1" x14ac:dyDescent="0.2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.5" customHeight="1" x14ac:dyDescent="0.2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.5" customHeight="1" x14ac:dyDescent="0.2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.5" customHeight="1" x14ac:dyDescent="0.2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.5" customHeight="1" x14ac:dyDescent="0.2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.5" customHeight="1" x14ac:dyDescent="0.2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.5" customHeight="1" x14ac:dyDescent="0.2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.5" customHeight="1" x14ac:dyDescent="0.2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.5" customHeight="1" x14ac:dyDescent="0.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.5" customHeight="1" x14ac:dyDescent="0.2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.5" customHeight="1" x14ac:dyDescent="0.2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.5" customHeight="1" x14ac:dyDescent="0.2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.5" customHeight="1" x14ac:dyDescent="0.2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.5" customHeight="1" x14ac:dyDescent="0.2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.5" customHeight="1" x14ac:dyDescent="0.2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.5" customHeight="1" x14ac:dyDescent="0.2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.5" customHeight="1" x14ac:dyDescent="0.2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.5" customHeight="1" x14ac:dyDescent="0.2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.5" customHeight="1" x14ac:dyDescent="0.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.5" customHeight="1" x14ac:dyDescent="0.2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.5" customHeight="1" x14ac:dyDescent="0.2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.5" customHeight="1" x14ac:dyDescent="0.2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.5" customHeight="1" x14ac:dyDescent="0.2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.5" customHeight="1" x14ac:dyDescent="0.2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.5" customHeight="1" x14ac:dyDescent="0.2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.5" customHeight="1" x14ac:dyDescent="0.2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.5" customHeight="1" x14ac:dyDescent="0.2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.5" customHeight="1" x14ac:dyDescent="0.2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.5" customHeight="1" x14ac:dyDescent="0.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.5" customHeight="1" x14ac:dyDescent="0.2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.5" customHeight="1" x14ac:dyDescent="0.2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.5" customHeight="1" x14ac:dyDescent="0.2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.5" customHeight="1" x14ac:dyDescent="0.2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.5" customHeight="1" x14ac:dyDescent="0.2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.5" customHeight="1" x14ac:dyDescent="0.2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.5" customHeight="1" x14ac:dyDescent="0.2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.5" customHeight="1" x14ac:dyDescent="0.2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.5" customHeight="1" x14ac:dyDescent="0.2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.5" customHeight="1" x14ac:dyDescent="0.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.5" customHeight="1" x14ac:dyDescent="0.2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.5" customHeight="1" x14ac:dyDescent="0.2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.5" customHeight="1" x14ac:dyDescent="0.2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.5" customHeight="1" x14ac:dyDescent="0.2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.5" customHeight="1" x14ac:dyDescent="0.2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.5" customHeight="1" x14ac:dyDescent="0.2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.5" customHeight="1" x14ac:dyDescent="0.2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.5" customHeight="1" x14ac:dyDescent="0.2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.5" customHeight="1" x14ac:dyDescent="0.2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.5" customHeight="1" x14ac:dyDescent="0.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.5" customHeight="1" x14ac:dyDescent="0.2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.5" customHeight="1" x14ac:dyDescent="0.2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.5" customHeight="1" x14ac:dyDescent="0.2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.5" customHeight="1" x14ac:dyDescent="0.2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.5" customHeight="1" x14ac:dyDescent="0.2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.5" customHeight="1" x14ac:dyDescent="0.2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.5" customHeight="1" x14ac:dyDescent="0.2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.5" customHeight="1" x14ac:dyDescent="0.2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.5" customHeight="1" x14ac:dyDescent="0.2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.5" customHeight="1" x14ac:dyDescent="0.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.5" customHeight="1" x14ac:dyDescent="0.2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.5" customHeight="1" x14ac:dyDescent="0.2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.5" customHeight="1" x14ac:dyDescent="0.2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.5" customHeight="1" x14ac:dyDescent="0.2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.5" customHeight="1" x14ac:dyDescent="0.2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.5" customHeight="1" x14ac:dyDescent="0.2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.5" customHeight="1" x14ac:dyDescent="0.2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.5" customHeight="1" x14ac:dyDescent="0.2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.5" customHeight="1" x14ac:dyDescent="0.2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.5" customHeight="1" x14ac:dyDescent="0.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.5" customHeight="1" x14ac:dyDescent="0.2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.5" customHeight="1" x14ac:dyDescent="0.2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.5" customHeight="1" x14ac:dyDescent="0.2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.5" customHeight="1" x14ac:dyDescent="0.2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.5" customHeight="1" x14ac:dyDescent="0.2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.5" customHeight="1" x14ac:dyDescent="0.2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.5" customHeight="1" x14ac:dyDescent="0.2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.5" customHeight="1" x14ac:dyDescent="0.2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.5" customHeight="1" x14ac:dyDescent="0.2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.5" customHeight="1" x14ac:dyDescent="0.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.5" customHeight="1" x14ac:dyDescent="0.2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.5" customHeight="1" x14ac:dyDescent="0.2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.5" customHeight="1" x14ac:dyDescent="0.2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.5" customHeight="1" x14ac:dyDescent="0.2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.5" customHeight="1" x14ac:dyDescent="0.2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.5" customHeight="1" x14ac:dyDescent="0.2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.5" customHeight="1" x14ac:dyDescent="0.2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.5" customHeight="1" x14ac:dyDescent="0.2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.5" customHeight="1" x14ac:dyDescent="0.2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.5" customHeight="1" x14ac:dyDescent="0.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.5" customHeight="1" x14ac:dyDescent="0.2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.5" customHeight="1" x14ac:dyDescent="0.2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.5" customHeight="1" x14ac:dyDescent="0.2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.5" customHeight="1" x14ac:dyDescent="0.2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.5" customHeight="1" x14ac:dyDescent="0.2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.5" customHeight="1" x14ac:dyDescent="0.2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.5" customHeight="1" x14ac:dyDescent="0.2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.5" customHeight="1" x14ac:dyDescent="0.2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.5" customHeight="1" x14ac:dyDescent="0.2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.5" customHeight="1" x14ac:dyDescent="0.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.5" customHeight="1" x14ac:dyDescent="0.2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.5" customHeight="1" x14ac:dyDescent="0.2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.5" customHeight="1" x14ac:dyDescent="0.2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.5" customHeight="1" x14ac:dyDescent="0.2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.5" customHeight="1" x14ac:dyDescent="0.2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.5" customHeight="1" x14ac:dyDescent="0.2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.5" customHeight="1" x14ac:dyDescent="0.2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.5" customHeight="1" x14ac:dyDescent="0.2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.5" customHeight="1" x14ac:dyDescent="0.2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.5" customHeight="1" x14ac:dyDescent="0.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.5" customHeight="1" x14ac:dyDescent="0.2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.5" customHeight="1" x14ac:dyDescent="0.2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.5" customHeight="1" x14ac:dyDescent="0.2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.5" customHeight="1" x14ac:dyDescent="0.2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.5" customHeight="1" x14ac:dyDescent="0.2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.5" customHeight="1" x14ac:dyDescent="0.2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.5" customHeight="1" x14ac:dyDescent="0.2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.5" customHeight="1" x14ac:dyDescent="0.2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.5" customHeight="1" x14ac:dyDescent="0.2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.5" customHeight="1" x14ac:dyDescent="0.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.5" customHeight="1" x14ac:dyDescent="0.2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.5" customHeight="1" x14ac:dyDescent="0.2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.5" customHeight="1" x14ac:dyDescent="0.2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.5" customHeight="1" x14ac:dyDescent="0.2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.5" customHeight="1" x14ac:dyDescent="0.2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.5" customHeight="1" x14ac:dyDescent="0.2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.5" customHeight="1" x14ac:dyDescent="0.2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.5" customHeight="1" x14ac:dyDescent="0.2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.5" customHeight="1" x14ac:dyDescent="0.2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.5" customHeight="1" x14ac:dyDescent="0.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.5" customHeight="1" x14ac:dyDescent="0.2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.5" customHeight="1" x14ac:dyDescent="0.2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.5" customHeight="1" x14ac:dyDescent="0.2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.5" customHeight="1" x14ac:dyDescent="0.2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.5" customHeight="1" x14ac:dyDescent="0.2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.5" customHeight="1" x14ac:dyDescent="0.2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.5" customHeight="1" x14ac:dyDescent="0.2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.5" customHeight="1" x14ac:dyDescent="0.2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.5" customHeight="1" x14ac:dyDescent="0.2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.5" customHeight="1" x14ac:dyDescent="0.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.5" customHeight="1" x14ac:dyDescent="0.2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.5" customHeight="1" x14ac:dyDescent="0.2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.5" customHeight="1" x14ac:dyDescent="0.2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.5" customHeight="1" x14ac:dyDescent="0.2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.5" customHeight="1" x14ac:dyDescent="0.2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.5" customHeight="1" x14ac:dyDescent="0.2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.5" customHeight="1" x14ac:dyDescent="0.2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.5" customHeight="1" x14ac:dyDescent="0.2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.5" customHeight="1" x14ac:dyDescent="0.2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.5" customHeight="1" x14ac:dyDescent="0.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.5" customHeight="1" x14ac:dyDescent="0.2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.5" customHeight="1" x14ac:dyDescent="0.2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.5" customHeight="1" x14ac:dyDescent="0.2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.5" customHeight="1" x14ac:dyDescent="0.2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.5" customHeight="1" x14ac:dyDescent="0.2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.5" customHeight="1" x14ac:dyDescent="0.2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.5" customHeight="1" x14ac:dyDescent="0.2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.5" customHeight="1" x14ac:dyDescent="0.2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.5" customHeight="1" x14ac:dyDescent="0.2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.5" customHeight="1" x14ac:dyDescent="0.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.5" customHeight="1" x14ac:dyDescent="0.2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.5" customHeight="1" x14ac:dyDescent="0.2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.5" customHeight="1" x14ac:dyDescent="0.2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.5" customHeight="1" x14ac:dyDescent="0.2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.5" customHeight="1" x14ac:dyDescent="0.2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.5" customHeight="1" x14ac:dyDescent="0.2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.5" customHeight="1" x14ac:dyDescent="0.2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.5" customHeight="1" x14ac:dyDescent="0.2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.5" customHeight="1" x14ac:dyDescent="0.2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.5" customHeight="1" x14ac:dyDescent="0.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.5" customHeight="1" x14ac:dyDescent="0.2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.5" customHeight="1" x14ac:dyDescent="0.2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.5" customHeight="1" x14ac:dyDescent="0.2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.5" customHeight="1" x14ac:dyDescent="0.2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.5" customHeight="1" x14ac:dyDescent="0.2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.5" customHeight="1" x14ac:dyDescent="0.2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.5" customHeight="1" x14ac:dyDescent="0.2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.5" customHeight="1" x14ac:dyDescent="0.2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.5" customHeight="1" x14ac:dyDescent="0.2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.5" customHeight="1" x14ac:dyDescent="0.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.5" customHeight="1" x14ac:dyDescent="0.2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.5" customHeight="1" x14ac:dyDescent="0.2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.5" customHeight="1" x14ac:dyDescent="0.2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.5" customHeight="1" x14ac:dyDescent="0.2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.5" customHeight="1" x14ac:dyDescent="0.2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.5" customHeight="1" x14ac:dyDescent="0.2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.5" customHeight="1" x14ac:dyDescent="0.2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.5" customHeight="1" x14ac:dyDescent="0.2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.5" customHeight="1" x14ac:dyDescent="0.2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.5" customHeight="1" x14ac:dyDescent="0.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.5" customHeight="1" x14ac:dyDescent="0.2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.5" customHeight="1" x14ac:dyDescent="0.2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.5" customHeight="1" x14ac:dyDescent="0.2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.5" customHeight="1" x14ac:dyDescent="0.2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.5" customHeight="1" x14ac:dyDescent="0.2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.5" customHeight="1" x14ac:dyDescent="0.2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.5" customHeight="1" x14ac:dyDescent="0.2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.5" customHeight="1" x14ac:dyDescent="0.2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.5" customHeight="1" x14ac:dyDescent="0.2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.5" customHeight="1" x14ac:dyDescent="0.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.5" customHeight="1" x14ac:dyDescent="0.2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.5" customHeight="1" x14ac:dyDescent="0.2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.5" customHeight="1" x14ac:dyDescent="0.2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.5" customHeight="1" x14ac:dyDescent="0.2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.5" customHeight="1" x14ac:dyDescent="0.2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.5" customHeight="1" x14ac:dyDescent="0.2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.5" customHeight="1" x14ac:dyDescent="0.2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.5" customHeight="1" x14ac:dyDescent="0.2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.5" customHeight="1" x14ac:dyDescent="0.2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.5" customHeight="1" x14ac:dyDescent="0.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.5" customHeight="1" x14ac:dyDescent="0.2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.5" customHeight="1" x14ac:dyDescent="0.2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.5" customHeight="1" x14ac:dyDescent="0.2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.5" customHeight="1" x14ac:dyDescent="0.2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.5" customHeight="1" x14ac:dyDescent="0.2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.5" customHeight="1" x14ac:dyDescent="0.2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.5" customHeight="1" x14ac:dyDescent="0.2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.5" customHeight="1" x14ac:dyDescent="0.2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.5" customHeight="1" x14ac:dyDescent="0.2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.5" customHeight="1" x14ac:dyDescent="0.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.5" customHeight="1" x14ac:dyDescent="0.2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.5" customHeight="1" x14ac:dyDescent="0.2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.5" customHeight="1" x14ac:dyDescent="0.2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.5" customHeight="1" x14ac:dyDescent="0.2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.5" customHeight="1" x14ac:dyDescent="0.2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.5" customHeight="1" x14ac:dyDescent="0.2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.5" customHeight="1" x14ac:dyDescent="0.2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.5" customHeight="1" x14ac:dyDescent="0.2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.5" customHeight="1" x14ac:dyDescent="0.2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.5" customHeight="1" x14ac:dyDescent="0.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.5" customHeight="1" x14ac:dyDescent="0.2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.5" customHeight="1" x14ac:dyDescent="0.2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.5" customHeight="1" x14ac:dyDescent="0.2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.5" customHeight="1" x14ac:dyDescent="0.2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.5" customHeight="1" x14ac:dyDescent="0.2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.5" customHeight="1" x14ac:dyDescent="0.2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.5" customHeight="1" x14ac:dyDescent="0.2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.5" customHeight="1" x14ac:dyDescent="0.2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.5" customHeight="1" x14ac:dyDescent="0.2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.5" customHeight="1" x14ac:dyDescent="0.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.5" customHeight="1" x14ac:dyDescent="0.2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.5" customHeight="1" x14ac:dyDescent="0.2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.5" customHeight="1" x14ac:dyDescent="0.2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.5" customHeight="1" x14ac:dyDescent="0.2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.5" customHeight="1" x14ac:dyDescent="0.2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.5" customHeight="1" x14ac:dyDescent="0.2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.5" customHeight="1" x14ac:dyDescent="0.2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.5" customHeight="1" x14ac:dyDescent="0.2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.5" customHeight="1" x14ac:dyDescent="0.2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.5" customHeight="1" x14ac:dyDescent="0.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.5" customHeight="1" x14ac:dyDescent="0.2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.5" customHeight="1" x14ac:dyDescent="0.2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.5" customHeight="1" x14ac:dyDescent="0.2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.5" customHeight="1" x14ac:dyDescent="0.2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.5" customHeight="1" x14ac:dyDescent="0.2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.5" customHeight="1" x14ac:dyDescent="0.2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.5" customHeight="1" x14ac:dyDescent="0.2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.5" customHeight="1" x14ac:dyDescent="0.2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.5" customHeight="1" x14ac:dyDescent="0.2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.5" customHeight="1" x14ac:dyDescent="0.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.5" customHeight="1" x14ac:dyDescent="0.2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.5" customHeight="1" x14ac:dyDescent="0.2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.5" customHeight="1" x14ac:dyDescent="0.2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.5" customHeight="1" x14ac:dyDescent="0.2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.5" customHeight="1" x14ac:dyDescent="0.2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.5" customHeight="1" x14ac:dyDescent="0.2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.5" customHeight="1" x14ac:dyDescent="0.2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.5" customHeight="1" x14ac:dyDescent="0.2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.5" customHeight="1" x14ac:dyDescent="0.2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.5" customHeight="1" x14ac:dyDescent="0.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.5" customHeight="1" x14ac:dyDescent="0.2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.5" customHeight="1" x14ac:dyDescent="0.2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.5" customHeight="1" x14ac:dyDescent="0.2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.5" customHeight="1" x14ac:dyDescent="0.2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.5" customHeight="1" x14ac:dyDescent="0.2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.5" customHeight="1" x14ac:dyDescent="0.2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.5" customHeight="1" x14ac:dyDescent="0.2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.5" customHeight="1" x14ac:dyDescent="0.2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.5" customHeight="1" x14ac:dyDescent="0.2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.5" customHeight="1" x14ac:dyDescent="0.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.5" customHeight="1" x14ac:dyDescent="0.2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.5" customHeight="1" x14ac:dyDescent="0.2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.5" customHeight="1" x14ac:dyDescent="0.2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.5" customHeight="1" x14ac:dyDescent="0.2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.5" customHeight="1" x14ac:dyDescent="0.2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.5" customHeight="1" x14ac:dyDescent="0.2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.5" customHeight="1" x14ac:dyDescent="0.2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.5" customHeight="1" x14ac:dyDescent="0.2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.5" customHeight="1" x14ac:dyDescent="0.2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.5" customHeight="1" x14ac:dyDescent="0.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.5" customHeight="1" x14ac:dyDescent="0.2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.5" customHeight="1" x14ac:dyDescent="0.2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.5" customHeight="1" x14ac:dyDescent="0.2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.5" customHeight="1" x14ac:dyDescent="0.2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.5" customHeight="1" x14ac:dyDescent="0.2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.5" customHeight="1" x14ac:dyDescent="0.2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.5" customHeight="1" x14ac:dyDescent="0.2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.5" customHeight="1" x14ac:dyDescent="0.2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.5" customHeight="1" x14ac:dyDescent="0.2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.5" customHeight="1" x14ac:dyDescent="0.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.5" customHeight="1" x14ac:dyDescent="0.2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.5" customHeight="1" x14ac:dyDescent="0.2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.5" customHeight="1" x14ac:dyDescent="0.2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.5" customHeight="1" x14ac:dyDescent="0.2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.5" customHeight="1" x14ac:dyDescent="0.2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.5" customHeight="1" x14ac:dyDescent="0.2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.5" customHeight="1" x14ac:dyDescent="0.2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.5" customHeight="1" x14ac:dyDescent="0.2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.5" customHeight="1" x14ac:dyDescent="0.2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.5" customHeight="1" x14ac:dyDescent="0.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.5" customHeight="1" x14ac:dyDescent="0.2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.5" customHeight="1" x14ac:dyDescent="0.2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.5" customHeight="1" x14ac:dyDescent="0.2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.5" customHeight="1" x14ac:dyDescent="0.2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.5" customHeight="1" x14ac:dyDescent="0.2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.5" customHeight="1" x14ac:dyDescent="0.2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.5" customHeight="1" x14ac:dyDescent="0.2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.5" customHeight="1" x14ac:dyDescent="0.2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.5" customHeight="1" x14ac:dyDescent="0.2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.5" customHeight="1" x14ac:dyDescent="0.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.5" customHeight="1" x14ac:dyDescent="0.2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.5" customHeight="1" x14ac:dyDescent="0.2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.5" customHeight="1" x14ac:dyDescent="0.2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.5" customHeight="1" x14ac:dyDescent="0.2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.5" customHeight="1" x14ac:dyDescent="0.2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.5" customHeight="1" x14ac:dyDescent="0.2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.5" customHeight="1" x14ac:dyDescent="0.2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.5" customHeight="1" x14ac:dyDescent="0.2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.5" customHeight="1" x14ac:dyDescent="0.2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.5" customHeight="1" x14ac:dyDescent="0.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.5" customHeight="1" x14ac:dyDescent="0.2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.5" customHeight="1" x14ac:dyDescent="0.2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.5" customHeight="1" x14ac:dyDescent="0.2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.5" customHeight="1" x14ac:dyDescent="0.2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.5" customHeight="1" x14ac:dyDescent="0.2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.5" customHeight="1" x14ac:dyDescent="0.2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.5" customHeight="1" x14ac:dyDescent="0.2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.5" customHeight="1" x14ac:dyDescent="0.2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.5" customHeight="1" x14ac:dyDescent="0.2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.5" customHeight="1" x14ac:dyDescent="0.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.5" customHeight="1" x14ac:dyDescent="0.2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.5" customHeight="1" x14ac:dyDescent="0.2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.5" customHeight="1" x14ac:dyDescent="0.2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.5" customHeight="1" x14ac:dyDescent="0.2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.5" customHeight="1" x14ac:dyDescent="0.2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.5" customHeight="1" x14ac:dyDescent="0.2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.5" customHeight="1" x14ac:dyDescent="0.2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.5" customHeight="1" x14ac:dyDescent="0.2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.5" customHeight="1" x14ac:dyDescent="0.2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.5" customHeight="1" x14ac:dyDescent="0.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.5" customHeight="1" x14ac:dyDescent="0.2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.5" customHeight="1" x14ac:dyDescent="0.2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.5" customHeight="1" x14ac:dyDescent="0.2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.5" customHeight="1" x14ac:dyDescent="0.2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.5" customHeight="1" x14ac:dyDescent="0.2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.5" customHeight="1" x14ac:dyDescent="0.2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.5" customHeight="1" x14ac:dyDescent="0.2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.5" customHeight="1" x14ac:dyDescent="0.2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.5" customHeight="1" x14ac:dyDescent="0.2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.5" customHeight="1" x14ac:dyDescent="0.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.5" customHeight="1" x14ac:dyDescent="0.2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.5" customHeight="1" x14ac:dyDescent="0.2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.5" customHeight="1" x14ac:dyDescent="0.2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.5" customHeight="1" x14ac:dyDescent="0.2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.5" customHeight="1" x14ac:dyDescent="0.2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.5" customHeight="1" x14ac:dyDescent="0.2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.5" customHeight="1" x14ac:dyDescent="0.2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.5" customHeight="1" x14ac:dyDescent="0.2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.5" customHeight="1" x14ac:dyDescent="0.2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.5" customHeight="1" x14ac:dyDescent="0.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.5" customHeight="1" x14ac:dyDescent="0.2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.5" customHeight="1" x14ac:dyDescent="0.2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.5" customHeight="1" x14ac:dyDescent="0.2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.5" customHeight="1" x14ac:dyDescent="0.2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.5" customHeight="1" x14ac:dyDescent="0.2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.5" customHeight="1" x14ac:dyDescent="0.2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.5" customHeight="1" x14ac:dyDescent="0.2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.5" customHeight="1" x14ac:dyDescent="0.2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.5" customHeight="1" x14ac:dyDescent="0.2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.5" customHeight="1" x14ac:dyDescent="0.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.5" customHeight="1" x14ac:dyDescent="0.2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.5" customHeight="1" x14ac:dyDescent="0.2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.5" customHeight="1" x14ac:dyDescent="0.2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.5" customHeight="1" x14ac:dyDescent="0.2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.5" customHeight="1" x14ac:dyDescent="0.2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.5" customHeight="1" x14ac:dyDescent="0.2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.5" customHeight="1" x14ac:dyDescent="0.2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.5" customHeight="1" x14ac:dyDescent="0.2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.5" customHeight="1" x14ac:dyDescent="0.2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.5" customHeight="1" x14ac:dyDescent="0.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.5" customHeight="1" x14ac:dyDescent="0.2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.5" customHeight="1" x14ac:dyDescent="0.2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6.5" customHeight="1" x14ac:dyDescent="0.2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6.5" customHeight="1" x14ac:dyDescent="0.2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6.5" customHeight="1" x14ac:dyDescent="0.2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6.5" customHeight="1" x14ac:dyDescent="0.2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6.5" customHeight="1" x14ac:dyDescent="0.2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6.5" customHeight="1" x14ac:dyDescent="0.2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">
    <mergeCell ref="A3:B5"/>
    <mergeCell ref="D3:H5"/>
    <mergeCell ref="A7:A21"/>
    <mergeCell ref="H13:H21"/>
  </mergeCells>
  <phoneticPr fontId="22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00"/>
  <sheetViews>
    <sheetView showGridLines="0" zoomScale="140" zoomScaleNormal="140" workbookViewId="0">
      <selection activeCell="U49" sqref="U49"/>
    </sheetView>
  </sheetViews>
  <sheetFormatPr baseColWidth="10" defaultColWidth="14.5" defaultRowHeight="15" customHeight="1" x14ac:dyDescent="0.2"/>
  <cols>
    <col min="1" max="1" width="3.1640625" customWidth="1"/>
    <col min="2" max="2" width="2.1640625" customWidth="1"/>
    <col min="3" max="3" width="8.83203125" customWidth="1"/>
    <col min="4" max="4" width="24" customWidth="1"/>
    <col min="5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8.83203125" customWidth="1"/>
  </cols>
  <sheetData>
    <row r="1" spans="1:37" ht="16.5" customHeight="1" x14ac:dyDescent="0.2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7" ht="16.5" customHeight="1" x14ac:dyDescent="0.2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7" ht="16.5" customHeight="1" x14ac:dyDescent="0.2">
      <c r="A3" s="19"/>
      <c r="B3" s="25"/>
      <c r="C3" s="183" t="s">
        <v>22</v>
      </c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5"/>
      <c r="AJ3" s="26"/>
      <c r="AK3" s="19"/>
    </row>
    <row r="4" spans="1:37" ht="80.25" customHeight="1" x14ac:dyDescent="0.2">
      <c r="A4" s="19"/>
      <c r="B4" s="25"/>
      <c r="C4" s="186">
        <v>45674</v>
      </c>
      <c r="D4" s="15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7" ht="16.5" customHeight="1" x14ac:dyDescent="0.2">
      <c r="A5" s="19"/>
      <c r="B5" s="25"/>
      <c r="C5" s="29"/>
      <c r="D5" s="29"/>
      <c r="E5" s="30"/>
      <c r="F5" s="30"/>
      <c r="G5" s="30"/>
      <c r="H5" s="30"/>
      <c r="I5" s="30"/>
      <c r="J5" s="30"/>
      <c r="K5" s="31"/>
      <c r="L5" s="187"/>
      <c r="M5" s="188"/>
      <c r="N5" s="187"/>
      <c r="O5" s="188"/>
      <c r="P5" s="188"/>
      <c r="Q5" s="188"/>
      <c r="R5" s="188"/>
      <c r="S5" s="188"/>
      <c r="T5" s="188"/>
      <c r="U5" s="188"/>
      <c r="V5" s="188"/>
      <c r="W5" s="18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7" ht="16.5" customHeight="1" x14ac:dyDescent="0.2">
      <c r="A6" s="19"/>
      <c r="B6" s="25"/>
      <c r="C6" s="33" t="s">
        <v>23</v>
      </c>
      <c r="D6" s="33" t="s">
        <v>24</v>
      </c>
      <c r="E6" s="34" t="s">
        <v>25</v>
      </c>
      <c r="F6" s="34" t="s">
        <v>26</v>
      </c>
      <c r="G6" s="35" t="s">
        <v>27</v>
      </c>
      <c r="H6" s="34" t="s">
        <v>28</v>
      </c>
      <c r="I6" s="34" t="s">
        <v>29</v>
      </c>
      <c r="J6" s="34" t="s">
        <v>30</v>
      </c>
      <c r="K6" s="34" t="s">
        <v>31</v>
      </c>
      <c r="L6" s="36" t="s">
        <v>32</v>
      </c>
      <c r="M6" s="36" t="s">
        <v>33</v>
      </c>
      <c r="N6" s="36" t="s">
        <v>34</v>
      </c>
      <c r="O6" s="36" t="s">
        <v>35</v>
      </c>
      <c r="P6" s="36" t="s">
        <v>36</v>
      </c>
      <c r="Q6" s="36" t="s">
        <v>37</v>
      </c>
      <c r="R6" s="36" t="s">
        <v>38</v>
      </c>
      <c r="S6" s="36" t="s">
        <v>39</v>
      </c>
      <c r="T6" s="36" t="s">
        <v>40</v>
      </c>
      <c r="U6" s="36" t="s">
        <v>41</v>
      </c>
      <c r="V6" s="36" t="s">
        <v>42</v>
      </c>
      <c r="W6" s="36" t="s">
        <v>43</v>
      </c>
      <c r="X6" s="36" t="s">
        <v>44</v>
      </c>
      <c r="Y6" s="36" t="s">
        <v>45</v>
      </c>
      <c r="Z6" s="36" t="s">
        <v>46</v>
      </c>
      <c r="AA6" s="36"/>
      <c r="AB6" s="36"/>
      <c r="AC6" s="36"/>
      <c r="AD6" s="36"/>
      <c r="AE6" s="36"/>
      <c r="AF6" s="36"/>
      <c r="AG6" s="36"/>
      <c r="AH6" s="36"/>
      <c r="AI6" s="37" t="s">
        <v>47</v>
      </c>
      <c r="AJ6" s="26"/>
      <c r="AK6" s="19"/>
    </row>
    <row r="7" spans="1:37" ht="16.5" customHeight="1" x14ac:dyDescent="0.2">
      <c r="A7" s="19"/>
      <c r="B7" s="25"/>
      <c r="C7" s="38" t="s">
        <v>48</v>
      </c>
      <c r="D7" s="39" t="s">
        <v>49</v>
      </c>
      <c r="E7" s="40" t="s">
        <v>50</v>
      </c>
      <c r="F7" s="40" t="s">
        <v>4</v>
      </c>
      <c r="G7" s="41" t="s">
        <v>51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4" si="0">SUM(L7:AH7)</f>
        <v>14.5</v>
      </c>
      <c r="AJ7" s="26"/>
      <c r="AK7" s="19"/>
    </row>
    <row r="8" spans="1:37" ht="16.5" customHeight="1" x14ac:dyDescent="0.2">
      <c r="A8" s="19"/>
      <c r="B8" s="25"/>
      <c r="C8" s="38" t="s">
        <v>52</v>
      </c>
      <c r="D8" s="39" t="s">
        <v>53</v>
      </c>
      <c r="E8" s="40" t="s">
        <v>50</v>
      </c>
      <c r="F8" s="40" t="s">
        <v>3</v>
      </c>
      <c r="G8" s="41" t="s">
        <v>51</v>
      </c>
      <c r="H8" s="42">
        <v>45705</v>
      </c>
      <c r="I8" s="42">
        <v>46127</v>
      </c>
      <c r="J8" s="42"/>
      <c r="K8" s="42"/>
      <c r="L8" s="46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7" ht="16.5" customHeight="1" x14ac:dyDescent="0.2">
      <c r="A9" s="19"/>
      <c r="B9" s="25"/>
      <c r="C9" s="47"/>
      <c r="D9" s="176" t="s">
        <v>54</v>
      </c>
      <c r="E9" s="40" t="s">
        <v>50</v>
      </c>
      <c r="F9" s="40" t="s">
        <v>8</v>
      </c>
      <c r="G9" s="41" t="s">
        <v>51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0.5</v>
      </c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13.5</v>
      </c>
      <c r="AJ9" s="26"/>
      <c r="AK9" s="19"/>
    </row>
    <row r="10" spans="1:37" ht="16.5" customHeight="1" x14ac:dyDescent="0.2">
      <c r="A10" s="19"/>
      <c r="B10" s="25"/>
      <c r="C10" s="47"/>
      <c r="D10" s="174"/>
      <c r="E10" s="40" t="s">
        <v>50</v>
      </c>
      <c r="F10" s="40" t="s">
        <v>7</v>
      </c>
      <c r="G10" s="48" t="s">
        <v>55</v>
      </c>
      <c r="H10" s="42">
        <v>45691</v>
      </c>
      <c r="I10" s="49">
        <v>46081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>
        <v>1</v>
      </c>
      <c r="W10" s="43">
        <v>1</v>
      </c>
      <c r="X10" s="46">
        <v>1</v>
      </c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13</v>
      </c>
      <c r="AJ10" s="26"/>
      <c r="AK10" s="19"/>
    </row>
    <row r="11" spans="1:37" ht="16.5" customHeight="1" x14ac:dyDescent="0.2">
      <c r="A11" s="19"/>
      <c r="B11" s="25"/>
      <c r="C11" s="50" t="s">
        <v>48</v>
      </c>
      <c r="D11" s="174"/>
      <c r="E11" s="51" t="s">
        <v>56</v>
      </c>
      <c r="F11" s="51" t="s">
        <v>57</v>
      </c>
      <c r="G11" s="52" t="s">
        <v>50</v>
      </c>
      <c r="H11" s="53">
        <v>45719</v>
      </c>
      <c r="I11" s="53">
        <v>46096</v>
      </c>
      <c r="J11" s="53"/>
      <c r="K11" s="53"/>
      <c r="L11" s="54">
        <v>0</v>
      </c>
      <c r="M11" s="55">
        <v>1</v>
      </c>
      <c r="N11" s="55">
        <v>1</v>
      </c>
      <c r="O11" s="55">
        <v>1</v>
      </c>
      <c r="P11" s="55">
        <v>1</v>
      </c>
      <c r="Q11" s="55">
        <v>1</v>
      </c>
      <c r="R11" s="55">
        <v>1</v>
      </c>
      <c r="S11" s="55">
        <v>1</v>
      </c>
      <c r="T11" s="55">
        <v>1</v>
      </c>
      <c r="U11" s="55">
        <v>1</v>
      </c>
      <c r="V11" s="55">
        <v>1</v>
      </c>
      <c r="W11" s="55">
        <v>1</v>
      </c>
      <c r="X11" s="55">
        <v>1</v>
      </c>
      <c r="Y11" s="55">
        <v>0.5</v>
      </c>
      <c r="Z11" s="55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12.5</v>
      </c>
      <c r="AJ11" s="26"/>
      <c r="AK11" s="19"/>
    </row>
    <row r="12" spans="1:37" ht="16.5" customHeight="1" x14ac:dyDescent="0.2">
      <c r="A12" s="19"/>
      <c r="B12" s="25"/>
      <c r="C12" s="50" t="s">
        <v>48</v>
      </c>
      <c r="D12" s="174"/>
      <c r="E12" s="51" t="s">
        <v>56</v>
      </c>
      <c r="F12" s="51" t="s">
        <v>11</v>
      </c>
      <c r="G12" s="52" t="s">
        <v>50</v>
      </c>
      <c r="H12" s="53">
        <v>45691</v>
      </c>
      <c r="I12" s="56">
        <v>46068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>
        <v>1</v>
      </c>
      <c r="V12" s="55">
        <v>1</v>
      </c>
      <c r="W12" s="55">
        <v>1</v>
      </c>
      <c r="X12" s="55">
        <v>0.5</v>
      </c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12.5</v>
      </c>
      <c r="AJ12" s="26"/>
      <c r="AK12" s="19"/>
    </row>
    <row r="13" spans="1:37" ht="16.5" customHeight="1" x14ac:dyDescent="0.2">
      <c r="A13" s="19"/>
      <c r="B13" s="25"/>
      <c r="C13" s="50" t="s">
        <v>48</v>
      </c>
      <c r="D13" s="174"/>
      <c r="E13" s="57" t="s">
        <v>58</v>
      </c>
      <c r="F13" s="57" t="s">
        <v>12</v>
      </c>
      <c r="G13" s="58" t="s">
        <v>55</v>
      </c>
      <c r="H13" s="59">
        <v>45691</v>
      </c>
      <c r="I13" s="59">
        <v>46022</v>
      </c>
      <c r="J13" s="59"/>
      <c r="K13" s="59"/>
      <c r="L13" s="44">
        <v>1</v>
      </c>
      <c r="M13" s="44">
        <v>1</v>
      </c>
      <c r="N13" s="44">
        <v>1</v>
      </c>
      <c r="O13" s="44">
        <v>1</v>
      </c>
      <c r="P13" s="44">
        <v>1</v>
      </c>
      <c r="Q13" s="44">
        <v>1</v>
      </c>
      <c r="R13" s="44">
        <v>1</v>
      </c>
      <c r="S13" s="44">
        <v>1</v>
      </c>
      <c r="T13" s="44">
        <v>1</v>
      </c>
      <c r="U13" s="44">
        <v>1</v>
      </c>
      <c r="V13" s="44">
        <v>1</v>
      </c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11</v>
      </c>
      <c r="AJ13" s="26"/>
      <c r="AK13" s="19"/>
    </row>
    <row r="14" spans="1:37" ht="16.5" customHeight="1" x14ac:dyDescent="0.2">
      <c r="A14" s="19"/>
      <c r="B14" s="25"/>
      <c r="C14" s="50" t="s">
        <v>48</v>
      </c>
      <c r="D14" s="175"/>
      <c r="E14" s="57" t="s">
        <v>58</v>
      </c>
      <c r="F14" s="57" t="s">
        <v>16</v>
      </c>
      <c r="G14" s="58" t="s">
        <v>55</v>
      </c>
      <c r="H14" s="59">
        <v>45691</v>
      </c>
      <c r="I14" s="59">
        <v>45930</v>
      </c>
      <c r="J14" s="59"/>
      <c r="K14" s="59"/>
      <c r="L14" s="44">
        <v>1</v>
      </c>
      <c r="M14" s="44">
        <v>1</v>
      </c>
      <c r="N14" s="44">
        <v>1</v>
      </c>
      <c r="O14" s="44">
        <v>1</v>
      </c>
      <c r="P14" s="44">
        <v>1</v>
      </c>
      <c r="Q14" s="44">
        <v>1</v>
      </c>
      <c r="R14" s="44">
        <v>1</v>
      </c>
      <c r="S14" s="44">
        <v>1</v>
      </c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8</v>
      </c>
      <c r="AJ14" s="26"/>
      <c r="AK14" s="19"/>
    </row>
    <row r="15" spans="1:37" ht="16.5" hidden="1" customHeight="1" x14ac:dyDescent="0.2">
      <c r="A15" s="19"/>
      <c r="B15" s="25"/>
      <c r="C15" s="50" t="s">
        <v>48</v>
      </c>
      <c r="D15" s="176"/>
      <c r="E15" s="57" t="s">
        <v>50</v>
      </c>
      <c r="F15" s="57"/>
      <c r="G15" s="60"/>
      <c r="H15" s="59"/>
      <c r="I15" s="59"/>
      <c r="J15" s="59"/>
      <c r="K15" s="59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5">
        <v>0</v>
      </c>
      <c r="AJ15" s="26"/>
      <c r="AK15" s="19"/>
    </row>
    <row r="16" spans="1:37" ht="16.5" hidden="1" customHeight="1" x14ac:dyDescent="0.2">
      <c r="A16" s="19"/>
      <c r="B16" s="25"/>
      <c r="C16" s="50" t="s">
        <v>48</v>
      </c>
      <c r="D16" s="174"/>
      <c r="E16" s="57" t="s">
        <v>56</v>
      </c>
      <c r="F16" s="57"/>
      <c r="G16" s="60"/>
      <c r="H16" s="59"/>
      <c r="I16" s="59"/>
      <c r="J16" s="59"/>
      <c r="K16" s="59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>
        <v>0</v>
      </c>
      <c r="AJ16" s="26"/>
      <c r="AK16" s="19"/>
    </row>
    <row r="17" spans="1:37" ht="16.5" hidden="1" customHeight="1" x14ac:dyDescent="0.2">
      <c r="A17" s="19"/>
      <c r="B17" s="25"/>
      <c r="C17" s="50" t="s">
        <v>48</v>
      </c>
      <c r="D17" s="175"/>
      <c r="E17" s="57" t="s">
        <v>58</v>
      </c>
      <c r="F17" s="57"/>
      <c r="G17" s="60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v>0</v>
      </c>
      <c r="AJ17" s="26"/>
      <c r="AK17" s="19"/>
    </row>
    <row r="18" spans="1:37" ht="16.5" hidden="1" customHeight="1" x14ac:dyDescent="0.2">
      <c r="A18" s="19"/>
      <c r="B18" s="25"/>
      <c r="C18" s="50" t="s">
        <v>48</v>
      </c>
      <c r="D18" s="176"/>
      <c r="E18" s="57" t="s">
        <v>50</v>
      </c>
      <c r="F18" s="57"/>
      <c r="G18" s="60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v>0</v>
      </c>
      <c r="AJ18" s="26"/>
      <c r="AK18" s="19"/>
    </row>
    <row r="19" spans="1:37" ht="16.5" hidden="1" customHeight="1" x14ac:dyDescent="0.2">
      <c r="A19" s="19"/>
      <c r="B19" s="25"/>
      <c r="C19" s="50" t="s">
        <v>48</v>
      </c>
      <c r="D19" s="174"/>
      <c r="E19" s="57" t="s">
        <v>56</v>
      </c>
      <c r="F19" s="57"/>
      <c r="G19" s="60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v>0</v>
      </c>
      <c r="AJ19" s="26"/>
      <c r="AK19" s="19"/>
    </row>
    <row r="20" spans="1:37" ht="16.5" hidden="1" customHeight="1" x14ac:dyDescent="0.2">
      <c r="A20" s="19"/>
      <c r="B20" s="25"/>
      <c r="C20" s="50" t="s">
        <v>48</v>
      </c>
      <c r="D20" s="175"/>
      <c r="E20" s="57" t="s">
        <v>58</v>
      </c>
      <c r="F20" s="57"/>
      <c r="G20" s="60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v>0</v>
      </c>
      <c r="AJ20" s="26"/>
      <c r="AK20" s="19"/>
    </row>
    <row r="21" spans="1:37" ht="16.5" customHeight="1" x14ac:dyDescent="0.2">
      <c r="A21" s="19"/>
      <c r="B21" s="25"/>
      <c r="C21" s="61" t="s">
        <v>48</v>
      </c>
      <c r="D21" s="62" t="s">
        <v>59</v>
      </c>
      <c r="E21" s="63"/>
      <c r="F21" s="63"/>
      <c r="G21" s="64"/>
      <c r="H21" s="65"/>
      <c r="I21" s="66" t="s">
        <v>60</v>
      </c>
      <c r="J21" s="67"/>
      <c r="K21" s="67"/>
      <c r="L21" s="68">
        <f t="shared" ref="L21:Z21" si="1">SUM(L7:L20)</f>
        <v>6.5</v>
      </c>
      <c r="M21" s="68">
        <f t="shared" si="1"/>
        <v>8</v>
      </c>
      <c r="N21" s="68">
        <f t="shared" si="1"/>
        <v>8</v>
      </c>
      <c r="O21" s="68">
        <f t="shared" si="1"/>
        <v>8</v>
      </c>
      <c r="P21" s="68">
        <f t="shared" si="1"/>
        <v>8</v>
      </c>
      <c r="Q21" s="68">
        <f t="shared" si="1"/>
        <v>8</v>
      </c>
      <c r="R21" s="68">
        <f t="shared" si="1"/>
        <v>8</v>
      </c>
      <c r="S21" s="68">
        <f t="shared" si="1"/>
        <v>8</v>
      </c>
      <c r="T21" s="68">
        <f t="shared" si="1"/>
        <v>7</v>
      </c>
      <c r="U21" s="68">
        <f t="shared" si="1"/>
        <v>7</v>
      </c>
      <c r="V21" s="68">
        <f t="shared" si="1"/>
        <v>7</v>
      </c>
      <c r="W21" s="68">
        <f t="shared" si="1"/>
        <v>6</v>
      </c>
      <c r="X21" s="68">
        <f t="shared" si="1"/>
        <v>5.5</v>
      </c>
      <c r="Y21" s="68">
        <f t="shared" si="1"/>
        <v>3</v>
      </c>
      <c r="Z21" s="68">
        <f t="shared" si="1"/>
        <v>1</v>
      </c>
      <c r="AA21" s="68"/>
      <c r="AB21" s="68"/>
      <c r="AC21" s="68"/>
      <c r="AD21" s="68"/>
      <c r="AE21" s="68"/>
      <c r="AF21" s="68"/>
      <c r="AG21" s="68"/>
      <c r="AH21" s="68"/>
      <c r="AI21" s="69">
        <f>SUM(AI7:AI20)</f>
        <v>99</v>
      </c>
      <c r="AJ21" s="26"/>
      <c r="AK21" s="19"/>
    </row>
    <row r="22" spans="1:37" ht="4.5" customHeight="1" x14ac:dyDescent="0.2">
      <c r="A22" s="70"/>
      <c r="B22" s="71"/>
      <c r="C22" s="72"/>
      <c r="D22" s="73"/>
      <c r="E22" s="74"/>
      <c r="F22" s="74"/>
      <c r="G22" s="75"/>
      <c r="H22" s="76"/>
      <c r="I22" s="76"/>
      <c r="J22" s="76"/>
      <c r="K22" s="76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7"/>
      <c r="AJ22" s="78"/>
      <c r="AK22" s="70"/>
    </row>
    <row r="23" spans="1:37" ht="16.5" customHeight="1" x14ac:dyDescent="0.2">
      <c r="A23" s="19"/>
      <c r="B23" s="25"/>
      <c r="C23" s="38" t="s">
        <v>61</v>
      </c>
      <c r="D23" s="79" t="s">
        <v>53</v>
      </c>
      <c r="E23" s="51" t="s">
        <v>56</v>
      </c>
      <c r="F23" s="51" t="s">
        <v>5</v>
      </c>
      <c r="G23" s="80" t="s">
        <v>55</v>
      </c>
      <c r="H23" s="53">
        <v>45740</v>
      </c>
      <c r="I23" s="53">
        <v>46127</v>
      </c>
      <c r="J23" s="53"/>
      <c r="K23" s="53"/>
      <c r="L23" s="55"/>
      <c r="M23" s="54">
        <v>0.25</v>
      </c>
      <c r="N23" s="55">
        <v>1</v>
      </c>
      <c r="O23" s="55">
        <v>1</v>
      </c>
      <c r="P23" s="55">
        <v>1</v>
      </c>
      <c r="Q23" s="55">
        <v>1</v>
      </c>
      <c r="R23" s="55">
        <v>1</v>
      </c>
      <c r="S23" s="55">
        <v>1</v>
      </c>
      <c r="T23" s="55">
        <v>1</v>
      </c>
      <c r="U23" s="55">
        <v>1</v>
      </c>
      <c r="V23" s="55">
        <v>1</v>
      </c>
      <c r="W23" s="55">
        <v>1</v>
      </c>
      <c r="X23" s="55">
        <v>1</v>
      </c>
      <c r="Y23" s="55">
        <v>1</v>
      </c>
      <c r="Z23" s="55">
        <v>0.5</v>
      </c>
      <c r="AA23" s="44"/>
      <c r="AB23" s="44"/>
      <c r="AC23" s="44"/>
      <c r="AD23" s="44"/>
      <c r="AE23" s="44"/>
      <c r="AF23" s="44"/>
      <c r="AG23" s="44"/>
      <c r="AH23" s="44"/>
      <c r="AI23" s="45">
        <f t="shared" ref="AI23:AI29" si="2">SUM(M23:AH23)</f>
        <v>12.75</v>
      </c>
      <c r="AJ23" s="26"/>
      <c r="AK23" s="19"/>
    </row>
    <row r="24" spans="1:37" ht="16.5" customHeight="1" x14ac:dyDescent="0.2">
      <c r="A24" s="19"/>
      <c r="B24" s="25"/>
      <c r="C24" s="47"/>
      <c r="D24" s="173" t="s">
        <v>62</v>
      </c>
      <c r="E24" s="51" t="s">
        <v>56</v>
      </c>
      <c r="F24" s="51" t="s">
        <v>9</v>
      </c>
      <c r="G24" s="80" t="s">
        <v>55</v>
      </c>
      <c r="H24" s="53">
        <v>45740</v>
      </c>
      <c r="I24" s="53">
        <v>46112</v>
      </c>
      <c r="J24" s="53"/>
      <c r="K24" s="53"/>
      <c r="L24" s="55"/>
      <c r="M24" s="54">
        <v>0.25</v>
      </c>
      <c r="N24" s="55">
        <v>1</v>
      </c>
      <c r="O24" s="55">
        <v>1</v>
      </c>
      <c r="P24" s="55">
        <v>1</v>
      </c>
      <c r="Q24" s="55">
        <v>1</v>
      </c>
      <c r="R24" s="55">
        <v>1</v>
      </c>
      <c r="S24" s="55">
        <v>1</v>
      </c>
      <c r="T24" s="55">
        <v>1</v>
      </c>
      <c r="U24" s="55">
        <v>1</v>
      </c>
      <c r="V24" s="55">
        <v>1</v>
      </c>
      <c r="W24" s="55">
        <v>1</v>
      </c>
      <c r="X24" s="54">
        <v>1</v>
      </c>
      <c r="Y24" s="54">
        <v>1</v>
      </c>
      <c r="Z24" s="55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12.25</v>
      </c>
      <c r="AJ24" s="26"/>
      <c r="AK24" s="19"/>
    </row>
    <row r="25" spans="1:37" ht="16.5" customHeight="1" x14ac:dyDescent="0.2">
      <c r="A25" s="19"/>
      <c r="B25" s="25"/>
      <c r="C25" s="47"/>
      <c r="D25" s="174"/>
      <c r="E25" s="51" t="s">
        <v>56</v>
      </c>
      <c r="F25" s="51" t="s">
        <v>21</v>
      </c>
      <c r="G25" s="52" t="s">
        <v>50</v>
      </c>
      <c r="H25" s="53">
        <v>45748</v>
      </c>
      <c r="I25" s="53">
        <v>46112</v>
      </c>
      <c r="J25" s="53"/>
      <c r="K25" s="53"/>
      <c r="L25" s="55"/>
      <c r="M25" s="54"/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4">
        <v>1</v>
      </c>
      <c r="X25" s="54">
        <v>1</v>
      </c>
      <c r="Y25" s="54">
        <v>1</v>
      </c>
      <c r="Z25" s="55"/>
      <c r="AA25" s="44"/>
      <c r="AB25" s="44"/>
      <c r="AC25" s="44"/>
      <c r="AD25" s="44"/>
      <c r="AE25" s="44"/>
      <c r="AF25" s="44"/>
      <c r="AG25" s="44"/>
      <c r="AH25" s="44"/>
      <c r="AI25" s="45">
        <f t="shared" si="2"/>
        <v>12</v>
      </c>
      <c r="AJ25" s="26"/>
      <c r="AK25" s="19"/>
    </row>
    <row r="26" spans="1:37" ht="16.5" customHeight="1" x14ac:dyDescent="0.2">
      <c r="A26" s="19"/>
      <c r="B26" s="25"/>
      <c r="C26" s="50" t="s">
        <v>61</v>
      </c>
      <c r="D26" s="174"/>
      <c r="E26" s="57" t="s">
        <v>58</v>
      </c>
      <c r="F26" s="57" t="s">
        <v>13</v>
      </c>
      <c r="G26" s="58" t="s">
        <v>55</v>
      </c>
      <c r="H26" s="59">
        <v>45740</v>
      </c>
      <c r="I26" s="59">
        <v>46112</v>
      </c>
      <c r="J26" s="59"/>
      <c r="K26" s="59"/>
      <c r="L26" s="44"/>
      <c r="M26" s="81">
        <v>0.25</v>
      </c>
      <c r="N26" s="44">
        <v>1</v>
      </c>
      <c r="O26" s="44">
        <v>1</v>
      </c>
      <c r="P26" s="44">
        <v>1</v>
      </c>
      <c r="Q26" s="44">
        <v>1</v>
      </c>
      <c r="R26" s="44">
        <v>1</v>
      </c>
      <c r="S26" s="44">
        <v>1</v>
      </c>
      <c r="T26" s="44">
        <v>1</v>
      </c>
      <c r="U26" s="44">
        <v>1</v>
      </c>
      <c r="V26" s="44">
        <v>1</v>
      </c>
      <c r="W26" s="44">
        <v>1</v>
      </c>
      <c r="X26" s="44">
        <v>1</v>
      </c>
      <c r="Y26" s="44">
        <v>1</v>
      </c>
      <c r="Z26" s="44"/>
      <c r="AA26" s="44"/>
      <c r="AB26" s="44"/>
      <c r="AC26" s="44"/>
      <c r="AD26" s="44"/>
      <c r="AE26" s="44"/>
      <c r="AF26" s="44"/>
      <c r="AG26" s="44"/>
      <c r="AH26" s="44"/>
      <c r="AI26" s="45">
        <f t="shared" si="2"/>
        <v>12.25</v>
      </c>
      <c r="AJ26" s="26"/>
      <c r="AK26" s="19"/>
    </row>
    <row r="27" spans="1:37" ht="16.5" customHeight="1" x14ac:dyDescent="0.2">
      <c r="A27" s="19"/>
      <c r="B27" s="25"/>
      <c r="C27" s="50" t="s">
        <v>61</v>
      </c>
      <c r="D27" s="174"/>
      <c r="E27" s="57" t="s">
        <v>58</v>
      </c>
      <c r="F27" s="57" t="s">
        <v>6</v>
      </c>
      <c r="G27" s="58" t="s">
        <v>55</v>
      </c>
      <c r="H27" s="59">
        <v>45740</v>
      </c>
      <c r="I27" s="59">
        <v>45991</v>
      </c>
      <c r="J27" s="59"/>
      <c r="K27" s="59"/>
      <c r="L27" s="44"/>
      <c r="M27" s="81">
        <v>0.25</v>
      </c>
      <c r="N27" s="44">
        <v>1</v>
      </c>
      <c r="O27" s="44">
        <v>1</v>
      </c>
      <c r="P27" s="44">
        <v>1</v>
      </c>
      <c r="Q27" s="44">
        <v>1</v>
      </c>
      <c r="R27" s="44">
        <v>1</v>
      </c>
      <c r="S27" s="44">
        <v>1</v>
      </c>
      <c r="T27" s="44">
        <v>1</v>
      </c>
      <c r="U27" s="44">
        <v>1</v>
      </c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5">
        <f t="shared" si="2"/>
        <v>8.25</v>
      </c>
      <c r="AJ27" s="26"/>
      <c r="AK27" s="19"/>
    </row>
    <row r="28" spans="1:37" ht="16.5" customHeight="1" x14ac:dyDescent="0.2">
      <c r="A28" s="19"/>
      <c r="B28" s="25"/>
      <c r="C28" s="50" t="s">
        <v>61</v>
      </c>
      <c r="D28" s="174"/>
      <c r="E28" s="57" t="s">
        <v>58</v>
      </c>
      <c r="F28" s="57" t="s">
        <v>17</v>
      </c>
      <c r="G28" s="58" t="s">
        <v>55</v>
      </c>
      <c r="H28" s="59">
        <v>45748</v>
      </c>
      <c r="I28" s="59">
        <v>45991</v>
      </c>
      <c r="J28" s="59"/>
      <c r="K28" s="59"/>
      <c r="L28" s="44"/>
      <c r="M28" s="44"/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81">
        <v>1</v>
      </c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5">
        <f t="shared" si="2"/>
        <v>8</v>
      </c>
      <c r="AJ28" s="26"/>
      <c r="AK28" s="19"/>
    </row>
    <row r="29" spans="1:37" ht="16.5" customHeight="1" x14ac:dyDescent="0.2">
      <c r="A29" s="19"/>
      <c r="B29" s="25"/>
      <c r="C29" s="50" t="s">
        <v>61</v>
      </c>
      <c r="D29" s="175"/>
      <c r="E29" s="57" t="s">
        <v>58</v>
      </c>
      <c r="F29" s="57" t="s">
        <v>10</v>
      </c>
      <c r="G29" s="60" t="s">
        <v>50</v>
      </c>
      <c r="H29" s="59">
        <v>45748</v>
      </c>
      <c r="I29" s="59">
        <v>45976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81">
        <v>0.5</v>
      </c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>
        <f t="shared" si="2"/>
        <v>7.5</v>
      </c>
      <c r="AJ29" s="26"/>
      <c r="AK29" s="19"/>
    </row>
    <row r="30" spans="1:37" ht="16.5" hidden="1" customHeight="1" x14ac:dyDescent="0.2">
      <c r="A30" s="19"/>
      <c r="B30" s="25"/>
      <c r="C30" s="50" t="s">
        <v>61</v>
      </c>
      <c r="D30" s="176"/>
      <c r="E30" s="57" t="s">
        <v>50</v>
      </c>
      <c r="F30" s="57"/>
      <c r="G30" s="60"/>
      <c r="H30" s="59"/>
      <c r="I30" s="59"/>
      <c r="J30" s="59"/>
      <c r="K30" s="59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v>0</v>
      </c>
      <c r="AJ30" s="26"/>
      <c r="AK30" s="19"/>
    </row>
    <row r="31" spans="1:37" ht="16.5" hidden="1" customHeight="1" x14ac:dyDescent="0.2">
      <c r="A31" s="19"/>
      <c r="B31" s="25"/>
      <c r="C31" s="50" t="s">
        <v>61</v>
      </c>
      <c r="D31" s="174"/>
      <c r="E31" s="57" t="s">
        <v>56</v>
      </c>
      <c r="F31" s="57"/>
      <c r="G31" s="60"/>
      <c r="H31" s="59"/>
      <c r="I31" s="59"/>
      <c r="J31" s="59"/>
      <c r="K31" s="59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v>0</v>
      </c>
      <c r="AJ31" s="26"/>
      <c r="AK31" s="19"/>
    </row>
    <row r="32" spans="1:37" ht="16.5" hidden="1" customHeight="1" x14ac:dyDescent="0.2">
      <c r="A32" s="19"/>
      <c r="B32" s="25"/>
      <c r="C32" s="50" t="s">
        <v>61</v>
      </c>
      <c r="D32" s="175"/>
      <c r="E32" s="57" t="s">
        <v>58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 x14ac:dyDescent="0.2">
      <c r="A33" s="19"/>
      <c r="B33" s="25"/>
      <c r="C33" s="50" t="s">
        <v>61</v>
      </c>
      <c r="D33" s="176"/>
      <c r="E33" s="57" t="s">
        <v>50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 x14ac:dyDescent="0.2">
      <c r="A34" s="19"/>
      <c r="B34" s="25"/>
      <c r="C34" s="50" t="s">
        <v>61</v>
      </c>
      <c r="D34" s="174"/>
      <c r="E34" s="57" t="s">
        <v>56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 x14ac:dyDescent="0.2">
      <c r="A35" s="19"/>
      <c r="B35" s="25"/>
      <c r="C35" s="50" t="s">
        <v>61</v>
      </c>
      <c r="D35" s="175"/>
      <c r="E35" s="57" t="s">
        <v>58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 x14ac:dyDescent="0.2">
      <c r="A36" s="19"/>
      <c r="B36" s="25"/>
      <c r="C36" s="50" t="s">
        <v>61</v>
      </c>
      <c r="D36" s="177" t="s">
        <v>63</v>
      </c>
      <c r="E36" s="57" t="s">
        <v>50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 x14ac:dyDescent="0.2">
      <c r="A37" s="19"/>
      <c r="B37" s="25"/>
      <c r="C37" s="50" t="s">
        <v>61</v>
      </c>
      <c r="D37" s="174"/>
      <c r="E37" s="57" t="s">
        <v>56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 x14ac:dyDescent="0.2">
      <c r="A38" s="19"/>
      <c r="B38" s="25"/>
      <c r="C38" s="50" t="s">
        <v>61</v>
      </c>
      <c r="D38" s="175"/>
      <c r="E38" s="57" t="s">
        <v>58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customHeight="1" x14ac:dyDescent="0.2">
      <c r="A39" s="19"/>
      <c r="B39" s="25"/>
      <c r="C39" s="61" t="s">
        <v>61</v>
      </c>
      <c r="D39" s="62" t="s">
        <v>59</v>
      </c>
      <c r="E39" s="82"/>
      <c r="F39" s="82"/>
      <c r="G39" s="83"/>
      <c r="H39" s="65"/>
      <c r="I39" s="66" t="s">
        <v>60</v>
      </c>
      <c r="J39" s="67"/>
      <c r="K39" s="67"/>
      <c r="L39" s="68">
        <f t="shared" ref="L39:Z39" si="3">SUM(L23:L38)</f>
        <v>0</v>
      </c>
      <c r="M39" s="68">
        <f t="shared" si="3"/>
        <v>1</v>
      </c>
      <c r="N39" s="68">
        <f t="shared" si="3"/>
        <v>7</v>
      </c>
      <c r="O39" s="68">
        <f t="shared" si="3"/>
        <v>7</v>
      </c>
      <c r="P39" s="68">
        <f t="shared" si="3"/>
        <v>7</v>
      </c>
      <c r="Q39" s="68">
        <f t="shared" si="3"/>
        <v>7</v>
      </c>
      <c r="R39" s="68">
        <f t="shared" si="3"/>
        <v>7</v>
      </c>
      <c r="S39" s="68">
        <f t="shared" si="3"/>
        <v>7</v>
      </c>
      <c r="T39" s="68">
        <f t="shared" si="3"/>
        <v>7</v>
      </c>
      <c r="U39" s="68">
        <f t="shared" si="3"/>
        <v>6.5</v>
      </c>
      <c r="V39" s="68">
        <f t="shared" si="3"/>
        <v>4</v>
      </c>
      <c r="W39" s="68">
        <f t="shared" si="3"/>
        <v>4</v>
      </c>
      <c r="X39" s="68">
        <f t="shared" si="3"/>
        <v>4</v>
      </c>
      <c r="Y39" s="68">
        <f t="shared" si="3"/>
        <v>4</v>
      </c>
      <c r="Z39" s="68">
        <f t="shared" si="3"/>
        <v>0.5</v>
      </c>
      <c r="AA39" s="68"/>
      <c r="AB39" s="68"/>
      <c r="AC39" s="68"/>
      <c r="AD39" s="68"/>
      <c r="AE39" s="68"/>
      <c r="AF39" s="68"/>
      <c r="AG39" s="68"/>
      <c r="AH39" s="68"/>
      <c r="AI39" s="69">
        <f>SUM(AI23:AI38)</f>
        <v>73</v>
      </c>
      <c r="AJ39" s="26"/>
      <c r="AK39" s="19"/>
    </row>
    <row r="40" spans="1:37" ht="4.5" customHeight="1" x14ac:dyDescent="0.2">
      <c r="A40" s="70"/>
      <c r="B40" s="71"/>
      <c r="C40" s="72"/>
      <c r="D40" s="73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7"/>
      <c r="AJ40" s="78"/>
      <c r="AK40" s="70"/>
    </row>
    <row r="41" spans="1:37" ht="16.5" customHeight="1" x14ac:dyDescent="0.2">
      <c r="A41" s="19"/>
      <c r="B41" s="25"/>
      <c r="C41" s="178" t="s">
        <v>59</v>
      </c>
      <c r="D41" s="179"/>
      <c r="E41" s="180"/>
      <c r="F41" s="84"/>
      <c r="G41" s="85"/>
      <c r="H41" s="85"/>
      <c r="I41" s="85" t="s">
        <v>64</v>
      </c>
      <c r="J41" s="86"/>
      <c r="K41" s="86"/>
      <c r="L41" s="68">
        <f t="shared" ref="L41:Z41" si="4">L21+L39</f>
        <v>6.5</v>
      </c>
      <c r="M41" s="68">
        <f t="shared" si="4"/>
        <v>9</v>
      </c>
      <c r="N41" s="68">
        <f t="shared" si="4"/>
        <v>15</v>
      </c>
      <c r="O41" s="68">
        <f t="shared" si="4"/>
        <v>15</v>
      </c>
      <c r="P41" s="68">
        <f t="shared" si="4"/>
        <v>15</v>
      </c>
      <c r="Q41" s="68">
        <f t="shared" si="4"/>
        <v>15</v>
      </c>
      <c r="R41" s="68">
        <f t="shared" si="4"/>
        <v>15</v>
      </c>
      <c r="S41" s="68">
        <f t="shared" si="4"/>
        <v>15</v>
      </c>
      <c r="T41" s="68">
        <f t="shared" si="4"/>
        <v>14</v>
      </c>
      <c r="U41" s="68">
        <f t="shared" si="4"/>
        <v>13.5</v>
      </c>
      <c r="V41" s="68">
        <f t="shared" si="4"/>
        <v>11</v>
      </c>
      <c r="W41" s="68">
        <f t="shared" si="4"/>
        <v>10</v>
      </c>
      <c r="X41" s="68">
        <f t="shared" si="4"/>
        <v>9.5</v>
      </c>
      <c r="Y41" s="68">
        <f t="shared" si="4"/>
        <v>7</v>
      </c>
      <c r="Z41" s="68">
        <f t="shared" si="4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AI21+AI39</f>
        <v>172</v>
      </c>
      <c r="AJ41" s="26"/>
      <c r="AK41" s="19"/>
    </row>
    <row r="42" spans="1:37" ht="16.5" customHeight="1" x14ac:dyDescent="0.2">
      <c r="A42" s="19"/>
      <c r="B42" s="87"/>
      <c r="C42" s="88"/>
      <c r="D42" s="88"/>
      <c r="E42" s="89"/>
      <c r="F42" s="89"/>
      <c r="G42" s="89"/>
      <c r="H42" s="89"/>
      <c r="I42" s="88"/>
      <c r="J42" s="88"/>
      <c r="K42" s="90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91"/>
      <c r="AK42" s="19"/>
    </row>
    <row r="43" spans="1:37" ht="16.5" customHeight="1" x14ac:dyDescent="0.2">
      <c r="A43" s="19"/>
      <c r="B43" s="19"/>
      <c r="C43" s="19"/>
      <c r="D43" s="19"/>
      <c r="E43" s="20"/>
      <c r="F43" s="20"/>
      <c r="G43" s="20"/>
      <c r="H43" s="20"/>
      <c r="I43" s="19"/>
      <c r="J43" s="19"/>
      <c r="K43" s="19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19"/>
      <c r="AK43" s="19"/>
    </row>
    <row r="44" spans="1:37" ht="16.5" customHeight="1" x14ac:dyDescent="0.2">
      <c r="S44" s="92" t="s">
        <v>65</v>
      </c>
      <c r="X44" s="92" t="s">
        <v>66</v>
      </c>
    </row>
    <row r="45" spans="1:37" ht="16.5" customHeight="1" x14ac:dyDescent="0.2">
      <c r="S45" s="93" t="s">
        <v>67</v>
      </c>
      <c r="T45" s="94" t="s">
        <v>68</v>
      </c>
      <c r="U45" s="93" t="s">
        <v>69</v>
      </c>
      <c r="V45" s="93" t="s">
        <v>59</v>
      </c>
      <c r="X45" s="181" t="s">
        <v>70</v>
      </c>
      <c r="Y45" s="172"/>
      <c r="Z45" s="95">
        <v>172</v>
      </c>
    </row>
    <row r="46" spans="1:37" ht="16.5" customHeight="1" x14ac:dyDescent="0.2">
      <c r="S46" s="166" t="s">
        <v>52</v>
      </c>
      <c r="T46" s="96" t="s">
        <v>50</v>
      </c>
      <c r="U46" s="95">
        <f>SUMIF($E$7:$E$14,"고급",$AI$7:$AI$14)</f>
        <v>55</v>
      </c>
      <c r="V46" s="169">
        <f>SUM(U46:U48)</f>
        <v>99</v>
      </c>
      <c r="X46" s="182" t="s">
        <v>71</v>
      </c>
      <c r="Y46" s="172"/>
      <c r="Z46" s="95">
        <f>204.5-Z45</f>
        <v>32.5</v>
      </c>
    </row>
    <row r="47" spans="1:37" ht="16.5" customHeight="1" x14ac:dyDescent="0.2">
      <c r="S47" s="167"/>
      <c r="T47" s="96" t="s">
        <v>56</v>
      </c>
      <c r="U47" s="95">
        <f>SUMIF($E$7:$E$14,"중급",$AI$7:$AI$14)</f>
        <v>25</v>
      </c>
      <c r="V47" s="167"/>
      <c r="X47" s="182" t="s">
        <v>72</v>
      </c>
      <c r="Y47" s="172"/>
      <c r="Z47" s="95">
        <v>204.5</v>
      </c>
    </row>
    <row r="48" spans="1:37" ht="16.5" customHeight="1" x14ac:dyDescent="0.2">
      <c r="S48" s="168"/>
      <c r="T48" s="96" t="s">
        <v>58</v>
      </c>
      <c r="U48" s="95">
        <f>SUMIF($E$7:$E$14,"초급",$AI$7:$AI$14)</f>
        <v>19</v>
      </c>
      <c r="V48" s="168"/>
    </row>
    <row r="49" spans="19:22" ht="16.5" customHeight="1" x14ac:dyDescent="0.2">
      <c r="S49" s="166" t="s">
        <v>61</v>
      </c>
      <c r="T49" s="96" t="s">
        <v>50</v>
      </c>
      <c r="U49" s="95">
        <f>SUMIF($E$23:$E$29,"고급",$AI$23:$AI$29)</f>
        <v>0</v>
      </c>
      <c r="V49" s="169">
        <f>SUM(U49:U51)</f>
        <v>73</v>
      </c>
    </row>
    <row r="50" spans="19:22" ht="16.5" customHeight="1" x14ac:dyDescent="0.2">
      <c r="S50" s="167"/>
      <c r="T50" s="96" t="s">
        <v>56</v>
      </c>
      <c r="U50" s="95">
        <f>SUMIF($E$23:$E$29,"중급",$AI$23:$AI$29)</f>
        <v>37</v>
      </c>
      <c r="V50" s="167"/>
    </row>
    <row r="51" spans="19:22" ht="16.5" customHeight="1" x14ac:dyDescent="0.2">
      <c r="S51" s="168"/>
      <c r="T51" s="96" t="s">
        <v>58</v>
      </c>
      <c r="U51" s="95">
        <f>SUMIF($E$23:$E$29,"초급",$AI$23:$AI$29)</f>
        <v>36</v>
      </c>
      <c r="V51" s="168"/>
    </row>
    <row r="52" spans="19:22" ht="16.5" customHeight="1" x14ac:dyDescent="0.2">
      <c r="S52" s="170" t="s">
        <v>73</v>
      </c>
      <c r="T52" s="171"/>
      <c r="U52" s="172"/>
      <c r="V52" s="97">
        <f>SUM(V46:V51)</f>
        <v>172</v>
      </c>
    </row>
    <row r="53" spans="19:22" ht="16.5" customHeight="1" x14ac:dyDescent="0.2"/>
    <row r="54" spans="19:22" ht="16.5" customHeight="1" x14ac:dyDescent="0.2"/>
    <row r="55" spans="19:22" ht="16.5" customHeight="1" x14ac:dyDescent="0.2"/>
    <row r="56" spans="19:22" ht="16.5" customHeight="1" x14ac:dyDescent="0.2"/>
    <row r="57" spans="19:22" ht="16.5" customHeight="1" x14ac:dyDescent="0.2"/>
    <row r="58" spans="19:22" ht="16.5" customHeight="1" x14ac:dyDescent="0.2"/>
    <row r="59" spans="19:22" ht="16.5" customHeight="1" x14ac:dyDescent="0.2"/>
    <row r="60" spans="19:22" ht="16.5" customHeight="1" x14ac:dyDescent="0.2"/>
    <row r="61" spans="19:22" ht="16.5" customHeight="1" x14ac:dyDescent="0.2"/>
    <row r="62" spans="19:22" ht="16.5" customHeight="1" x14ac:dyDescent="0.2"/>
    <row r="63" spans="19:22" ht="16.5" customHeight="1" x14ac:dyDescent="0.2"/>
    <row r="64" spans="19:22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mergeCells count="20">
    <mergeCell ref="C3:AI3"/>
    <mergeCell ref="C4:D4"/>
    <mergeCell ref="L5:M5"/>
    <mergeCell ref="N5:W5"/>
    <mergeCell ref="D9:D14"/>
    <mergeCell ref="D15:D17"/>
    <mergeCell ref="D18:D20"/>
    <mergeCell ref="X45:Y45"/>
    <mergeCell ref="X46:Y46"/>
    <mergeCell ref="X47:Y47"/>
    <mergeCell ref="S49:S51"/>
    <mergeCell ref="V49:V51"/>
    <mergeCell ref="S52:U52"/>
    <mergeCell ref="D24:D29"/>
    <mergeCell ref="D30:D32"/>
    <mergeCell ref="D33:D35"/>
    <mergeCell ref="D36:D38"/>
    <mergeCell ref="C41:E41"/>
    <mergeCell ref="S46:S48"/>
    <mergeCell ref="V46:V48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0"/>
  <sheetViews>
    <sheetView showGridLines="0" workbookViewId="0">
      <selection activeCell="M66" sqref="M66"/>
    </sheetView>
  </sheetViews>
  <sheetFormatPr baseColWidth="10" defaultColWidth="14.5" defaultRowHeight="15" customHeight="1" x14ac:dyDescent="0.2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 x14ac:dyDescent="0.2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 x14ac:dyDescent="0.2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16.5" customHeight="1" x14ac:dyDescent="0.2">
      <c r="A3" s="19"/>
      <c r="B3" s="25"/>
      <c r="C3" s="183" t="s">
        <v>22</v>
      </c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5"/>
      <c r="AJ3" s="26"/>
      <c r="AK3" s="19"/>
    </row>
    <row r="4" spans="1:38" ht="80.25" customHeight="1" x14ac:dyDescent="0.2">
      <c r="A4" s="19"/>
      <c r="B4" s="25"/>
      <c r="C4" s="191">
        <v>45705</v>
      </c>
      <c r="D4" s="15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 x14ac:dyDescent="0.2">
      <c r="A5" s="19"/>
      <c r="B5" s="25"/>
      <c r="C5" s="29" t="s">
        <v>74</v>
      </c>
      <c r="D5" s="29"/>
      <c r="E5" s="30"/>
      <c r="F5" s="30"/>
      <c r="G5" s="30"/>
      <c r="H5" s="30"/>
      <c r="I5" s="30"/>
      <c r="J5" s="30"/>
      <c r="K5" s="31"/>
      <c r="L5" s="187"/>
      <c r="M5" s="188"/>
      <c r="N5" s="187"/>
      <c r="O5" s="188"/>
      <c r="P5" s="188"/>
      <c r="Q5" s="188"/>
      <c r="R5" s="188"/>
      <c r="S5" s="188"/>
      <c r="T5" s="188"/>
      <c r="U5" s="188"/>
      <c r="V5" s="188"/>
      <c r="W5" s="18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16.5" customHeight="1" x14ac:dyDescent="0.2">
      <c r="A6" s="19"/>
      <c r="B6" s="25"/>
      <c r="C6" s="98" t="s">
        <v>23</v>
      </c>
      <c r="D6" s="98" t="s">
        <v>24</v>
      </c>
      <c r="E6" s="99" t="s">
        <v>25</v>
      </c>
      <c r="F6" s="99" t="s">
        <v>26</v>
      </c>
      <c r="G6" s="99" t="s">
        <v>27</v>
      </c>
      <c r="H6" s="99" t="s">
        <v>28</v>
      </c>
      <c r="I6" s="99" t="s">
        <v>29</v>
      </c>
      <c r="J6" s="99" t="s">
        <v>30</v>
      </c>
      <c r="K6" s="99" t="s">
        <v>31</v>
      </c>
      <c r="L6" s="100" t="s">
        <v>32</v>
      </c>
      <c r="M6" s="100" t="s">
        <v>33</v>
      </c>
      <c r="N6" s="100" t="s">
        <v>34</v>
      </c>
      <c r="O6" s="100" t="s">
        <v>35</v>
      </c>
      <c r="P6" s="100" t="s">
        <v>36</v>
      </c>
      <c r="Q6" s="100" t="s">
        <v>37</v>
      </c>
      <c r="R6" s="100" t="s">
        <v>38</v>
      </c>
      <c r="S6" s="100" t="s">
        <v>39</v>
      </c>
      <c r="T6" s="100" t="s">
        <v>40</v>
      </c>
      <c r="U6" s="100" t="s">
        <v>41</v>
      </c>
      <c r="V6" s="100" t="s">
        <v>42</v>
      </c>
      <c r="W6" s="100" t="s">
        <v>43</v>
      </c>
      <c r="X6" s="100" t="s">
        <v>44</v>
      </c>
      <c r="Y6" s="100" t="s">
        <v>45</v>
      </c>
      <c r="Z6" s="100" t="s">
        <v>46</v>
      </c>
      <c r="AA6" s="100"/>
      <c r="AB6" s="100"/>
      <c r="AC6" s="100"/>
      <c r="AD6" s="100"/>
      <c r="AE6" s="100"/>
      <c r="AF6" s="100"/>
      <c r="AG6" s="100"/>
      <c r="AH6" s="100"/>
      <c r="AI6" s="101" t="s">
        <v>47</v>
      </c>
      <c r="AJ6" s="26"/>
      <c r="AK6" s="19"/>
    </row>
    <row r="7" spans="1:38" ht="16.5" customHeight="1" x14ac:dyDescent="0.2">
      <c r="A7" s="19"/>
      <c r="B7" s="25"/>
      <c r="C7" s="38" t="s">
        <v>48</v>
      </c>
      <c r="D7" s="39" t="s">
        <v>49</v>
      </c>
      <c r="E7" s="40" t="s">
        <v>50</v>
      </c>
      <c r="F7" s="40" t="s">
        <v>4</v>
      </c>
      <c r="G7" s="40" t="s">
        <v>51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5" si="0">SUM(L7:AH7)</f>
        <v>14.5</v>
      </c>
      <c r="AJ7" s="26"/>
      <c r="AK7" s="19"/>
    </row>
    <row r="8" spans="1:38" ht="16.5" customHeight="1" x14ac:dyDescent="0.2">
      <c r="A8" s="19"/>
      <c r="B8" s="25"/>
      <c r="C8" s="38" t="s">
        <v>52</v>
      </c>
      <c r="D8" s="39" t="s">
        <v>53</v>
      </c>
      <c r="E8" s="40" t="s">
        <v>50</v>
      </c>
      <c r="F8" s="40" t="s">
        <v>3</v>
      </c>
      <c r="G8" s="40" t="s">
        <v>51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 x14ac:dyDescent="0.2">
      <c r="A9" s="19"/>
      <c r="B9" s="25"/>
      <c r="C9" s="47"/>
      <c r="D9" s="192" t="s">
        <v>54</v>
      </c>
      <c r="E9" s="40" t="s">
        <v>50</v>
      </c>
      <c r="F9" s="40" t="s">
        <v>8</v>
      </c>
      <c r="G9" s="40" t="s">
        <v>51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 x14ac:dyDescent="0.2">
      <c r="A10" s="19"/>
      <c r="B10" s="25"/>
      <c r="C10" s="47"/>
      <c r="D10" s="174"/>
      <c r="E10" s="40" t="s">
        <v>50</v>
      </c>
      <c r="F10" s="40" t="s">
        <v>7</v>
      </c>
      <c r="G10" s="102" t="s">
        <v>51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 x14ac:dyDescent="0.2">
      <c r="A11" s="19"/>
      <c r="B11" s="25"/>
      <c r="C11" s="50" t="s">
        <v>48</v>
      </c>
      <c r="D11" s="174"/>
      <c r="E11" s="40" t="s">
        <v>50</v>
      </c>
      <c r="F11" s="40" t="s">
        <v>75</v>
      </c>
      <c r="G11" s="102" t="s">
        <v>50</v>
      </c>
      <c r="H11" s="42">
        <v>45748</v>
      </c>
      <c r="I11" s="42">
        <v>45930</v>
      </c>
      <c r="J11" s="42"/>
      <c r="K11" s="42"/>
      <c r="L11" s="43"/>
      <c r="M11" s="43"/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1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 x14ac:dyDescent="0.2">
      <c r="A12" s="19"/>
      <c r="B12" s="25"/>
      <c r="C12" s="50" t="s">
        <v>48</v>
      </c>
      <c r="D12" s="174"/>
      <c r="E12" s="51" t="s">
        <v>56</v>
      </c>
      <c r="F12" s="51" t="s">
        <v>11</v>
      </c>
      <c r="G12" s="51" t="s">
        <v>50</v>
      </c>
      <c r="H12" s="53">
        <v>45691</v>
      </c>
      <c r="I12" s="53">
        <v>45960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/>
      <c r="V12" s="55"/>
      <c r="W12" s="55"/>
      <c r="X12" s="55"/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9</v>
      </c>
      <c r="AJ12" s="26"/>
      <c r="AK12" s="19"/>
    </row>
    <row r="13" spans="1:38" ht="16.5" customHeight="1" x14ac:dyDescent="0.2">
      <c r="A13" s="19"/>
      <c r="B13" s="25"/>
      <c r="C13" s="50" t="s">
        <v>48</v>
      </c>
      <c r="D13" s="174"/>
      <c r="E13" s="51" t="s">
        <v>56</v>
      </c>
      <c r="F13" s="51" t="s">
        <v>15</v>
      </c>
      <c r="G13" s="51" t="s">
        <v>50</v>
      </c>
      <c r="H13" s="53">
        <v>45720</v>
      </c>
      <c r="I13" s="53">
        <v>46022</v>
      </c>
      <c r="J13" s="53"/>
      <c r="K13" s="53"/>
      <c r="L13" s="55"/>
      <c r="M13" s="55">
        <v>1</v>
      </c>
      <c r="N13" s="55">
        <v>1</v>
      </c>
      <c r="O13" s="55">
        <v>1</v>
      </c>
      <c r="P13" s="55">
        <v>1</v>
      </c>
      <c r="Q13" s="55">
        <v>1</v>
      </c>
      <c r="R13" s="55">
        <v>1</v>
      </c>
      <c r="S13" s="55">
        <v>1</v>
      </c>
      <c r="T13" s="55">
        <v>1</v>
      </c>
      <c r="U13" s="55">
        <v>1</v>
      </c>
      <c r="V13" s="55">
        <v>1</v>
      </c>
      <c r="W13" s="55"/>
      <c r="X13" s="55"/>
      <c r="Y13" s="55"/>
      <c r="Z13" s="55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10</v>
      </c>
      <c r="AJ13" s="26"/>
      <c r="AK13" s="19"/>
    </row>
    <row r="14" spans="1:38" ht="16.5" customHeight="1" x14ac:dyDescent="0.2">
      <c r="A14" s="19"/>
      <c r="B14" s="25"/>
      <c r="C14" s="50" t="s">
        <v>48</v>
      </c>
      <c r="D14" s="174"/>
      <c r="E14" s="51" t="s">
        <v>56</v>
      </c>
      <c r="F14" s="51" t="s">
        <v>19</v>
      </c>
      <c r="G14" s="51" t="s">
        <v>50</v>
      </c>
      <c r="H14" s="53">
        <v>45720</v>
      </c>
      <c r="I14" s="53">
        <v>45900</v>
      </c>
      <c r="J14" s="53"/>
      <c r="K14" s="53"/>
      <c r="L14" s="55"/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/>
      <c r="T14" s="55"/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6</v>
      </c>
      <c r="AJ14" s="26"/>
      <c r="AK14" s="19"/>
      <c r="AL14" s="19"/>
    </row>
    <row r="15" spans="1:38" ht="16.5" customHeight="1" x14ac:dyDescent="0.2">
      <c r="A15" s="19"/>
      <c r="B15" s="25"/>
      <c r="C15" s="50" t="s">
        <v>48</v>
      </c>
      <c r="D15" s="174"/>
      <c r="E15" s="57" t="s">
        <v>58</v>
      </c>
      <c r="F15" s="57" t="s">
        <v>12</v>
      </c>
      <c r="G15" s="57" t="s">
        <v>58</v>
      </c>
      <c r="H15" s="59">
        <v>45691</v>
      </c>
      <c r="I15" s="59">
        <v>45991</v>
      </c>
      <c r="J15" s="59"/>
      <c r="K15" s="59"/>
      <c r="L15" s="44">
        <v>1</v>
      </c>
      <c r="M15" s="44">
        <v>1</v>
      </c>
      <c r="N15" s="44">
        <v>1</v>
      </c>
      <c r="O15" s="44">
        <v>1</v>
      </c>
      <c r="P15" s="44">
        <v>1</v>
      </c>
      <c r="Q15" s="44">
        <v>1</v>
      </c>
      <c r="R15" s="44">
        <v>1</v>
      </c>
      <c r="S15" s="44">
        <v>1</v>
      </c>
      <c r="T15" s="44">
        <v>1</v>
      </c>
      <c r="U15" s="44">
        <v>1</v>
      </c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  <c r="AL15" s="19"/>
    </row>
    <row r="16" spans="1:38" ht="16.5" customHeight="1" x14ac:dyDescent="0.2">
      <c r="A16" s="19"/>
      <c r="B16" s="25"/>
      <c r="C16" s="50" t="s">
        <v>48</v>
      </c>
      <c r="D16" s="174"/>
      <c r="E16" s="57" t="s">
        <v>58</v>
      </c>
      <c r="F16" s="57" t="s">
        <v>16</v>
      </c>
      <c r="G16" s="103" t="s">
        <v>58</v>
      </c>
      <c r="H16" s="59">
        <v>45691</v>
      </c>
      <c r="I16" s="59">
        <v>45961</v>
      </c>
      <c r="J16" s="59"/>
      <c r="K16" s="59"/>
      <c r="L16" s="44">
        <v>1</v>
      </c>
      <c r="M16" s="44">
        <v>1</v>
      </c>
      <c r="N16" s="44">
        <v>1</v>
      </c>
      <c r="O16" s="44">
        <v>1</v>
      </c>
      <c r="P16" s="44">
        <v>1</v>
      </c>
      <c r="Q16" s="44">
        <v>1</v>
      </c>
      <c r="R16" s="44">
        <v>1</v>
      </c>
      <c r="S16" s="44">
        <v>1</v>
      </c>
      <c r="T16" s="44">
        <v>1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>
        <f t="shared" ref="AI16:AI17" si="1">SUM(L16:Z16)</f>
        <v>9</v>
      </c>
      <c r="AJ16" s="26"/>
      <c r="AK16" s="19"/>
      <c r="AL16" s="19"/>
    </row>
    <row r="17" spans="1:38" ht="16.5" hidden="1" customHeight="1" x14ac:dyDescent="0.2">
      <c r="A17" s="19"/>
      <c r="B17" s="25"/>
      <c r="C17" s="50" t="s">
        <v>48</v>
      </c>
      <c r="D17" s="174"/>
      <c r="E17" s="57"/>
      <c r="F17" s="57"/>
      <c r="G17" s="57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1"/>
        <v>0</v>
      </c>
      <c r="AJ17" s="26"/>
      <c r="AK17" s="19"/>
      <c r="AL17" s="19"/>
    </row>
    <row r="18" spans="1:38" ht="16.5" hidden="1" customHeight="1" x14ac:dyDescent="0.2">
      <c r="A18" s="19"/>
      <c r="B18" s="25"/>
      <c r="C18" s="50" t="s">
        <v>48</v>
      </c>
      <c r="D18" s="174"/>
      <c r="E18" s="57"/>
      <c r="F18" s="57"/>
      <c r="G18" s="57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22" si="2">SUM(L18:AH18)</f>
        <v>0</v>
      </c>
      <c r="AJ18" s="26"/>
      <c r="AK18" s="19"/>
      <c r="AL18" s="19"/>
    </row>
    <row r="19" spans="1:38" ht="16.5" hidden="1" customHeight="1" x14ac:dyDescent="0.2">
      <c r="A19" s="19"/>
      <c r="B19" s="25"/>
      <c r="C19" s="50" t="s">
        <v>48</v>
      </c>
      <c r="D19" s="175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2"/>
        <v>0</v>
      </c>
      <c r="AJ19" s="26"/>
      <c r="AK19" s="19"/>
      <c r="AL19" s="19"/>
    </row>
    <row r="20" spans="1:38" ht="16.5" hidden="1" customHeight="1" x14ac:dyDescent="0.2">
      <c r="A20" s="19"/>
      <c r="B20" s="25"/>
      <c r="C20" s="50" t="s">
        <v>48</v>
      </c>
      <c r="D20" s="176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2"/>
        <v>0</v>
      </c>
      <c r="AJ20" s="26"/>
      <c r="AK20" s="19"/>
    </row>
    <row r="21" spans="1:38" ht="16.5" hidden="1" customHeight="1" x14ac:dyDescent="0.2">
      <c r="A21" s="19"/>
      <c r="B21" s="25"/>
      <c r="C21" s="50" t="s">
        <v>48</v>
      </c>
      <c r="D21" s="174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</row>
    <row r="22" spans="1:38" ht="16.5" hidden="1" customHeight="1" x14ac:dyDescent="0.2">
      <c r="A22" s="19"/>
      <c r="B22" s="25"/>
      <c r="C22" s="50" t="s">
        <v>48</v>
      </c>
      <c r="D22" s="175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customHeight="1" x14ac:dyDescent="0.2">
      <c r="A23" s="19"/>
      <c r="B23" s="25"/>
      <c r="C23" s="61" t="s">
        <v>48</v>
      </c>
      <c r="D23" s="104" t="s">
        <v>59</v>
      </c>
      <c r="E23" s="66"/>
      <c r="F23" s="66"/>
      <c r="G23" s="66"/>
      <c r="H23" s="66"/>
      <c r="I23" s="66" t="s">
        <v>60</v>
      </c>
      <c r="J23" s="67"/>
      <c r="K23" s="67"/>
      <c r="L23" s="68">
        <f t="shared" ref="L23:Z23" si="3">SUM(L7:L22)</f>
        <v>6.5</v>
      </c>
      <c r="M23" s="68">
        <f t="shared" si="3"/>
        <v>9</v>
      </c>
      <c r="N23" s="68">
        <f t="shared" si="3"/>
        <v>10</v>
      </c>
      <c r="O23" s="68">
        <f t="shared" si="3"/>
        <v>10</v>
      </c>
      <c r="P23" s="68">
        <f t="shared" si="3"/>
        <v>10</v>
      </c>
      <c r="Q23" s="68">
        <f t="shared" si="3"/>
        <v>10</v>
      </c>
      <c r="R23" s="68">
        <f t="shared" si="3"/>
        <v>10</v>
      </c>
      <c r="S23" s="68">
        <f t="shared" si="3"/>
        <v>9</v>
      </c>
      <c r="T23" s="68">
        <f t="shared" si="3"/>
        <v>8</v>
      </c>
      <c r="U23" s="68">
        <f t="shared" si="3"/>
        <v>6</v>
      </c>
      <c r="V23" s="68">
        <f t="shared" si="3"/>
        <v>3.5</v>
      </c>
      <c r="W23" s="68">
        <f t="shared" si="3"/>
        <v>2</v>
      </c>
      <c r="X23" s="68">
        <f t="shared" si="3"/>
        <v>2</v>
      </c>
      <c r="Y23" s="68">
        <f t="shared" si="3"/>
        <v>2</v>
      </c>
      <c r="Z23" s="68">
        <f t="shared" si="3"/>
        <v>1</v>
      </c>
      <c r="AA23" s="68"/>
      <c r="AB23" s="68"/>
      <c r="AC23" s="68"/>
      <c r="AD23" s="68"/>
      <c r="AE23" s="68"/>
      <c r="AF23" s="68"/>
      <c r="AG23" s="68"/>
      <c r="AH23" s="68"/>
      <c r="AI23" s="69">
        <f>SUM(AI7:AI22)</f>
        <v>99</v>
      </c>
      <c r="AJ23" s="26"/>
      <c r="AK23" s="19"/>
    </row>
    <row r="24" spans="1:38" ht="4.5" customHeight="1" x14ac:dyDescent="0.2">
      <c r="A24" s="70"/>
      <c r="B24" s="71"/>
      <c r="C24" s="72"/>
      <c r="D24" s="73"/>
      <c r="E24" s="74"/>
      <c r="F24" s="74"/>
      <c r="G24" s="74"/>
      <c r="H24" s="76"/>
      <c r="I24" s="76"/>
      <c r="J24" s="76"/>
      <c r="K24" s="76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8"/>
      <c r="AK24" s="70"/>
    </row>
    <row r="25" spans="1:38" ht="16.5" customHeight="1" x14ac:dyDescent="0.2">
      <c r="A25" s="19"/>
      <c r="B25" s="25"/>
      <c r="C25" s="38" t="s">
        <v>61</v>
      </c>
      <c r="D25" s="79" t="s">
        <v>53</v>
      </c>
      <c r="E25" s="51" t="s">
        <v>56</v>
      </c>
      <c r="F25" s="51" t="s">
        <v>5</v>
      </c>
      <c r="G25" s="105" t="s">
        <v>55</v>
      </c>
      <c r="H25" s="53">
        <v>45726</v>
      </c>
      <c r="I25" s="53">
        <v>46127</v>
      </c>
      <c r="J25" s="53"/>
      <c r="K25" s="53"/>
      <c r="L25" s="55"/>
      <c r="M25" s="55">
        <v>0.75</v>
      </c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5">
        <v>1</v>
      </c>
      <c r="X25" s="55">
        <v>1</v>
      </c>
      <c r="Y25" s="55">
        <v>1</v>
      </c>
      <c r="Z25" s="55">
        <v>0.5</v>
      </c>
      <c r="AA25" s="44"/>
      <c r="AB25" s="44"/>
      <c r="AC25" s="44"/>
      <c r="AD25" s="44"/>
      <c r="AE25" s="44"/>
      <c r="AF25" s="44"/>
      <c r="AG25" s="44"/>
      <c r="AH25" s="44"/>
      <c r="AI25" s="45">
        <f t="shared" ref="AI25:AI31" si="4">SUM(L25:AH25)</f>
        <v>13.25</v>
      </c>
      <c r="AJ25" s="26"/>
      <c r="AK25" s="19"/>
    </row>
    <row r="26" spans="1:38" ht="16.5" customHeight="1" x14ac:dyDescent="0.2">
      <c r="A26" s="19"/>
      <c r="B26" s="25"/>
      <c r="C26" s="47"/>
      <c r="D26" s="173" t="s">
        <v>62</v>
      </c>
      <c r="E26" s="51" t="s">
        <v>56</v>
      </c>
      <c r="F26" s="51" t="s">
        <v>9</v>
      </c>
      <c r="G26" s="105" t="s">
        <v>55</v>
      </c>
      <c r="H26" s="53">
        <v>45726</v>
      </c>
      <c r="I26" s="53">
        <v>46127</v>
      </c>
      <c r="J26" s="53"/>
      <c r="K26" s="53"/>
      <c r="L26" s="55"/>
      <c r="M26" s="55">
        <v>0.75</v>
      </c>
      <c r="N26" s="55">
        <v>1</v>
      </c>
      <c r="O26" s="55">
        <v>1</v>
      </c>
      <c r="P26" s="55">
        <v>1</v>
      </c>
      <c r="Q26" s="55">
        <v>1</v>
      </c>
      <c r="R26" s="55">
        <v>1</v>
      </c>
      <c r="S26" s="55">
        <v>1</v>
      </c>
      <c r="T26" s="55">
        <v>1</v>
      </c>
      <c r="U26" s="55">
        <v>1</v>
      </c>
      <c r="V26" s="55">
        <v>1</v>
      </c>
      <c r="W26" s="55">
        <v>1</v>
      </c>
      <c r="X26" s="55">
        <v>1</v>
      </c>
      <c r="Y26" s="55">
        <v>1</v>
      </c>
      <c r="Z26" s="55">
        <v>0.5</v>
      </c>
      <c r="AA26" s="44"/>
      <c r="AB26" s="44"/>
      <c r="AC26" s="44"/>
      <c r="AD26" s="44"/>
      <c r="AE26" s="44"/>
      <c r="AF26" s="44"/>
      <c r="AG26" s="44"/>
      <c r="AH26" s="44"/>
      <c r="AI26" s="45">
        <f t="shared" si="4"/>
        <v>13.25</v>
      </c>
      <c r="AJ26" s="26"/>
      <c r="AK26" s="19"/>
    </row>
    <row r="27" spans="1:38" ht="16.5" customHeight="1" x14ac:dyDescent="0.2">
      <c r="A27" s="19"/>
      <c r="B27" s="25"/>
      <c r="C27" s="47"/>
      <c r="D27" s="174"/>
      <c r="E27" s="51" t="s">
        <v>56</v>
      </c>
      <c r="F27" s="51" t="s">
        <v>21</v>
      </c>
      <c r="G27" s="51" t="s">
        <v>50</v>
      </c>
      <c r="H27" s="53">
        <v>45748</v>
      </c>
      <c r="I27" s="53">
        <v>46066</v>
      </c>
      <c r="J27" s="53"/>
      <c r="K27" s="53"/>
      <c r="L27" s="55"/>
      <c r="M27" s="55"/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0.5</v>
      </c>
      <c r="Y27" s="55"/>
      <c r="Z27" s="55"/>
      <c r="AA27" s="44"/>
      <c r="AB27" s="44"/>
      <c r="AC27" s="44"/>
      <c r="AD27" s="44"/>
      <c r="AE27" s="44"/>
      <c r="AF27" s="44"/>
      <c r="AG27" s="44"/>
      <c r="AH27" s="44"/>
      <c r="AI27" s="45">
        <f t="shared" si="4"/>
        <v>10.5</v>
      </c>
      <c r="AJ27" s="26"/>
      <c r="AK27" s="19"/>
    </row>
    <row r="28" spans="1:38" ht="16.5" customHeight="1" x14ac:dyDescent="0.2">
      <c r="A28" s="19"/>
      <c r="B28" s="25"/>
      <c r="C28" s="50" t="s">
        <v>61</v>
      </c>
      <c r="D28" s="174"/>
      <c r="E28" s="57" t="s">
        <v>58</v>
      </c>
      <c r="F28" s="57" t="s">
        <v>13</v>
      </c>
      <c r="G28" s="103" t="s">
        <v>55</v>
      </c>
      <c r="H28" s="59">
        <v>45726</v>
      </c>
      <c r="I28" s="59">
        <v>46127</v>
      </c>
      <c r="J28" s="59"/>
      <c r="K28" s="59"/>
      <c r="L28" s="44"/>
      <c r="M28" s="44">
        <v>0.75</v>
      </c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44">
        <v>1</v>
      </c>
      <c r="V28" s="44">
        <v>1</v>
      </c>
      <c r="W28" s="44">
        <v>1</v>
      </c>
      <c r="X28" s="44">
        <v>1</v>
      </c>
      <c r="Y28" s="44">
        <v>1</v>
      </c>
      <c r="Z28" s="44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 x14ac:dyDescent="0.2">
      <c r="A29" s="19"/>
      <c r="B29" s="25"/>
      <c r="C29" s="50" t="s">
        <v>61</v>
      </c>
      <c r="D29" s="174"/>
      <c r="E29" s="57" t="s">
        <v>58</v>
      </c>
      <c r="F29" s="57" t="s">
        <v>6</v>
      </c>
      <c r="G29" s="103" t="s">
        <v>55</v>
      </c>
      <c r="H29" s="59">
        <v>45748</v>
      </c>
      <c r="I29" s="59">
        <v>45961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7</v>
      </c>
      <c r="AJ29" s="26"/>
      <c r="AK29" s="19"/>
    </row>
    <row r="30" spans="1:38" ht="16.5" customHeight="1" x14ac:dyDescent="0.2">
      <c r="A30" s="19"/>
      <c r="B30" s="25"/>
      <c r="C30" s="50" t="s">
        <v>61</v>
      </c>
      <c r="D30" s="174"/>
      <c r="E30" s="57" t="s">
        <v>58</v>
      </c>
      <c r="F30" s="57" t="s">
        <v>17</v>
      </c>
      <c r="G30" s="103" t="s">
        <v>55</v>
      </c>
      <c r="H30" s="59">
        <v>45726</v>
      </c>
      <c r="I30" s="59">
        <v>45989</v>
      </c>
      <c r="J30" s="59"/>
      <c r="K30" s="59"/>
      <c r="L30" s="44"/>
      <c r="M30" s="44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8.75</v>
      </c>
      <c r="AJ30" s="26"/>
      <c r="AK30" s="19"/>
    </row>
    <row r="31" spans="1:38" ht="16.5" customHeight="1" x14ac:dyDescent="0.2">
      <c r="A31" s="19"/>
      <c r="B31" s="25"/>
      <c r="C31" s="50" t="s">
        <v>61</v>
      </c>
      <c r="D31" s="175"/>
      <c r="E31" s="57" t="s">
        <v>58</v>
      </c>
      <c r="F31" s="57" t="s">
        <v>10</v>
      </c>
      <c r="G31" s="103" t="s">
        <v>55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81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7</v>
      </c>
      <c r="AJ31" s="26"/>
      <c r="AK31" s="19"/>
    </row>
    <row r="32" spans="1:38" ht="16.5" hidden="1" customHeight="1" x14ac:dyDescent="0.2">
      <c r="A32" s="19"/>
      <c r="B32" s="25"/>
      <c r="C32" s="50" t="s">
        <v>61</v>
      </c>
      <c r="D32" s="176"/>
      <c r="E32" s="57" t="s">
        <v>50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 x14ac:dyDescent="0.2">
      <c r="A33" s="19"/>
      <c r="B33" s="25"/>
      <c r="C33" s="50" t="s">
        <v>61</v>
      </c>
      <c r="D33" s="174"/>
      <c r="E33" s="57" t="s">
        <v>56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 x14ac:dyDescent="0.2">
      <c r="A34" s="19"/>
      <c r="B34" s="25"/>
      <c r="C34" s="50" t="s">
        <v>61</v>
      </c>
      <c r="D34" s="175"/>
      <c r="E34" s="57" t="s">
        <v>58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 x14ac:dyDescent="0.2">
      <c r="A35" s="19"/>
      <c r="B35" s="25"/>
      <c r="C35" s="50" t="s">
        <v>61</v>
      </c>
      <c r="D35" s="176"/>
      <c r="E35" s="57" t="s">
        <v>50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 x14ac:dyDescent="0.2">
      <c r="A36" s="19"/>
      <c r="B36" s="25"/>
      <c r="C36" s="50" t="s">
        <v>61</v>
      </c>
      <c r="D36" s="174"/>
      <c r="E36" s="57" t="s">
        <v>56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 x14ac:dyDescent="0.2">
      <c r="A37" s="19"/>
      <c r="B37" s="25"/>
      <c r="C37" s="50" t="s">
        <v>61</v>
      </c>
      <c r="D37" s="175"/>
      <c r="E37" s="57" t="s">
        <v>58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 x14ac:dyDescent="0.2">
      <c r="A38" s="19"/>
      <c r="B38" s="25"/>
      <c r="C38" s="50" t="s">
        <v>61</v>
      </c>
      <c r="D38" s="177" t="s">
        <v>63</v>
      </c>
      <c r="E38" s="57" t="s">
        <v>50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 x14ac:dyDescent="0.2">
      <c r="A39" s="19"/>
      <c r="B39" s="25"/>
      <c r="C39" s="50" t="s">
        <v>61</v>
      </c>
      <c r="D39" s="174"/>
      <c r="E39" s="57" t="s">
        <v>56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 x14ac:dyDescent="0.2">
      <c r="A40" s="19"/>
      <c r="B40" s="25"/>
      <c r="C40" s="50" t="s">
        <v>61</v>
      </c>
      <c r="D40" s="175"/>
      <c r="E40" s="57" t="s">
        <v>58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customHeight="1" x14ac:dyDescent="0.2">
      <c r="A41" s="19"/>
      <c r="B41" s="25"/>
      <c r="C41" s="61" t="s">
        <v>61</v>
      </c>
      <c r="D41" s="104" t="s">
        <v>59</v>
      </c>
      <c r="E41" s="66"/>
      <c r="F41" s="66"/>
      <c r="G41" s="66" t="s">
        <v>76</v>
      </c>
      <c r="H41" s="66"/>
      <c r="I41" s="66" t="s">
        <v>60</v>
      </c>
      <c r="J41" s="67"/>
      <c r="K41" s="67"/>
      <c r="L41" s="68">
        <f t="shared" ref="L41:Z41" si="5">SUM(L25:L40)</f>
        <v>0</v>
      </c>
      <c r="M41" s="68">
        <f t="shared" si="5"/>
        <v>3</v>
      </c>
      <c r="N41" s="68">
        <f t="shared" si="5"/>
        <v>7</v>
      </c>
      <c r="O41" s="68">
        <f t="shared" si="5"/>
        <v>7</v>
      </c>
      <c r="P41" s="68">
        <f t="shared" si="5"/>
        <v>7</v>
      </c>
      <c r="Q41" s="68">
        <f t="shared" si="5"/>
        <v>7</v>
      </c>
      <c r="R41" s="68">
        <f t="shared" si="5"/>
        <v>7</v>
      </c>
      <c r="S41" s="68">
        <f t="shared" si="5"/>
        <v>7</v>
      </c>
      <c r="T41" s="68">
        <f t="shared" si="5"/>
        <v>7</v>
      </c>
      <c r="U41" s="68">
        <f t="shared" si="5"/>
        <v>5</v>
      </c>
      <c r="V41" s="68">
        <f t="shared" si="5"/>
        <v>4</v>
      </c>
      <c r="W41" s="68">
        <f t="shared" si="5"/>
        <v>4</v>
      </c>
      <c r="X41" s="68">
        <f t="shared" si="5"/>
        <v>3.5</v>
      </c>
      <c r="Y41" s="68">
        <f t="shared" si="5"/>
        <v>3</v>
      </c>
      <c r="Z41" s="68">
        <f t="shared" si="5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SUM(AI25:AI40)</f>
        <v>73</v>
      </c>
      <c r="AJ41" s="26"/>
      <c r="AK41" s="19"/>
    </row>
    <row r="42" spans="1:37" ht="4.5" customHeight="1" x14ac:dyDescent="0.2">
      <c r="A42" s="70"/>
      <c r="B42" s="71"/>
      <c r="C42" s="72"/>
      <c r="D42" s="73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8"/>
      <c r="AK42" s="70"/>
    </row>
    <row r="43" spans="1:37" ht="16.5" customHeight="1" x14ac:dyDescent="0.2">
      <c r="A43" s="19"/>
      <c r="B43" s="25"/>
      <c r="C43" s="178" t="s">
        <v>59</v>
      </c>
      <c r="D43" s="179"/>
      <c r="E43" s="180"/>
      <c r="F43" s="84"/>
      <c r="G43" s="85"/>
      <c r="H43" s="85"/>
      <c r="I43" s="85" t="s">
        <v>64</v>
      </c>
      <c r="J43" s="86"/>
      <c r="K43" s="86"/>
      <c r="L43" s="68">
        <f t="shared" ref="L43:Z43" si="6">L23+L41</f>
        <v>6.5</v>
      </c>
      <c r="M43" s="68">
        <f t="shared" si="6"/>
        <v>12</v>
      </c>
      <c r="N43" s="68">
        <f t="shared" si="6"/>
        <v>17</v>
      </c>
      <c r="O43" s="68">
        <f t="shared" si="6"/>
        <v>17</v>
      </c>
      <c r="P43" s="68">
        <f t="shared" si="6"/>
        <v>17</v>
      </c>
      <c r="Q43" s="68">
        <f t="shared" si="6"/>
        <v>17</v>
      </c>
      <c r="R43" s="68">
        <f t="shared" si="6"/>
        <v>17</v>
      </c>
      <c r="S43" s="68">
        <f t="shared" si="6"/>
        <v>16</v>
      </c>
      <c r="T43" s="68">
        <f t="shared" si="6"/>
        <v>15</v>
      </c>
      <c r="U43" s="68">
        <f t="shared" si="6"/>
        <v>11</v>
      </c>
      <c r="V43" s="68">
        <f t="shared" si="6"/>
        <v>7.5</v>
      </c>
      <c r="W43" s="68">
        <f t="shared" si="6"/>
        <v>6</v>
      </c>
      <c r="X43" s="68">
        <f t="shared" si="6"/>
        <v>5.5</v>
      </c>
      <c r="Y43" s="68">
        <f t="shared" si="6"/>
        <v>5</v>
      </c>
      <c r="Z43" s="68">
        <f t="shared" si="6"/>
        <v>2.5</v>
      </c>
      <c r="AA43" s="68"/>
      <c r="AB43" s="68"/>
      <c r="AC43" s="68"/>
      <c r="AD43" s="68"/>
      <c r="AE43" s="68"/>
      <c r="AF43" s="68"/>
      <c r="AG43" s="68"/>
      <c r="AH43" s="68"/>
      <c r="AI43" s="69">
        <f>AI23+AI41</f>
        <v>172</v>
      </c>
      <c r="AJ43" s="26"/>
      <c r="AK43" s="19"/>
    </row>
    <row r="44" spans="1:37" ht="16.5" customHeight="1" x14ac:dyDescent="0.2">
      <c r="A44" s="19"/>
      <c r="B44" s="87"/>
      <c r="C44" s="88"/>
      <c r="D44" s="88"/>
      <c r="E44" s="89"/>
      <c r="F44" s="89"/>
      <c r="G44" s="89"/>
      <c r="H44" s="89"/>
      <c r="I44" s="88"/>
      <c r="J44" s="88"/>
      <c r="K44" s="90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91"/>
      <c r="AK44" s="19"/>
    </row>
    <row r="45" spans="1:37" ht="16.5" customHeight="1" x14ac:dyDescent="0.2">
      <c r="C45" s="106" t="s">
        <v>77</v>
      </c>
    </row>
    <row r="46" spans="1:37" ht="16.5" customHeight="1" x14ac:dyDescent="0.2">
      <c r="C46" s="106" t="s">
        <v>78</v>
      </c>
    </row>
    <row r="47" spans="1:37" ht="27.75" customHeight="1" x14ac:dyDescent="0.2">
      <c r="A47" s="19"/>
      <c r="B47" s="19"/>
      <c r="C47" s="19"/>
      <c r="D47" s="19"/>
      <c r="E47" s="2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0"/>
      <c r="R47" s="20"/>
      <c r="S47" s="92" t="s">
        <v>65</v>
      </c>
      <c r="X47" s="92" t="s">
        <v>66</v>
      </c>
      <c r="AJ47" s="19"/>
      <c r="AK47" s="19"/>
    </row>
    <row r="48" spans="1:37" ht="16.5" customHeight="1" x14ac:dyDescent="0.2">
      <c r="A48" s="19"/>
      <c r="B48" s="1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  <c r="R48" s="20"/>
      <c r="S48" s="93" t="s">
        <v>67</v>
      </c>
      <c r="T48" s="94" t="s">
        <v>68</v>
      </c>
      <c r="U48" s="93" t="s">
        <v>69</v>
      </c>
      <c r="V48" s="93" t="s">
        <v>59</v>
      </c>
      <c r="W48" s="107" t="s">
        <v>79</v>
      </c>
      <c r="X48" s="190" t="s">
        <v>70</v>
      </c>
      <c r="Y48" s="172"/>
      <c r="Z48" s="95">
        <v>172</v>
      </c>
      <c r="AA48" s="108"/>
      <c r="AB48" s="108"/>
      <c r="AC48" s="108"/>
      <c r="AD48" s="108"/>
      <c r="AE48" s="108"/>
      <c r="AF48" s="108"/>
      <c r="AG48" s="108"/>
      <c r="AH48" s="108"/>
      <c r="AJ48" s="19"/>
      <c r="AK48" s="19"/>
    </row>
    <row r="49" spans="6:34" ht="16.5" customHeight="1" x14ac:dyDescent="0.2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S49" s="166" t="s">
        <v>52</v>
      </c>
      <c r="T49" s="96" t="s">
        <v>50</v>
      </c>
      <c r="U49" s="95">
        <f>SUMIF($E$7:$E$19,"고급",$AI$7:$AI$19)</f>
        <v>55</v>
      </c>
      <c r="V49" s="169">
        <f>SUM(U49:U51)</f>
        <v>99</v>
      </c>
      <c r="W49" s="107">
        <f>'250117 (제출본-최초)'!$U$46-U49</f>
        <v>0</v>
      </c>
      <c r="X49" s="189" t="s">
        <v>80</v>
      </c>
      <c r="Y49" s="172"/>
      <c r="Z49" s="95">
        <f>204.5-Z48</f>
        <v>32.5</v>
      </c>
      <c r="AA49" s="109"/>
      <c r="AB49" s="109"/>
      <c r="AC49" s="109"/>
      <c r="AD49" s="109"/>
      <c r="AE49" s="109"/>
      <c r="AF49" s="109"/>
      <c r="AG49" s="109"/>
      <c r="AH49" s="109"/>
    </row>
    <row r="50" spans="6:34" ht="16.5" customHeight="1" x14ac:dyDescent="0.2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167"/>
      <c r="T50" s="96" t="s">
        <v>56</v>
      </c>
      <c r="U50" s="95">
        <f>SUMIF($E$7:$E$19,"중급",$AI$7:$AI$19)</f>
        <v>25</v>
      </c>
      <c r="V50" s="167"/>
      <c r="W50" s="107">
        <f>'250117 (제출본-최초)'!$U$47-U50</f>
        <v>0</v>
      </c>
      <c r="X50" s="189" t="s">
        <v>72</v>
      </c>
      <c r="Y50" s="172"/>
      <c r="Z50" s="95">
        <v>204.5</v>
      </c>
      <c r="AA50" s="109"/>
      <c r="AB50" s="109"/>
      <c r="AC50" s="109"/>
      <c r="AD50" s="109"/>
      <c r="AE50" s="109"/>
      <c r="AF50" s="109"/>
      <c r="AG50" s="109"/>
      <c r="AH50" s="109"/>
    </row>
    <row r="51" spans="6:34" ht="16.5" customHeight="1" x14ac:dyDescent="0.2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168"/>
      <c r="T51" s="96" t="s">
        <v>58</v>
      </c>
      <c r="U51" s="95">
        <f>SUMIF($E$7:$E$19,"초급",$AI$7:$AI$19)</f>
        <v>19</v>
      </c>
      <c r="V51" s="168"/>
      <c r="W51" s="107">
        <f>'250117 (제출본-최초)'!$U$48-U51</f>
        <v>0</v>
      </c>
      <c r="AA51" s="109"/>
      <c r="AB51" s="109"/>
      <c r="AC51" s="109"/>
      <c r="AD51" s="109"/>
      <c r="AE51" s="109"/>
      <c r="AF51" s="109"/>
      <c r="AG51" s="109"/>
      <c r="AH51" s="109"/>
    </row>
    <row r="52" spans="6:34" ht="16.5" customHeight="1" x14ac:dyDescent="0.2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166" t="s">
        <v>61</v>
      </c>
      <c r="T52" s="96" t="s">
        <v>50</v>
      </c>
      <c r="U52" s="95">
        <f>SUMIF($E$23:$E$31,"고급",$AI$23:$AI$31)</f>
        <v>0</v>
      </c>
      <c r="V52" s="169">
        <f>SUM(U52:U54)</f>
        <v>73</v>
      </c>
      <c r="W52" s="107">
        <f>'250117 (제출본-최초)'!$U$49-U52</f>
        <v>0</v>
      </c>
    </row>
    <row r="53" spans="6:34" ht="16.5" customHeight="1" x14ac:dyDescent="0.2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167"/>
      <c r="T53" s="96" t="s">
        <v>56</v>
      </c>
      <c r="U53" s="95">
        <f>SUMIF($E$23:$E$31,"중급",$AI$23:$AI$31)</f>
        <v>37</v>
      </c>
      <c r="V53" s="167"/>
      <c r="W53" s="107">
        <f>'250117 (제출본-최초)'!$U$50-U53</f>
        <v>0</v>
      </c>
    </row>
    <row r="54" spans="6:34" ht="16.5" customHeight="1" x14ac:dyDescent="0.2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168"/>
      <c r="T54" s="96" t="s">
        <v>58</v>
      </c>
      <c r="U54" s="95">
        <f>SUMIF($E$23:$E$31,"초급",$AI$23:$AI$31)</f>
        <v>36</v>
      </c>
      <c r="V54" s="168"/>
      <c r="W54" s="107">
        <f>'250117 (제출본-최초)'!$U$51-U54</f>
        <v>0</v>
      </c>
    </row>
    <row r="55" spans="6:34" ht="16.5" customHeight="1" x14ac:dyDescent="0.2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170" t="s">
        <v>73</v>
      </c>
      <c r="T55" s="171"/>
      <c r="U55" s="172"/>
      <c r="V55" s="97">
        <f t="shared" ref="V55:W55" si="7">SUM(V49:V54)</f>
        <v>172</v>
      </c>
      <c r="W55" s="107">
        <f t="shared" si="7"/>
        <v>0</v>
      </c>
    </row>
    <row r="56" spans="6:34" ht="16.5" customHeight="1" x14ac:dyDescent="0.2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6:34" ht="16.5" customHeight="1" x14ac:dyDescent="0.2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6:34" ht="16.5" customHeight="1" x14ac:dyDescent="0.2"/>
    <row r="59" spans="6:34" ht="16.5" customHeight="1" x14ac:dyDescent="0.2"/>
    <row r="60" spans="6:34" ht="16.5" customHeight="1" x14ac:dyDescent="0.2"/>
    <row r="61" spans="6:34" ht="16.5" customHeight="1" x14ac:dyDescent="0.2"/>
    <row r="62" spans="6:34" ht="16.5" customHeight="1" x14ac:dyDescent="0.2"/>
    <row r="63" spans="6:34" ht="16.5" customHeight="1" x14ac:dyDescent="0.2"/>
    <row r="64" spans="6:3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mergeCells count="19">
    <mergeCell ref="C3:AI3"/>
    <mergeCell ref="C4:D4"/>
    <mergeCell ref="L5:M5"/>
    <mergeCell ref="N5:W5"/>
    <mergeCell ref="D9:D19"/>
    <mergeCell ref="D20:D22"/>
    <mergeCell ref="D26:D31"/>
    <mergeCell ref="X49:Y49"/>
    <mergeCell ref="X50:Y50"/>
    <mergeCell ref="S52:S54"/>
    <mergeCell ref="V52:V54"/>
    <mergeCell ref="X48:Y48"/>
    <mergeCell ref="V49:V51"/>
    <mergeCell ref="S55:U55"/>
    <mergeCell ref="D32:D34"/>
    <mergeCell ref="D35:D37"/>
    <mergeCell ref="D38:D40"/>
    <mergeCell ref="C43:E43"/>
    <mergeCell ref="S49:S51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00"/>
  <sheetViews>
    <sheetView showGridLines="0" zoomScale="140" zoomScaleNormal="140" workbookViewId="0">
      <selection activeCell="S60" sqref="S60"/>
    </sheetView>
  </sheetViews>
  <sheetFormatPr baseColWidth="10" defaultColWidth="14.5" defaultRowHeight="15" customHeight="1" x14ac:dyDescent="0.2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 x14ac:dyDescent="0.2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 x14ac:dyDescent="0.2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16.5" customHeight="1" x14ac:dyDescent="0.2">
      <c r="A3" s="19"/>
      <c r="B3" s="25"/>
      <c r="C3" s="183" t="s">
        <v>22</v>
      </c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5"/>
      <c r="AJ3" s="26"/>
      <c r="AK3" s="19"/>
    </row>
    <row r="4" spans="1:38" ht="80.25" customHeight="1" x14ac:dyDescent="0.2">
      <c r="A4" s="19"/>
      <c r="B4" s="25"/>
      <c r="C4" s="191">
        <v>45742</v>
      </c>
      <c r="D4" s="15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 x14ac:dyDescent="0.2">
      <c r="A5" s="19"/>
      <c r="B5" s="25"/>
      <c r="C5" s="29" t="s">
        <v>74</v>
      </c>
      <c r="D5" s="29"/>
      <c r="E5" s="30"/>
      <c r="F5" s="30"/>
      <c r="G5" s="30"/>
      <c r="H5" s="30"/>
      <c r="I5" s="30"/>
      <c r="J5" s="30"/>
      <c r="K5" s="31"/>
      <c r="L5" s="187"/>
      <c r="M5" s="188"/>
      <c r="N5" s="187"/>
      <c r="O5" s="188"/>
      <c r="P5" s="188"/>
      <c r="Q5" s="188"/>
      <c r="R5" s="188"/>
      <c r="S5" s="188"/>
      <c r="T5" s="188"/>
      <c r="U5" s="188"/>
      <c r="V5" s="188"/>
      <c r="W5" s="18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16.5" customHeight="1" x14ac:dyDescent="0.2">
      <c r="A6" s="19"/>
      <c r="B6" s="25"/>
      <c r="C6" s="98" t="s">
        <v>23</v>
      </c>
      <c r="D6" s="98" t="s">
        <v>24</v>
      </c>
      <c r="E6" s="99" t="s">
        <v>25</v>
      </c>
      <c r="F6" s="99" t="s">
        <v>26</v>
      </c>
      <c r="G6" s="99" t="s">
        <v>27</v>
      </c>
      <c r="H6" s="99" t="s">
        <v>28</v>
      </c>
      <c r="I6" s="99" t="s">
        <v>29</v>
      </c>
      <c r="J6" s="99" t="s">
        <v>30</v>
      </c>
      <c r="K6" s="99" t="s">
        <v>31</v>
      </c>
      <c r="L6" s="100" t="s">
        <v>32</v>
      </c>
      <c r="M6" s="100" t="s">
        <v>33</v>
      </c>
      <c r="N6" s="100" t="s">
        <v>34</v>
      </c>
      <c r="O6" s="100" t="s">
        <v>35</v>
      </c>
      <c r="P6" s="100" t="s">
        <v>36</v>
      </c>
      <c r="Q6" s="100" t="s">
        <v>37</v>
      </c>
      <c r="R6" s="100" t="s">
        <v>38</v>
      </c>
      <c r="S6" s="100" t="s">
        <v>39</v>
      </c>
      <c r="T6" s="100" t="s">
        <v>40</v>
      </c>
      <c r="U6" s="100" t="s">
        <v>41</v>
      </c>
      <c r="V6" s="100" t="s">
        <v>42</v>
      </c>
      <c r="W6" s="100" t="s">
        <v>43</v>
      </c>
      <c r="X6" s="100" t="s">
        <v>44</v>
      </c>
      <c r="Y6" s="100" t="s">
        <v>45</v>
      </c>
      <c r="Z6" s="100" t="s">
        <v>46</v>
      </c>
      <c r="AA6" s="100"/>
      <c r="AB6" s="100"/>
      <c r="AC6" s="100"/>
      <c r="AD6" s="100"/>
      <c r="AE6" s="100"/>
      <c r="AF6" s="100"/>
      <c r="AG6" s="100"/>
      <c r="AH6" s="100"/>
      <c r="AI6" s="101" t="s">
        <v>47</v>
      </c>
      <c r="AJ6" s="26"/>
      <c r="AK6" s="19"/>
    </row>
    <row r="7" spans="1:38" ht="16.5" customHeight="1" x14ac:dyDescent="0.2">
      <c r="A7" s="19"/>
      <c r="B7" s="25"/>
      <c r="C7" s="38" t="s">
        <v>48</v>
      </c>
      <c r="D7" s="39" t="s">
        <v>49</v>
      </c>
      <c r="E7" s="40" t="s">
        <v>50</v>
      </c>
      <c r="F7" s="40" t="s">
        <v>4</v>
      </c>
      <c r="G7" s="40" t="s">
        <v>51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5" si="0">SUM(L7:AH7)</f>
        <v>14.5</v>
      </c>
      <c r="AJ7" s="26"/>
      <c r="AK7" s="19"/>
    </row>
    <row r="8" spans="1:38" ht="16.5" customHeight="1" x14ac:dyDescent="0.2">
      <c r="A8" s="19"/>
      <c r="B8" s="25"/>
      <c r="C8" s="38" t="s">
        <v>52</v>
      </c>
      <c r="D8" s="39" t="s">
        <v>53</v>
      </c>
      <c r="E8" s="40" t="s">
        <v>50</v>
      </c>
      <c r="F8" s="40" t="s">
        <v>3</v>
      </c>
      <c r="G8" s="40" t="s">
        <v>51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 x14ac:dyDescent="0.2">
      <c r="A9" s="19"/>
      <c r="B9" s="25"/>
      <c r="C9" s="47"/>
      <c r="D9" s="192" t="s">
        <v>54</v>
      </c>
      <c r="E9" s="40" t="s">
        <v>50</v>
      </c>
      <c r="F9" s="40" t="s">
        <v>8</v>
      </c>
      <c r="G9" s="40" t="s">
        <v>51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 x14ac:dyDescent="0.2">
      <c r="A10" s="19"/>
      <c r="B10" s="25"/>
      <c r="C10" s="47"/>
      <c r="D10" s="174"/>
      <c r="E10" s="40" t="s">
        <v>50</v>
      </c>
      <c r="F10" s="40" t="s">
        <v>7</v>
      </c>
      <c r="G10" s="102" t="s">
        <v>51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 x14ac:dyDescent="0.2">
      <c r="A11" s="19"/>
      <c r="B11" s="25"/>
      <c r="C11" s="50" t="s">
        <v>48</v>
      </c>
      <c r="D11" s="174"/>
      <c r="E11" s="40" t="s">
        <v>50</v>
      </c>
      <c r="F11" s="40" t="s">
        <v>20</v>
      </c>
      <c r="G11" s="102" t="s">
        <v>50</v>
      </c>
      <c r="H11" s="42">
        <v>45733</v>
      </c>
      <c r="I11" s="42">
        <v>45916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 x14ac:dyDescent="0.2">
      <c r="A12" s="19"/>
      <c r="B12" s="25"/>
      <c r="C12" s="50" t="s">
        <v>48</v>
      </c>
      <c r="D12" s="174"/>
      <c r="E12" s="51" t="s">
        <v>56</v>
      </c>
      <c r="F12" s="51" t="s">
        <v>11</v>
      </c>
      <c r="G12" s="51" t="s">
        <v>50</v>
      </c>
      <c r="H12" s="53">
        <v>45691</v>
      </c>
      <c r="I12" s="53">
        <v>45960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/>
      <c r="V12" s="55"/>
      <c r="W12" s="55"/>
      <c r="X12" s="55"/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9</v>
      </c>
      <c r="AJ12" s="26"/>
      <c r="AK12" s="19"/>
    </row>
    <row r="13" spans="1:38" ht="16.5" customHeight="1" x14ac:dyDescent="0.2">
      <c r="A13" s="19"/>
      <c r="B13" s="25"/>
      <c r="C13" s="50" t="s">
        <v>48</v>
      </c>
      <c r="D13" s="174"/>
      <c r="E13" s="51" t="s">
        <v>56</v>
      </c>
      <c r="F13" s="51" t="s">
        <v>15</v>
      </c>
      <c r="G13" s="51" t="s">
        <v>50</v>
      </c>
      <c r="H13" s="53">
        <v>45720</v>
      </c>
      <c r="I13" s="53">
        <v>46022</v>
      </c>
      <c r="J13" s="53"/>
      <c r="K13" s="53"/>
      <c r="L13" s="55"/>
      <c r="M13" s="55">
        <v>1</v>
      </c>
      <c r="N13" s="55">
        <v>1</v>
      </c>
      <c r="O13" s="55">
        <v>1</v>
      </c>
      <c r="P13" s="55">
        <v>1</v>
      </c>
      <c r="Q13" s="55">
        <v>1</v>
      </c>
      <c r="R13" s="55">
        <v>1</v>
      </c>
      <c r="S13" s="55">
        <v>1</v>
      </c>
      <c r="T13" s="55">
        <v>1</v>
      </c>
      <c r="U13" s="55">
        <v>1</v>
      </c>
      <c r="V13" s="55">
        <v>1</v>
      </c>
      <c r="W13" s="55"/>
      <c r="X13" s="55"/>
      <c r="Y13" s="55"/>
      <c r="Z13" s="55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10</v>
      </c>
      <c r="AJ13" s="26"/>
      <c r="AK13" s="19"/>
    </row>
    <row r="14" spans="1:38" ht="16.5" customHeight="1" x14ac:dyDescent="0.2">
      <c r="A14" s="19"/>
      <c r="B14" s="25"/>
      <c r="C14" s="50" t="s">
        <v>48</v>
      </c>
      <c r="D14" s="174"/>
      <c r="E14" s="51" t="s">
        <v>56</v>
      </c>
      <c r="F14" s="51" t="s">
        <v>19</v>
      </c>
      <c r="G14" s="51" t="s">
        <v>50</v>
      </c>
      <c r="H14" s="53">
        <v>45720</v>
      </c>
      <c r="I14" s="53">
        <v>45900</v>
      </c>
      <c r="J14" s="53"/>
      <c r="K14" s="53"/>
      <c r="L14" s="55"/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/>
      <c r="T14" s="55"/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6</v>
      </c>
      <c r="AJ14" s="26"/>
      <c r="AK14" s="19"/>
      <c r="AL14" s="19"/>
    </row>
    <row r="15" spans="1:38" ht="16.5" customHeight="1" x14ac:dyDescent="0.2">
      <c r="A15" s="19"/>
      <c r="B15" s="25"/>
      <c r="C15" s="50" t="s">
        <v>48</v>
      </c>
      <c r="D15" s="174"/>
      <c r="E15" s="57" t="s">
        <v>58</v>
      </c>
      <c r="F15" s="57" t="s">
        <v>12</v>
      </c>
      <c r="G15" s="57" t="s">
        <v>58</v>
      </c>
      <c r="H15" s="59">
        <v>45691</v>
      </c>
      <c r="I15" s="59">
        <v>45991</v>
      </c>
      <c r="J15" s="59"/>
      <c r="K15" s="59"/>
      <c r="L15" s="44">
        <v>1</v>
      </c>
      <c r="M15" s="44">
        <v>1</v>
      </c>
      <c r="N15" s="44">
        <v>1</v>
      </c>
      <c r="O15" s="44">
        <v>1</v>
      </c>
      <c r="P15" s="44">
        <v>1</v>
      </c>
      <c r="Q15" s="44">
        <v>1</v>
      </c>
      <c r="R15" s="44">
        <v>1</v>
      </c>
      <c r="S15" s="44">
        <v>1</v>
      </c>
      <c r="T15" s="44">
        <v>1</v>
      </c>
      <c r="U15" s="44">
        <v>1</v>
      </c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  <c r="AL15" s="19"/>
    </row>
    <row r="16" spans="1:38" ht="16.5" customHeight="1" x14ac:dyDescent="0.2">
      <c r="A16" s="19"/>
      <c r="B16" s="25"/>
      <c r="C16" s="50" t="s">
        <v>48</v>
      </c>
      <c r="D16" s="174"/>
      <c r="E16" s="57" t="s">
        <v>58</v>
      </c>
      <c r="F16" s="57" t="s">
        <v>16</v>
      </c>
      <c r="G16" s="103" t="s">
        <v>58</v>
      </c>
      <c r="H16" s="59">
        <v>45691</v>
      </c>
      <c r="I16" s="59">
        <v>45961</v>
      </c>
      <c r="J16" s="59"/>
      <c r="K16" s="59"/>
      <c r="L16" s="44">
        <v>1</v>
      </c>
      <c r="M16" s="44">
        <v>1</v>
      </c>
      <c r="N16" s="44">
        <v>1</v>
      </c>
      <c r="O16" s="44">
        <v>1</v>
      </c>
      <c r="P16" s="44">
        <v>1</v>
      </c>
      <c r="Q16" s="44">
        <v>1</v>
      </c>
      <c r="R16" s="44">
        <v>1</v>
      </c>
      <c r="S16" s="44">
        <v>1</v>
      </c>
      <c r="T16" s="44">
        <v>1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>
        <f t="shared" ref="AI16:AI17" si="1">SUM(L16:Z16)</f>
        <v>9</v>
      </c>
      <c r="AJ16" s="26"/>
      <c r="AK16" s="19"/>
      <c r="AL16" s="19"/>
    </row>
    <row r="17" spans="1:38" ht="16.5" hidden="1" customHeight="1" x14ac:dyDescent="0.2">
      <c r="A17" s="19"/>
      <c r="B17" s="25"/>
      <c r="C17" s="50" t="s">
        <v>48</v>
      </c>
      <c r="D17" s="174"/>
      <c r="E17" s="57"/>
      <c r="F17" s="57"/>
      <c r="G17" s="57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1"/>
        <v>0</v>
      </c>
      <c r="AJ17" s="26"/>
      <c r="AK17" s="19"/>
      <c r="AL17" s="19"/>
    </row>
    <row r="18" spans="1:38" ht="16.5" hidden="1" customHeight="1" x14ac:dyDescent="0.2">
      <c r="A18" s="19"/>
      <c r="B18" s="25"/>
      <c r="C18" s="50" t="s">
        <v>48</v>
      </c>
      <c r="D18" s="174"/>
      <c r="E18" s="57"/>
      <c r="F18" s="57"/>
      <c r="G18" s="57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22" si="2">SUM(L18:AH18)</f>
        <v>0</v>
      </c>
      <c r="AJ18" s="26"/>
      <c r="AK18" s="19"/>
      <c r="AL18" s="19"/>
    </row>
    <row r="19" spans="1:38" ht="16.5" hidden="1" customHeight="1" x14ac:dyDescent="0.2">
      <c r="A19" s="19"/>
      <c r="B19" s="25"/>
      <c r="C19" s="50" t="s">
        <v>48</v>
      </c>
      <c r="D19" s="175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2"/>
        <v>0</v>
      </c>
      <c r="AJ19" s="26"/>
      <c r="AK19" s="19"/>
      <c r="AL19" s="19"/>
    </row>
    <row r="20" spans="1:38" ht="16.5" hidden="1" customHeight="1" x14ac:dyDescent="0.2">
      <c r="A20" s="19"/>
      <c r="B20" s="25"/>
      <c r="C20" s="50" t="s">
        <v>48</v>
      </c>
      <c r="D20" s="176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2"/>
        <v>0</v>
      </c>
      <c r="AJ20" s="26"/>
      <c r="AK20" s="19"/>
    </row>
    <row r="21" spans="1:38" ht="16.5" hidden="1" customHeight="1" x14ac:dyDescent="0.2">
      <c r="A21" s="19"/>
      <c r="B21" s="25"/>
      <c r="C21" s="50" t="s">
        <v>48</v>
      </c>
      <c r="D21" s="174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</row>
    <row r="22" spans="1:38" ht="16.5" hidden="1" customHeight="1" x14ac:dyDescent="0.2">
      <c r="A22" s="19"/>
      <c r="B22" s="25"/>
      <c r="C22" s="50" t="s">
        <v>48</v>
      </c>
      <c r="D22" s="175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customHeight="1" x14ac:dyDescent="0.2">
      <c r="A23" s="19"/>
      <c r="B23" s="25"/>
      <c r="C23" s="61" t="s">
        <v>48</v>
      </c>
      <c r="D23" s="104" t="s">
        <v>59</v>
      </c>
      <c r="E23" s="66"/>
      <c r="F23" s="66"/>
      <c r="G23" s="66"/>
      <c r="H23" s="66"/>
      <c r="I23" s="66" t="s">
        <v>60</v>
      </c>
      <c r="J23" s="67"/>
      <c r="K23" s="67"/>
      <c r="L23" s="68">
        <f t="shared" ref="L23:Z23" si="3">SUM(L7:L22)</f>
        <v>6.5</v>
      </c>
      <c r="M23" s="68">
        <f t="shared" si="3"/>
        <v>9.5</v>
      </c>
      <c r="N23" s="68">
        <f t="shared" si="3"/>
        <v>10</v>
      </c>
      <c r="O23" s="68">
        <f t="shared" si="3"/>
        <v>10</v>
      </c>
      <c r="P23" s="68">
        <f t="shared" si="3"/>
        <v>10</v>
      </c>
      <c r="Q23" s="68">
        <f t="shared" si="3"/>
        <v>10</v>
      </c>
      <c r="R23" s="68">
        <f t="shared" si="3"/>
        <v>10</v>
      </c>
      <c r="S23" s="68">
        <f t="shared" si="3"/>
        <v>8.5</v>
      </c>
      <c r="T23" s="68">
        <f t="shared" si="3"/>
        <v>8</v>
      </c>
      <c r="U23" s="68">
        <f t="shared" si="3"/>
        <v>6</v>
      </c>
      <c r="V23" s="68">
        <f t="shared" si="3"/>
        <v>3.5</v>
      </c>
      <c r="W23" s="68">
        <f t="shared" si="3"/>
        <v>2</v>
      </c>
      <c r="X23" s="68">
        <f t="shared" si="3"/>
        <v>2</v>
      </c>
      <c r="Y23" s="68">
        <f t="shared" si="3"/>
        <v>2</v>
      </c>
      <c r="Z23" s="68">
        <f t="shared" si="3"/>
        <v>1</v>
      </c>
      <c r="AA23" s="68"/>
      <c r="AB23" s="68"/>
      <c r="AC23" s="68"/>
      <c r="AD23" s="68"/>
      <c r="AE23" s="68"/>
      <c r="AF23" s="68"/>
      <c r="AG23" s="68"/>
      <c r="AH23" s="68"/>
      <c r="AI23" s="69">
        <f>SUM(AI7:AI22)</f>
        <v>99</v>
      </c>
      <c r="AJ23" s="26"/>
      <c r="AK23" s="19"/>
    </row>
    <row r="24" spans="1:38" ht="4.5" customHeight="1" x14ac:dyDescent="0.2">
      <c r="A24" s="70"/>
      <c r="B24" s="71"/>
      <c r="C24" s="72"/>
      <c r="D24" s="73"/>
      <c r="E24" s="74"/>
      <c r="F24" s="74"/>
      <c r="G24" s="74"/>
      <c r="H24" s="76"/>
      <c r="I24" s="76"/>
      <c r="J24" s="76"/>
      <c r="K24" s="76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8"/>
      <c r="AK24" s="70"/>
    </row>
    <row r="25" spans="1:38" ht="16.5" customHeight="1" x14ac:dyDescent="0.2">
      <c r="A25" s="19"/>
      <c r="B25" s="25"/>
      <c r="C25" s="38" t="s">
        <v>61</v>
      </c>
      <c r="D25" s="79" t="s">
        <v>53</v>
      </c>
      <c r="E25" s="51" t="s">
        <v>56</v>
      </c>
      <c r="F25" s="51" t="s">
        <v>5</v>
      </c>
      <c r="G25" s="105" t="s">
        <v>55</v>
      </c>
      <c r="H25" s="53">
        <v>45726</v>
      </c>
      <c r="I25" s="53">
        <v>46127</v>
      </c>
      <c r="J25" s="53"/>
      <c r="K25" s="53"/>
      <c r="L25" s="55"/>
      <c r="M25" s="55">
        <v>0.75</v>
      </c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5">
        <v>1</v>
      </c>
      <c r="X25" s="55">
        <v>1</v>
      </c>
      <c r="Y25" s="55">
        <v>1</v>
      </c>
      <c r="Z25" s="55">
        <v>0.5</v>
      </c>
      <c r="AA25" s="44"/>
      <c r="AB25" s="44"/>
      <c r="AC25" s="44"/>
      <c r="AD25" s="44"/>
      <c r="AE25" s="44"/>
      <c r="AF25" s="44"/>
      <c r="AG25" s="44"/>
      <c r="AH25" s="44"/>
      <c r="AI25" s="45">
        <f t="shared" ref="AI25:AI31" si="4">SUM(L25:AH25)</f>
        <v>13.25</v>
      </c>
      <c r="AJ25" s="26"/>
      <c r="AK25" s="19"/>
    </row>
    <row r="26" spans="1:38" ht="16.5" customHeight="1" x14ac:dyDescent="0.2">
      <c r="A26" s="19"/>
      <c r="B26" s="25"/>
      <c r="C26" s="47"/>
      <c r="D26" s="173" t="s">
        <v>62</v>
      </c>
      <c r="E26" s="51" t="s">
        <v>56</v>
      </c>
      <c r="F26" s="51" t="s">
        <v>9</v>
      </c>
      <c r="G26" s="105" t="s">
        <v>55</v>
      </c>
      <c r="H26" s="53">
        <v>45726</v>
      </c>
      <c r="I26" s="53">
        <v>46127</v>
      </c>
      <c r="J26" s="53"/>
      <c r="K26" s="53"/>
      <c r="L26" s="55"/>
      <c r="M26" s="55">
        <v>0.75</v>
      </c>
      <c r="N26" s="55">
        <v>1</v>
      </c>
      <c r="O26" s="55">
        <v>1</v>
      </c>
      <c r="P26" s="55">
        <v>1</v>
      </c>
      <c r="Q26" s="55">
        <v>1</v>
      </c>
      <c r="R26" s="55">
        <v>1</v>
      </c>
      <c r="S26" s="55">
        <v>1</v>
      </c>
      <c r="T26" s="55">
        <v>1</v>
      </c>
      <c r="U26" s="55">
        <v>1</v>
      </c>
      <c r="V26" s="55">
        <v>1</v>
      </c>
      <c r="W26" s="55">
        <v>1</v>
      </c>
      <c r="X26" s="55">
        <v>1</v>
      </c>
      <c r="Y26" s="55">
        <v>1</v>
      </c>
      <c r="Z26" s="55">
        <v>0.5</v>
      </c>
      <c r="AA26" s="44"/>
      <c r="AB26" s="44"/>
      <c r="AC26" s="44"/>
      <c r="AD26" s="44"/>
      <c r="AE26" s="44"/>
      <c r="AF26" s="44"/>
      <c r="AG26" s="44"/>
      <c r="AH26" s="44"/>
      <c r="AI26" s="45">
        <f t="shared" si="4"/>
        <v>13.25</v>
      </c>
      <c r="AJ26" s="26"/>
      <c r="AK26" s="19"/>
    </row>
    <row r="27" spans="1:38" ht="16.5" customHeight="1" x14ac:dyDescent="0.2">
      <c r="A27" s="19"/>
      <c r="B27" s="25"/>
      <c r="C27" s="47"/>
      <c r="D27" s="174"/>
      <c r="E27" s="51" t="s">
        <v>56</v>
      </c>
      <c r="F27" s="51" t="s">
        <v>21</v>
      </c>
      <c r="G27" s="51" t="s">
        <v>50</v>
      </c>
      <c r="H27" s="53">
        <v>45748</v>
      </c>
      <c r="I27" s="53">
        <v>46066</v>
      </c>
      <c r="J27" s="53"/>
      <c r="K27" s="53"/>
      <c r="L27" s="55"/>
      <c r="M27" s="55"/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0.5</v>
      </c>
      <c r="Y27" s="55"/>
      <c r="Z27" s="55"/>
      <c r="AA27" s="44"/>
      <c r="AB27" s="44"/>
      <c r="AC27" s="44"/>
      <c r="AD27" s="44"/>
      <c r="AE27" s="44"/>
      <c r="AF27" s="44"/>
      <c r="AG27" s="44"/>
      <c r="AH27" s="44"/>
      <c r="AI27" s="45">
        <f t="shared" si="4"/>
        <v>10.5</v>
      </c>
      <c r="AJ27" s="26"/>
      <c r="AK27" s="19"/>
    </row>
    <row r="28" spans="1:38" ht="16.5" customHeight="1" x14ac:dyDescent="0.2">
      <c r="A28" s="19"/>
      <c r="B28" s="25"/>
      <c r="C28" s="50" t="s">
        <v>61</v>
      </c>
      <c r="D28" s="174"/>
      <c r="E28" s="57" t="s">
        <v>58</v>
      </c>
      <c r="F28" s="57" t="s">
        <v>13</v>
      </c>
      <c r="G28" s="103" t="s">
        <v>55</v>
      </c>
      <c r="H28" s="59">
        <v>45726</v>
      </c>
      <c r="I28" s="59">
        <v>46127</v>
      </c>
      <c r="J28" s="59"/>
      <c r="K28" s="59"/>
      <c r="L28" s="44"/>
      <c r="M28" s="44">
        <v>0.75</v>
      </c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44">
        <v>1</v>
      </c>
      <c r="V28" s="44">
        <v>1</v>
      </c>
      <c r="W28" s="44">
        <v>1</v>
      </c>
      <c r="X28" s="44">
        <v>1</v>
      </c>
      <c r="Y28" s="44">
        <v>1</v>
      </c>
      <c r="Z28" s="44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 x14ac:dyDescent="0.2">
      <c r="A29" s="19"/>
      <c r="B29" s="25"/>
      <c r="C29" s="50" t="s">
        <v>61</v>
      </c>
      <c r="D29" s="174"/>
      <c r="E29" s="57" t="s">
        <v>58</v>
      </c>
      <c r="F29" s="57" t="s">
        <v>6</v>
      </c>
      <c r="G29" s="103" t="s">
        <v>55</v>
      </c>
      <c r="H29" s="59">
        <v>45748</v>
      </c>
      <c r="I29" s="59">
        <v>45961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7</v>
      </c>
      <c r="AJ29" s="26"/>
      <c r="AK29" s="19"/>
    </row>
    <row r="30" spans="1:38" ht="16.5" customHeight="1" x14ac:dyDescent="0.2">
      <c r="A30" s="19"/>
      <c r="B30" s="25"/>
      <c r="C30" s="50" t="s">
        <v>61</v>
      </c>
      <c r="D30" s="174"/>
      <c r="E30" s="57" t="s">
        <v>58</v>
      </c>
      <c r="F30" s="57" t="s">
        <v>17</v>
      </c>
      <c r="G30" s="103" t="s">
        <v>55</v>
      </c>
      <c r="H30" s="59">
        <v>45726</v>
      </c>
      <c r="I30" s="59">
        <v>45989</v>
      </c>
      <c r="J30" s="59"/>
      <c r="K30" s="59"/>
      <c r="L30" s="44"/>
      <c r="M30" s="44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8.75</v>
      </c>
      <c r="AJ30" s="26"/>
      <c r="AK30" s="19"/>
    </row>
    <row r="31" spans="1:38" ht="16.5" customHeight="1" x14ac:dyDescent="0.2">
      <c r="A31" s="19"/>
      <c r="B31" s="25"/>
      <c r="C31" s="50" t="s">
        <v>61</v>
      </c>
      <c r="D31" s="175"/>
      <c r="E31" s="57" t="s">
        <v>58</v>
      </c>
      <c r="F31" s="57" t="s">
        <v>10</v>
      </c>
      <c r="G31" s="103" t="s">
        <v>55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81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7</v>
      </c>
      <c r="AJ31" s="26"/>
      <c r="AK31" s="19"/>
    </row>
    <row r="32" spans="1:38" ht="16.5" hidden="1" customHeight="1" x14ac:dyDescent="0.2">
      <c r="A32" s="19"/>
      <c r="B32" s="25"/>
      <c r="C32" s="50" t="s">
        <v>61</v>
      </c>
      <c r="D32" s="176"/>
      <c r="E32" s="57" t="s">
        <v>50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 x14ac:dyDescent="0.2">
      <c r="A33" s="19"/>
      <c r="B33" s="25"/>
      <c r="C33" s="50" t="s">
        <v>61</v>
      </c>
      <c r="D33" s="174"/>
      <c r="E33" s="57" t="s">
        <v>56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 x14ac:dyDescent="0.2">
      <c r="A34" s="19"/>
      <c r="B34" s="25"/>
      <c r="C34" s="50" t="s">
        <v>61</v>
      </c>
      <c r="D34" s="175"/>
      <c r="E34" s="57" t="s">
        <v>58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 x14ac:dyDescent="0.2">
      <c r="A35" s="19"/>
      <c r="B35" s="25"/>
      <c r="C35" s="50" t="s">
        <v>61</v>
      </c>
      <c r="D35" s="176"/>
      <c r="E35" s="57" t="s">
        <v>50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 x14ac:dyDescent="0.2">
      <c r="A36" s="19"/>
      <c r="B36" s="25"/>
      <c r="C36" s="50" t="s">
        <v>61</v>
      </c>
      <c r="D36" s="174"/>
      <c r="E36" s="57" t="s">
        <v>56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 x14ac:dyDescent="0.2">
      <c r="A37" s="19"/>
      <c r="B37" s="25"/>
      <c r="C37" s="50" t="s">
        <v>61</v>
      </c>
      <c r="D37" s="175"/>
      <c r="E37" s="57" t="s">
        <v>58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 x14ac:dyDescent="0.2">
      <c r="A38" s="19"/>
      <c r="B38" s="25"/>
      <c r="C38" s="50" t="s">
        <v>61</v>
      </c>
      <c r="D38" s="177" t="s">
        <v>63</v>
      </c>
      <c r="E38" s="57" t="s">
        <v>50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 x14ac:dyDescent="0.2">
      <c r="A39" s="19"/>
      <c r="B39" s="25"/>
      <c r="C39" s="50" t="s">
        <v>61</v>
      </c>
      <c r="D39" s="174"/>
      <c r="E39" s="57" t="s">
        <v>56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 x14ac:dyDescent="0.2">
      <c r="A40" s="19"/>
      <c r="B40" s="25"/>
      <c r="C40" s="50" t="s">
        <v>61</v>
      </c>
      <c r="D40" s="175"/>
      <c r="E40" s="57" t="s">
        <v>58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customHeight="1" x14ac:dyDescent="0.2">
      <c r="A41" s="19"/>
      <c r="B41" s="25"/>
      <c r="C41" s="61" t="s">
        <v>61</v>
      </c>
      <c r="D41" s="104" t="s">
        <v>59</v>
      </c>
      <c r="E41" s="66"/>
      <c r="F41" s="66"/>
      <c r="G41" s="66" t="s">
        <v>76</v>
      </c>
      <c r="H41" s="66"/>
      <c r="I41" s="66" t="s">
        <v>60</v>
      </c>
      <c r="J41" s="67"/>
      <c r="K41" s="67"/>
      <c r="L41" s="68">
        <f t="shared" ref="L41:Z41" si="5">SUM(L25:L40)</f>
        <v>0</v>
      </c>
      <c r="M41" s="68">
        <f t="shared" si="5"/>
        <v>3</v>
      </c>
      <c r="N41" s="68">
        <f t="shared" si="5"/>
        <v>7</v>
      </c>
      <c r="O41" s="68">
        <f t="shared" si="5"/>
        <v>7</v>
      </c>
      <c r="P41" s="68">
        <f t="shared" si="5"/>
        <v>7</v>
      </c>
      <c r="Q41" s="68">
        <f t="shared" si="5"/>
        <v>7</v>
      </c>
      <c r="R41" s="68">
        <f t="shared" si="5"/>
        <v>7</v>
      </c>
      <c r="S41" s="68">
        <f t="shared" si="5"/>
        <v>7</v>
      </c>
      <c r="T41" s="68">
        <f t="shared" si="5"/>
        <v>7</v>
      </c>
      <c r="U41" s="68">
        <f t="shared" si="5"/>
        <v>5</v>
      </c>
      <c r="V41" s="68">
        <f t="shared" si="5"/>
        <v>4</v>
      </c>
      <c r="W41" s="68">
        <f t="shared" si="5"/>
        <v>4</v>
      </c>
      <c r="X41" s="68">
        <f t="shared" si="5"/>
        <v>3.5</v>
      </c>
      <c r="Y41" s="68">
        <f t="shared" si="5"/>
        <v>3</v>
      </c>
      <c r="Z41" s="68">
        <f t="shared" si="5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SUM(AI25:AI40)</f>
        <v>73</v>
      </c>
      <c r="AJ41" s="26"/>
      <c r="AK41" s="19"/>
    </row>
    <row r="42" spans="1:37" ht="4.5" customHeight="1" x14ac:dyDescent="0.2">
      <c r="A42" s="70"/>
      <c r="B42" s="71"/>
      <c r="C42" s="72"/>
      <c r="D42" s="73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8"/>
      <c r="AK42" s="70"/>
    </row>
    <row r="43" spans="1:37" ht="16.5" customHeight="1" x14ac:dyDescent="0.2">
      <c r="A43" s="19"/>
      <c r="B43" s="25"/>
      <c r="C43" s="178" t="s">
        <v>59</v>
      </c>
      <c r="D43" s="179"/>
      <c r="E43" s="180"/>
      <c r="F43" s="84"/>
      <c r="G43" s="85"/>
      <c r="H43" s="85"/>
      <c r="I43" s="85" t="s">
        <v>64</v>
      </c>
      <c r="J43" s="86"/>
      <c r="K43" s="86"/>
      <c r="L43" s="68">
        <f t="shared" ref="L43:Z43" si="6">L23+L41</f>
        <v>6.5</v>
      </c>
      <c r="M43" s="68">
        <f t="shared" si="6"/>
        <v>12.5</v>
      </c>
      <c r="N43" s="68">
        <f t="shared" si="6"/>
        <v>17</v>
      </c>
      <c r="O43" s="68">
        <f t="shared" si="6"/>
        <v>17</v>
      </c>
      <c r="P43" s="68">
        <f t="shared" si="6"/>
        <v>17</v>
      </c>
      <c r="Q43" s="68">
        <f t="shared" si="6"/>
        <v>17</v>
      </c>
      <c r="R43" s="68">
        <f t="shared" si="6"/>
        <v>17</v>
      </c>
      <c r="S43" s="68">
        <f t="shared" si="6"/>
        <v>15.5</v>
      </c>
      <c r="T43" s="68">
        <f t="shared" si="6"/>
        <v>15</v>
      </c>
      <c r="U43" s="68">
        <f t="shared" si="6"/>
        <v>11</v>
      </c>
      <c r="V43" s="68">
        <f t="shared" si="6"/>
        <v>7.5</v>
      </c>
      <c r="W43" s="68">
        <f t="shared" si="6"/>
        <v>6</v>
      </c>
      <c r="X43" s="68">
        <f t="shared" si="6"/>
        <v>5.5</v>
      </c>
      <c r="Y43" s="68">
        <f t="shared" si="6"/>
        <v>5</v>
      </c>
      <c r="Z43" s="68">
        <f t="shared" si="6"/>
        <v>2.5</v>
      </c>
      <c r="AA43" s="68"/>
      <c r="AB43" s="68"/>
      <c r="AC43" s="68"/>
      <c r="AD43" s="68"/>
      <c r="AE43" s="68"/>
      <c r="AF43" s="68"/>
      <c r="AG43" s="68"/>
      <c r="AH43" s="68"/>
      <c r="AI43" s="69">
        <f>AI23+AI41</f>
        <v>172</v>
      </c>
      <c r="AJ43" s="26"/>
      <c r="AK43" s="19"/>
    </row>
    <row r="44" spans="1:37" ht="16.5" customHeight="1" x14ac:dyDescent="0.2">
      <c r="A44" s="19"/>
      <c r="B44" s="87"/>
      <c r="C44" s="88"/>
      <c r="D44" s="88"/>
      <c r="E44" s="89"/>
      <c r="F44" s="89"/>
      <c r="G44" s="89"/>
      <c r="H44" s="89"/>
      <c r="I44" s="88"/>
      <c r="J44" s="88"/>
      <c r="K44" s="90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91"/>
      <c r="AK44" s="19"/>
    </row>
    <row r="45" spans="1:37" ht="16.5" customHeight="1" x14ac:dyDescent="0.2">
      <c r="C45" s="106" t="s">
        <v>77</v>
      </c>
    </row>
    <row r="46" spans="1:37" ht="16.5" customHeight="1" x14ac:dyDescent="0.2">
      <c r="C46" s="106" t="s">
        <v>78</v>
      </c>
    </row>
    <row r="47" spans="1:37" ht="27.75" customHeight="1" x14ac:dyDescent="0.2">
      <c r="A47" s="19"/>
      <c r="B47" s="19"/>
      <c r="C47" s="19"/>
      <c r="D47" s="19"/>
      <c r="E47" s="2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0"/>
      <c r="R47" s="20"/>
      <c r="S47" s="92" t="s">
        <v>65</v>
      </c>
      <c r="X47" s="92" t="s">
        <v>66</v>
      </c>
      <c r="AJ47" s="19"/>
      <c r="AK47" s="19"/>
    </row>
    <row r="48" spans="1:37" ht="16.5" customHeight="1" x14ac:dyDescent="0.2">
      <c r="A48" s="19"/>
      <c r="B48" s="1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  <c r="R48" s="20"/>
      <c r="S48" s="93" t="s">
        <v>67</v>
      </c>
      <c r="T48" s="94" t="s">
        <v>68</v>
      </c>
      <c r="U48" s="93" t="s">
        <v>69</v>
      </c>
      <c r="V48" s="93" t="s">
        <v>59</v>
      </c>
      <c r="W48" s="107" t="s">
        <v>79</v>
      </c>
      <c r="X48" s="190" t="s">
        <v>70</v>
      </c>
      <c r="Y48" s="172"/>
      <c r="Z48" s="95">
        <v>172</v>
      </c>
      <c r="AA48" s="108"/>
      <c r="AB48" s="108"/>
      <c r="AC48" s="108"/>
      <c r="AD48" s="108"/>
      <c r="AE48" s="108"/>
      <c r="AF48" s="108"/>
      <c r="AG48" s="108"/>
      <c r="AH48" s="108"/>
      <c r="AJ48" s="19"/>
      <c r="AK48" s="19"/>
    </row>
    <row r="49" spans="6:34" ht="16.5" customHeight="1" x14ac:dyDescent="0.2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S49" s="166" t="s">
        <v>52</v>
      </c>
      <c r="T49" s="96" t="s">
        <v>50</v>
      </c>
      <c r="U49" s="95">
        <f>SUMIF($E$7:$E$19,"고급",$AI$7:$AI$19)</f>
        <v>55</v>
      </c>
      <c r="V49" s="169">
        <f>SUM(U49:U51)</f>
        <v>99</v>
      </c>
      <c r="W49" s="107">
        <f>'250117 (제출본-최초)'!$U$46-U49</f>
        <v>0</v>
      </c>
      <c r="X49" s="189" t="s">
        <v>80</v>
      </c>
      <c r="Y49" s="172"/>
      <c r="Z49" s="95">
        <f>204.5-Z48</f>
        <v>32.5</v>
      </c>
      <c r="AA49" s="109"/>
      <c r="AB49" s="109"/>
      <c r="AC49" s="109"/>
      <c r="AD49" s="109"/>
      <c r="AE49" s="109"/>
      <c r="AF49" s="109"/>
      <c r="AG49" s="109"/>
      <c r="AH49" s="109"/>
    </row>
    <row r="50" spans="6:34" ht="16.5" customHeight="1" x14ac:dyDescent="0.2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167"/>
      <c r="T50" s="96" t="s">
        <v>56</v>
      </c>
      <c r="U50" s="95">
        <f>SUMIF($E$7:$E$19,"중급",$AI$7:$AI$19)</f>
        <v>25</v>
      </c>
      <c r="V50" s="167"/>
      <c r="W50" s="107">
        <f>'250117 (제출본-최초)'!$U$47-U50</f>
        <v>0</v>
      </c>
      <c r="X50" s="189" t="s">
        <v>72</v>
      </c>
      <c r="Y50" s="172"/>
      <c r="Z50" s="95">
        <v>204.5</v>
      </c>
      <c r="AA50" s="109"/>
      <c r="AB50" s="109"/>
      <c r="AC50" s="109"/>
      <c r="AD50" s="109"/>
      <c r="AE50" s="109"/>
      <c r="AF50" s="109"/>
      <c r="AG50" s="109"/>
      <c r="AH50" s="109"/>
    </row>
    <row r="51" spans="6:34" ht="16.5" customHeight="1" x14ac:dyDescent="0.2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168"/>
      <c r="T51" s="96" t="s">
        <v>58</v>
      </c>
      <c r="U51" s="95">
        <f>SUMIF($E$7:$E$19,"초급",$AI$7:$AI$19)</f>
        <v>19</v>
      </c>
      <c r="V51" s="168"/>
      <c r="W51" s="107">
        <f>'250117 (제출본-최초)'!$U$48-U51</f>
        <v>0</v>
      </c>
      <c r="AA51" s="109"/>
      <c r="AB51" s="109"/>
      <c r="AC51" s="109"/>
      <c r="AD51" s="109"/>
      <c r="AE51" s="109"/>
      <c r="AF51" s="109"/>
      <c r="AG51" s="109"/>
      <c r="AH51" s="109"/>
    </row>
    <row r="52" spans="6:34" ht="16.5" customHeight="1" x14ac:dyDescent="0.2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166" t="s">
        <v>61</v>
      </c>
      <c r="T52" s="96" t="s">
        <v>50</v>
      </c>
      <c r="U52" s="95">
        <f>SUMIF($E$23:$E$31,"고급",$AI$23:$AI$31)</f>
        <v>0</v>
      </c>
      <c r="V52" s="169">
        <f>SUM(U52:U54)</f>
        <v>73</v>
      </c>
      <c r="W52" s="107">
        <f>'250117 (제출본-최초)'!$U$49-U52</f>
        <v>0</v>
      </c>
    </row>
    <row r="53" spans="6:34" ht="16.5" customHeight="1" x14ac:dyDescent="0.2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167"/>
      <c r="T53" s="96" t="s">
        <v>56</v>
      </c>
      <c r="U53" s="95">
        <f>SUMIF($E$23:$E$31,"중급",$AI$23:$AI$31)</f>
        <v>37</v>
      </c>
      <c r="V53" s="167"/>
      <c r="W53" s="107">
        <f>'250117 (제출본-최초)'!$U$50-U53</f>
        <v>0</v>
      </c>
    </row>
    <row r="54" spans="6:34" ht="16.5" customHeight="1" x14ac:dyDescent="0.2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168"/>
      <c r="T54" s="96" t="s">
        <v>58</v>
      </c>
      <c r="U54" s="95">
        <f>SUMIF($E$23:$E$31,"초급",$AI$23:$AI$31)</f>
        <v>36</v>
      </c>
      <c r="V54" s="168"/>
      <c r="W54" s="107">
        <f>'250117 (제출본-최초)'!$U$51-U54</f>
        <v>0</v>
      </c>
    </row>
    <row r="55" spans="6:34" ht="16.5" customHeight="1" x14ac:dyDescent="0.2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170" t="s">
        <v>73</v>
      </c>
      <c r="T55" s="171"/>
      <c r="U55" s="172"/>
      <c r="V55" s="97">
        <f t="shared" ref="V55:W55" si="7">SUM(V49:V54)</f>
        <v>172</v>
      </c>
      <c r="W55" s="107">
        <f t="shared" si="7"/>
        <v>0</v>
      </c>
    </row>
    <row r="56" spans="6:34" ht="16.5" customHeight="1" x14ac:dyDescent="0.2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6:34" ht="16.5" customHeight="1" x14ac:dyDescent="0.2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6:34" ht="16.5" customHeight="1" x14ac:dyDescent="0.2"/>
    <row r="59" spans="6:34" ht="16.5" customHeight="1" x14ac:dyDescent="0.2"/>
    <row r="60" spans="6:34" ht="16.5" customHeight="1" x14ac:dyDescent="0.2"/>
    <row r="61" spans="6:34" ht="16.5" customHeight="1" x14ac:dyDescent="0.2"/>
    <row r="62" spans="6:34" ht="16.5" customHeight="1" x14ac:dyDescent="0.2"/>
    <row r="63" spans="6:34" ht="16.5" customHeight="1" x14ac:dyDescent="0.2"/>
    <row r="64" spans="6:3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mergeCells count="19">
    <mergeCell ref="C3:AI3"/>
    <mergeCell ref="C4:D4"/>
    <mergeCell ref="L5:M5"/>
    <mergeCell ref="N5:W5"/>
    <mergeCell ref="D9:D19"/>
    <mergeCell ref="D20:D22"/>
    <mergeCell ref="D26:D31"/>
    <mergeCell ref="X49:Y49"/>
    <mergeCell ref="X50:Y50"/>
    <mergeCell ref="S52:S54"/>
    <mergeCell ref="V52:V54"/>
    <mergeCell ref="X48:Y48"/>
    <mergeCell ref="V49:V51"/>
    <mergeCell ref="S55:U55"/>
    <mergeCell ref="D32:D34"/>
    <mergeCell ref="D35:D37"/>
    <mergeCell ref="D38:D40"/>
    <mergeCell ref="C43:E43"/>
    <mergeCell ref="S49:S51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999"/>
  <sheetViews>
    <sheetView showGridLines="0" topLeftCell="D1" zoomScale="130" zoomScaleNormal="130" workbookViewId="0">
      <selection activeCell="M29" sqref="M29:Y29"/>
    </sheetView>
  </sheetViews>
  <sheetFormatPr baseColWidth="10" defaultColWidth="14.5" defaultRowHeight="15" customHeight="1" x14ac:dyDescent="0.2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 x14ac:dyDescent="0.2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 x14ac:dyDescent="0.2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2" x14ac:dyDescent="0.2">
      <c r="A3" s="19"/>
      <c r="B3" s="25"/>
      <c r="C3" s="183" t="s">
        <v>22</v>
      </c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5"/>
      <c r="AJ3" s="26"/>
      <c r="AK3" s="19"/>
    </row>
    <row r="4" spans="1:38" ht="80.25" customHeight="1" x14ac:dyDescent="0.2">
      <c r="A4" s="19"/>
      <c r="B4" s="25"/>
      <c r="C4" s="191">
        <v>45742</v>
      </c>
      <c r="D4" s="15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 x14ac:dyDescent="0.2">
      <c r="A5" s="19"/>
      <c r="B5" s="25"/>
      <c r="C5" s="29" t="s">
        <v>74</v>
      </c>
      <c r="D5" s="29"/>
      <c r="E5" s="30"/>
      <c r="F5" s="30"/>
      <c r="G5" s="30"/>
      <c r="H5" s="30"/>
      <c r="I5" s="30"/>
      <c r="J5" s="30"/>
      <c r="K5" s="31"/>
      <c r="L5" s="187"/>
      <c r="M5" s="188"/>
      <c r="N5" s="187"/>
      <c r="O5" s="188"/>
      <c r="P5" s="188"/>
      <c r="Q5" s="188"/>
      <c r="R5" s="188"/>
      <c r="S5" s="188"/>
      <c r="T5" s="188"/>
      <c r="U5" s="188"/>
      <c r="V5" s="188"/>
      <c r="W5" s="18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 x14ac:dyDescent="0.2">
      <c r="A6" s="19"/>
      <c r="B6" s="25"/>
      <c r="C6" s="98" t="s">
        <v>23</v>
      </c>
      <c r="D6" s="98" t="s">
        <v>24</v>
      </c>
      <c r="E6" s="99" t="s">
        <v>25</v>
      </c>
      <c r="F6" s="99" t="s">
        <v>26</v>
      </c>
      <c r="G6" s="99" t="s">
        <v>27</v>
      </c>
      <c r="H6" s="99" t="s">
        <v>28</v>
      </c>
      <c r="I6" s="99" t="s">
        <v>29</v>
      </c>
      <c r="J6" s="99" t="s">
        <v>30</v>
      </c>
      <c r="K6" s="99" t="s">
        <v>31</v>
      </c>
      <c r="L6" s="100" t="s">
        <v>32</v>
      </c>
      <c r="M6" s="100" t="s">
        <v>33</v>
      </c>
      <c r="N6" s="100" t="s">
        <v>34</v>
      </c>
      <c r="O6" s="100" t="s">
        <v>35</v>
      </c>
      <c r="P6" s="100" t="s">
        <v>36</v>
      </c>
      <c r="Q6" s="100" t="s">
        <v>37</v>
      </c>
      <c r="R6" s="100" t="s">
        <v>38</v>
      </c>
      <c r="S6" s="100" t="s">
        <v>39</v>
      </c>
      <c r="T6" s="100" t="s">
        <v>40</v>
      </c>
      <c r="U6" s="100" t="s">
        <v>41</v>
      </c>
      <c r="V6" s="100" t="s">
        <v>42</v>
      </c>
      <c r="W6" s="100" t="s">
        <v>43</v>
      </c>
      <c r="X6" s="100" t="s">
        <v>44</v>
      </c>
      <c r="Y6" s="100" t="s">
        <v>45</v>
      </c>
      <c r="Z6" s="100" t="s">
        <v>46</v>
      </c>
      <c r="AA6" s="100"/>
      <c r="AB6" s="100"/>
      <c r="AC6" s="100"/>
      <c r="AD6" s="100"/>
      <c r="AE6" s="100"/>
      <c r="AF6" s="100"/>
      <c r="AG6" s="100"/>
      <c r="AH6" s="100"/>
      <c r="AI6" s="101" t="s">
        <v>47</v>
      </c>
      <c r="AJ6" s="26"/>
      <c r="AK6" s="19"/>
    </row>
    <row r="7" spans="1:38" ht="16.5" customHeight="1" x14ac:dyDescent="0.2">
      <c r="A7" s="19"/>
      <c r="B7" s="25"/>
      <c r="C7" s="38" t="s">
        <v>48</v>
      </c>
      <c r="D7" s="39" t="s">
        <v>49</v>
      </c>
      <c r="E7" s="40" t="s">
        <v>50</v>
      </c>
      <c r="F7" s="40" t="s">
        <v>4</v>
      </c>
      <c r="G7" s="40" t="s">
        <v>51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7" si="0">SUM(L7:AH7)</f>
        <v>14.5</v>
      </c>
      <c r="AJ7" s="26"/>
      <c r="AK7" s="19"/>
    </row>
    <row r="8" spans="1:38" ht="16.5" customHeight="1" x14ac:dyDescent="0.2">
      <c r="A8" s="19"/>
      <c r="B8" s="25"/>
      <c r="C8" s="38" t="s">
        <v>52</v>
      </c>
      <c r="D8" s="39" t="s">
        <v>53</v>
      </c>
      <c r="E8" s="40" t="s">
        <v>50</v>
      </c>
      <c r="F8" s="40" t="s">
        <v>3</v>
      </c>
      <c r="G8" s="40" t="s">
        <v>51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 x14ac:dyDescent="0.2">
      <c r="A9" s="19"/>
      <c r="B9" s="25"/>
      <c r="C9" s="47"/>
      <c r="D9" s="192" t="s">
        <v>54</v>
      </c>
      <c r="E9" s="40" t="s">
        <v>50</v>
      </c>
      <c r="F9" s="40" t="s">
        <v>8</v>
      </c>
      <c r="G9" s="40" t="s">
        <v>51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 x14ac:dyDescent="0.2">
      <c r="A10" s="19"/>
      <c r="B10" s="25"/>
      <c r="C10" s="47"/>
      <c r="D10" s="174"/>
      <c r="E10" s="40" t="s">
        <v>50</v>
      </c>
      <c r="F10" s="40" t="s">
        <v>7</v>
      </c>
      <c r="G10" s="102" t="s">
        <v>51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 x14ac:dyDescent="0.2">
      <c r="A11" s="19"/>
      <c r="B11" s="25"/>
      <c r="C11" s="50" t="s">
        <v>48</v>
      </c>
      <c r="D11" s="174"/>
      <c r="E11" s="40" t="s">
        <v>50</v>
      </c>
      <c r="F11" s="40" t="s">
        <v>20</v>
      </c>
      <c r="G11" s="102" t="s">
        <v>50</v>
      </c>
      <c r="H11" s="42">
        <v>45733</v>
      </c>
      <c r="I11" s="42">
        <v>45916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 x14ac:dyDescent="0.2">
      <c r="A12" s="19"/>
      <c r="B12" s="25"/>
      <c r="C12" s="50" t="s">
        <v>48</v>
      </c>
      <c r="D12" s="174"/>
      <c r="E12" s="40" t="s">
        <v>50</v>
      </c>
      <c r="F12" s="40" t="s">
        <v>14</v>
      </c>
      <c r="G12" s="102" t="s">
        <v>51</v>
      </c>
      <c r="H12" s="42">
        <v>45748</v>
      </c>
      <c r="I12" s="42">
        <v>45961</v>
      </c>
      <c r="J12" s="42"/>
      <c r="K12" s="42"/>
      <c r="L12" s="43"/>
      <c r="M12" s="43"/>
      <c r="N12" s="43">
        <v>1</v>
      </c>
      <c r="O12" s="43">
        <v>1</v>
      </c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43"/>
      <c r="V12" s="43"/>
      <c r="W12" s="43"/>
      <c r="X12" s="46"/>
      <c r="Y12" s="46"/>
      <c r="Z12" s="46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7</v>
      </c>
      <c r="AJ12" s="26"/>
      <c r="AK12" s="19"/>
    </row>
    <row r="13" spans="1:38" ht="16.5" customHeight="1" x14ac:dyDescent="0.2">
      <c r="A13" s="19"/>
      <c r="B13" s="25"/>
      <c r="C13" s="50" t="s">
        <v>48</v>
      </c>
      <c r="D13" s="174"/>
      <c r="E13" s="40" t="s">
        <v>50</v>
      </c>
      <c r="F13" s="40" t="s">
        <v>18</v>
      </c>
      <c r="G13" s="102" t="s">
        <v>51</v>
      </c>
      <c r="H13" s="42">
        <v>45748</v>
      </c>
      <c r="I13" s="42">
        <v>45961</v>
      </c>
      <c r="J13" s="42"/>
      <c r="K13" s="42"/>
      <c r="L13" s="43"/>
      <c r="M13" s="43"/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43">
        <v>1</v>
      </c>
      <c r="T13" s="43">
        <v>1</v>
      </c>
      <c r="U13" s="43"/>
      <c r="V13" s="43"/>
      <c r="W13" s="43"/>
      <c r="X13" s="46"/>
      <c r="Y13" s="46"/>
      <c r="Z13" s="46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7</v>
      </c>
      <c r="AJ13" s="26"/>
      <c r="AK13" s="19"/>
    </row>
    <row r="14" spans="1:38" ht="16.5" customHeight="1" x14ac:dyDescent="0.2">
      <c r="A14" s="19"/>
      <c r="B14" s="25"/>
      <c r="C14" s="50" t="s">
        <v>48</v>
      </c>
      <c r="D14" s="174"/>
      <c r="E14" s="51" t="s">
        <v>56</v>
      </c>
      <c r="F14" s="51" t="s">
        <v>11</v>
      </c>
      <c r="G14" s="51" t="s">
        <v>50</v>
      </c>
      <c r="H14" s="53">
        <v>45691</v>
      </c>
      <c r="I14" s="53">
        <v>45960</v>
      </c>
      <c r="J14" s="53"/>
      <c r="K14" s="53"/>
      <c r="L14" s="55">
        <v>1</v>
      </c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>
        <v>1</v>
      </c>
      <c r="T14" s="55">
        <v>1</v>
      </c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9</v>
      </c>
      <c r="AJ14" s="26"/>
      <c r="AK14" s="19"/>
    </row>
    <row r="15" spans="1:38" ht="16.5" customHeight="1" x14ac:dyDescent="0.2">
      <c r="A15" s="19"/>
      <c r="B15" s="25"/>
      <c r="C15" s="50" t="s">
        <v>48</v>
      </c>
      <c r="D15" s="174"/>
      <c r="E15" s="51" t="s">
        <v>56</v>
      </c>
      <c r="F15" s="51" t="s">
        <v>15</v>
      </c>
      <c r="G15" s="51" t="s">
        <v>50</v>
      </c>
      <c r="H15" s="53">
        <v>45720</v>
      </c>
      <c r="I15" s="53">
        <v>46022</v>
      </c>
      <c r="J15" s="53"/>
      <c r="K15" s="53"/>
      <c r="L15" s="55"/>
      <c r="M15" s="55">
        <v>1</v>
      </c>
      <c r="N15" s="55">
        <v>1</v>
      </c>
      <c r="O15" s="55">
        <v>1</v>
      </c>
      <c r="P15" s="55">
        <v>1</v>
      </c>
      <c r="Q15" s="55">
        <v>1</v>
      </c>
      <c r="R15" s="55">
        <v>1</v>
      </c>
      <c r="S15" s="55">
        <v>1</v>
      </c>
      <c r="T15" s="55">
        <v>1</v>
      </c>
      <c r="U15" s="55">
        <v>1</v>
      </c>
      <c r="V15" s="55">
        <v>1</v>
      </c>
      <c r="W15" s="55"/>
      <c r="X15" s="55"/>
      <c r="Y15" s="55"/>
      <c r="Z15" s="55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</row>
    <row r="16" spans="1:38" ht="16.5" customHeight="1" x14ac:dyDescent="0.2">
      <c r="A16" s="19"/>
      <c r="B16" s="25"/>
      <c r="C16" s="50" t="s">
        <v>48</v>
      </c>
      <c r="D16" s="174"/>
      <c r="E16" s="51" t="s">
        <v>56</v>
      </c>
      <c r="F16" s="51" t="s">
        <v>19</v>
      </c>
      <c r="G16" s="51" t="s">
        <v>50</v>
      </c>
      <c r="H16" s="53">
        <v>45720</v>
      </c>
      <c r="I16" s="53">
        <v>45900</v>
      </c>
      <c r="J16" s="53"/>
      <c r="K16" s="53"/>
      <c r="L16" s="55"/>
      <c r="M16" s="55">
        <v>1</v>
      </c>
      <c r="N16" s="55">
        <v>1</v>
      </c>
      <c r="O16" s="55">
        <v>1</v>
      </c>
      <c r="P16" s="55">
        <v>1</v>
      </c>
      <c r="Q16" s="55">
        <v>1</v>
      </c>
      <c r="R16" s="55">
        <v>1</v>
      </c>
      <c r="S16" s="55"/>
      <c r="T16" s="55"/>
      <c r="U16" s="55"/>
      <c r="V16" s="55"/>
      <c r="W16" s="55"/>
      <c r="X16" s="55"/>
      <c r="Y16" s="55"/>
      <c r="Z16" s="55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6</v>
      </c>
      <c r="AJ16" s="26"/>
      <c r="AK16" s="19"/>
      <c r="AL16" s="19"/>
    </row>
    <row r="17" spans="1:38" ht="16.5" customHeight="1" x14ac:dyDescent="0.2">
      <c r="A17" s="19"/>
      <c r="B17" s="25"/>
      <c r="C17" s="50" t="s">
        <v>48</v>
      </c>
      <c r="D17" s="174"/>
      <c r="E17" s="57" t="s">
        <v>58</v>
      </c>
      <c r="F17" s="57" t="s">
        <v>12</v>
      </c>
      <c r="G17" s="57" t="s">
        <v>58</v>
      </c>
      <c r="H17" s="59">
        <v>45691</v>
      </c>
      <c r="I17" s="59">
        <v>45991</v>
      </c>
      <c r="J17" s="59"/>
      <c r="K17" s="59"/>
      <c r="L17" s="44">
        <v>1</v>
      </c>
      <c r="M17" s="44">
        <v>1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T17" s="44">
        <v>1</v>
      </c>
      <c r="U17" s="44">
        <v>1</v>
      </c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10</v>
      </c>
      <c r="AJ17" s="26"/>
      <c r="AK17" s="19"/>
      <c r="AL17" s="19"/>
    </row>
    <row r="18" spans="1:38" ht="16.5" customHeight="1" x14ac:dyDescent="0.2">
      <c r="A18" s="19"/>
      <c r="B18" s="25"/>
      <c r="C18" s="50" t="s">
        <v>48</v>
      </c>
      <c r="D18" s="174"/>
      <c r="E18" s="57" t="s">
        <v>58</v>
      </c>
      <c r="F18" s="57" t="s">
        <v>16</v>
      </c>
      <c r="G18" s="103" t="s">
        <v>58</v>
      </c>
      <c r="H18" s="59">
        <v>45691</v>
      </c>
      <c r="I18" s="59">
        <v>45961</v>
      </c>
      <c r="J18" s="59"/>
      <c r="K18" s="59"/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T18" s="44">
        <v>1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19" si="1">SUM(L18:Z18)</f>
        <v>9</v>
      </c>
      <c r="AJ18" s="26"/>
      <c r="AK18" s="19"/>
      <c r="AL18" s="19"/>
    </row>
    <row r="19" spans="1:38" ht="16.5" hidden="1" customHeight="1" x14ac:dyDescent="0.2">
      <c r="A19" s="19"/>
      <c r="B19" s="25"/>
      <c r="C19" s="50" t="s">
        <v>48</v>
      </c>
      <c r="D19" s="174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1"/>
        <v>0</v>
      </c>
      <c r="AJ19" s="26"/>
      <c r="AK19" s="19"/>
      <c r="AL19" s="19"/>
    </row>
    <row r="20" spans="1:38" ht="16.5" hidden="1" customHeight="1" x14ac:dyDescent="0.2">
      <c r="A20" s="19"/>
      <c r="B20" s="25"/>
      <c r="C20" s="50" t="s">
        <v>48</v>
      </c>
      <c r="D20" s="174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ref="AI20:AI24" si="2">SUM(L20:AH20)</f>
        <v>0</v>
      </c>
      <c r="AJ20" s="26"/>
      <c r="AK20" s="19"/>
      <c r="AL20" s="19"/>
    </row>
    <row r="21" spans="1:38" ht="16.5" hidden="1" customHeight="1" x14ac:dyDescent="0.2">
      <c r="A21" s="19"/>
      <c r="B21" s="25"/>
      <c r="C21" s="50" t="s">
        <v>48</v>
      </c>
      <c r="D21" s="175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  <c r="AL21" s="19"/>
    </row>
    <row r="22" spans="1:38" ht="16.5" hidden="1" customHeight="1" x14ac:dyDescent="0.2">
      <c r="A22" s="19"/>
      <c r="B22" s="25"/>
      <c r="C22" s="50" t="s">
        <v>48</v>
      </c>
      <c r="D22" s="176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hidden="1" customHeight="1" x14ac:dyDescent="0.2">
      <c r="A23" s="19"/>
      <c r="B23" s="25"/>
      <c r="C23" s="50" t="s">
        <v>48</v>
      </c>
      <c r="D23" s="174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2"/>
        <v>0</v>
      </c>
      <c r="AJ23" s="26"/>
      <c r="AK23" s="19"/>
    </row>
    <row r="24" spans="1:38" ht="16.5" hidden="1" customHeight="1" x14ac:dyDescent="0.2">
      <c r="A24" s="19"/>
      <c r="B24" s="25"/>
      <c r="C24" s="50" t="s">
        <v>48</v>
      </c>
      <c r="D24" s="175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0</v>
      </c>
      <c r="AJ24" s="26"/>
      <c r="AK24" s="19"/>
    </row>
    <row r="25" spans="1:38" ht="16.5" customHeight="1" x14ac:dyDescent="0.2">
      <c r="A25" s="19"/>
      <c r="B25" s="25"/>
      <c r="C25" s="61" t="s">
        <v>48</v>
      </c>
      <c r="D25" s="104" t="s">
        <v>59</v>
      </c>
      <c r="E25" s="66"/>
      <c r="F25" s="66"/>
      <c r="G25" s="66"/>
      <c r="H25" s="66"/>
      <c r="I25" s="66" t="s">
        <v>60</v>
      </c>
      <c r="J25" s="67"/>
      <c r="K25" s="67"/>
      <c r="L25" s="68">
        <f t="shared" ref="L25:Z25" si="3">SUM(L7:L24)</f>
        <v>6.5</v>
      </c>
      <c r="M25" s="68">
        <f t="shared" si="3"/>
        <v>9.5</v>
      </c>
      <c r="N25" s="68">
        <f t="shared" si="3"/>
        <v>12</v>
      </c>
      <c r="O25" s="68">
        <f t="shared" si="3"/>
        <v>12</v>
      </c>
      <c r="P25" s="68">
        <f t="shared" si="3"/>
        <v>12</v>
      </c>
      <c r="Q25" s="68">
        <f t="shared" si="3"/>
        <v>12</v>
      </c>
      <c r="R25" s="68">
        <f t="shared" si="3"/>
        <v>12</v>
      </c>
      <c r="S25" s="68">
        <f t="shared" si="3"/>
        <v>10.5</v>
      </c>
      <c r="T25" s="68">
        <f t="shared" si="3"/>
        <v>10</v>
      </c>
      <c r="U25" s="68">
        <f t="shared" si="3"/>
        <v>6</v>
      </c>
      <c r="V25" s="68">
        <f t="shared" si="3"/>
        <v>3.5</v>
      </c>
      <c r="W25" s="68">
        <f t="shared" si="3"/>
        <v>2</v>
      </c>
      <c r="X25" s="68">
        <f t="shared" si="3"/>
        <v>2</v>
      </c>
      <c r="Y25" s="68">
        <f t="shared" si="3"/>
        <v>2</v>
      </c>
      <c r="Z25" s="68">
        <f t="shared" si="3"/>
        <v>1</v>
      </c>
      <c r="AA25" s="68"/>
      <c r="AB25" s="68"/>
      <c r="AC25" s="68"/>
      <c r="AD25" s="68"/>
      <c r="AE25" s="68"/>
      <c r="AF25" s="68"/>
      <c r="AG25" s="68"/>
      <c r="AH25" s="68"/>
      <c r="AI25" s="69">
        <f>SUM(AI7:AI24)</f>
        <v>113</v>
      </c>
      <c r="AJ25" s="26"/>
      <c r="AK25" s="19"/>
    </row>
    <row r="26" spans="1:38" ht="4.5" customHeight="1" x14ac:dyDescent="0.2">
      <c r="A26" s="70"/>
      <c r="B26" s="71"/>
      <c r="C26" s="72"/>
      <c r="D26" s="73"/>
      <c r="E26" s="74"/>
      <c r="F26" s="74"/>
      <c r="G26" s="74"/>
      <c r="H26" s="76"/>
      <c r="I26" s="76"/>
      <c r="J26" s="76"/>
      <c r="K26" s="76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8"/>
      <c r="AK26" s="70"/>
    </row>
    <row r="27" spans="1:38" ht="16.5" customHeight="1" x14ac:dyDescent="0.2">
      <c r="A27" s="19"/>
      <c r="B27" s="25"/>
      <c r="C27" s="38" t="s">
        <v>61</v>
      </c>
      <c r="D27" s="79" t="s">
        <v>53</v>
      </c>
      <c r="E27" s="51" t="s">
        <v>56</v>
      </c>
      <c r="F27" s="51" t="s">
        <v>5</v>
      </c>
      <c r="G27" s="105" t="s">
        <v>55</v>
      </c>
      <c r="H27" s="53">
        <v>45726</v>
      </c>
      <c r="I27" s="53">
        <v>46127</v>
      </c>
      <c r="J27" s="53"/>
      <c r="K27" s="53"/>
      <c r="L27" s="55"/>
      <c r="M27" s="55">
        <v>0.75</v>
      </c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1</v>
      </c>
      <c r="Y27" s="55">
        <v>1</v>
      </c>
      <c r="Z27" s="55">
        <v>0.5</v>
      </c>
      <c r="AA27" s="44"/>
      <c r="AB27" s="44"/>
      <c r="AC27" s="44"/>
      <c r="AD27" s="44"/>
      <c r="AE27" s="44"/>
      <c r="AF27" s="44"/>
      <c r="AG27" s="44"/>
      <c r="AH27" s="44"/>
      <c r="AI27" s="45">
        <f t="shared" ref="AI27:AI33" si="4">SUM(L27:AH27)</f>
        <v>13.25</v>
      </c>
      <c r="AJ27" s="26"/>
      <c r="AK27" s="19"/>
    </row>
    <row r="28" spans="1:38" ht="16.5" customHeight="1" x14ac:dyDescent="0.2">
      <c r="A28" s="19"/>
      <c r="B28" s="25"/>
      <c r="C28" s="47"/>
      <c r="D28" s="173" t="s">
        <v>62</v>
      </c>
      <c r="E28" s="51" t="s">
        <v>56</v>
      </c>
      <c r="F28" s="51" t="s">
        <v>9</v>
      </c>
      <c r="G28" s="105" t="s">
        <v>55</v>
      </c>
      <c r="H28" s="53">
        <v>45726</v>
      </c>
      <c r="I28" s="53">
        <v>46127</v>
      </c>
      <c r="J28" s="53"/>
      <c r="K28" s="53"/>
      <c r="L28" s="55"/>
      <c r="M28" s="55">
        <v>0.75</v>
      </c>
      <c r="N28" s="55">
        <v>1</v>
      </c>
      <c r="O28" s="55">
        <v>1</v>
      </c>
      <c r="P28" s="55">
        <v>1</v>
      </c>
      <c r="Q28" s="55">
        <v>1</v>
      </c>
      <c r="R28" s="55">
        <v>1</v>
      </c>
      <c r="S28" s="55">
        <v>1</v>
      </c>
      <c r="T28" s="55">
        <v>1</v>
      </c>
      <c r="U28" s="55">
        <v>1</v>
      </c>
      <c r="V28" s="55">
        <v>1</v>
      </c>
      <c r="W28" s="55">
        <v>1</v>
      </c>
      <c r="X28" s="55">
        <v>1</v>
      </c>
      <c r="Y28" s="55">
        <v>1</v>
      </c>
      <c r="Z28" s="55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 x14ac:dyDescent="0.2">
      <c r="A29" s="19"/>
      <c r="B29" s="25"/>
      <c r="C29" s="47"/>
      <c r="D29" s="174"/>
      <c r="E29" s="51" t="s">
        <v>56</v>
      </c>
      <c r="F29" s="51" t="s">
        <v>21</v>
      </c>
      <c r="G29" s="51" t="s">
        <v>50</v>
      </c>
      <c r="H29" s="53">
        <v>45748</v>
      </c>
      <c r="I29" s="53">
        <v>46066</v>
      </c>
      <c r="J29" s="53"/>
      <c r="K29" s="53"/>
      <c r="L29" s="55"/>
      <c r="M29" s="55"/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55">
        <v>1</v>
      </c>
      <c r="W29" s="55">
        <v>1</v>
      </c>
      <c r="X29" s="55">
        <v>0.5</v>
      </c>
      <c r="Y29" s="55"/>
      <c r="Z29" s="55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10.5</v>
      </c>
      <c r="AJ29" s="26"/>
      <c r="AK29" s="19"/>
    </row>
    <row r="30" spans="1:38" ht="16.5" customHeight="1" x14ac:dyDescent="0.2">
      <c r="A30" s="19"/>
      <c r="B30" s="25"/>
      <c r="C30" s="50" t="s">
        <v>61</v>
      </c>
      <c r="D30" s="174"/>
      <c r="E30" s="57" t="s">
        <v>58</v>
      </c>
      <c r="F30" s="57" t="s">
        <v>13</v>
      </c>
      <c r="G30" s="103" t="s">
        <v>55</v>
      </c>
      <c r="H30" s="59">
        <v>45726</v>
      </c>
      <c r="I30" s="59">
        <v>46127</v>
      </c>
      <c r="J30" s="59"/>
      <c r="K30" s="59"/>
      <c r="L30" s="44"/>
      <c r="M30" s="44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>
        <v>1</v>
      </c>
      <c r="W30" s="44">
        <v>1</v>
      </c>
      <c r="X30" s="44">
        <v>1</v>
      </c>
      <c r="Y30" s="44">
        <v>1</v>
      </c>
      <c r="Z30" s="44">
        <v>0.5</v>
      </c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13.25</v>
      </c>
      <c r="AJ30" s="26"/>
      <c r="AK30" s="19"/>
    </row>
    <row r="31" spans="1:38" ht="16.5" customHeight="1" x14ac:dyDescent="0.2">
      <c r="A31" s="19"/>
      <c r="B31" s="25"/>
      <c r="C31" s="50" t="s">
        <v>61</v>
      </c>
      <c r="D31" s="174"/>
      <c r="E31" s="57" t="s">
        <v>58</v>
      </c>
      <c r="F31" s="57" t="s">
        <v>6</v>
      </c>
      <c r="G31" s="103" t="s">
        <v>55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7</v>
      </c>
      <c r="AJ31" s="26"/>
      <c r="AK31" s="19"/>
    </row>
    <row r="32" spans="1:38" ht="16.5" customHeight="1" x14ac:dyDescent="0.2">
      <c r="A32" s="19"/>
      <c r="B32" s="25"/>
      <c r="C32" s="50" t="s">
        <v>61</v>
      </c>
      <c r="D32" s="174"/>
      <c r="E32" s="57" t="s">
        <v>58</v>
      </c>
      <c r="F32" s="57" t="s">
        <v>17</v>
      </c>
      <c r="G32" s="103" t="s">
        <v>55</v>
      </c>
      <c r="H32" s="59">
        <v>45726</v>
      </c>
      <c r="I32" s="59">
        <v>45989</v>
      </c>
      <c r="J32" s="59"/>
      <c r="K32" s="59"/>
      <c r="L32" s="44"/>
      <c r="M32" s="44">
        <v>0.75</v>
      </c>
      <c r="N32" s="44">
        <v>1</v>
      </c>
      <c r="O32" s="44">
        <v>1</v>
      </c>
      <c r="P32" s="44">
        <v>1</v>
      </c>
      <c r="Q32" s="44">
        <v>1</v>
      </c>
      <c r="R32" s="44">
        <v>1</v>
      </c>
      <c r="S32" s="44">
        <v>1</v>
      </c>
      <c r="T32" s="44">
        <v>1</v>
      </c>
      <c r="U32" s="44">
        <v>1</v>
      </c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f t="shared" si="4"/>
        <v>8.75</v>
      </c>
      <c r="AJ32" s="26"/>
      <c r="AK32" s="19"/>
    </row>
    <row r="33" spans="1:37" ht="16.5" customHeight="1" x14ac:dyDescent="0.2">
      <c r="A33" s="19"/>
      <c r="B33" s="25"/>
      <c r="C33" s="50" t="s">
        <v>61</v>
      </c>
      <c r="D33" s="175"/>
      <c r="E33" s="57" t="s">
        <v>58</v>
      </c>
      <c r="F33" s="57" t="s">
        <v>10</v>
      </c>
      <c r="G33" s="103" t="s">
        <v>55</v>
      </c>
      <c r="H33" s="59">
        <v>45748</v>
      </c>
      <c r="I33" s="59">
        <v>45961</v>
      </c>
      <c r="J33" s="59"/>
      <c r="K33" s="59"/>
      <c r="L33" s="44"/>
      <c r="M33" s="44"/>
      <c r="N33" s="44">
        <v>1</v>
      </c>
      <c r="O33" s="44">
        <v>1</v>
      </c>
      <c r="P33" s="44">
        <v>1</v>
      </c>
      <c r="Q33" s="44">
        <v>1</v>
      </c>
      <c r="R33" s="44">
        <v>1</v>
      </c>
      <c r="S33" s="44">
        <v>1</v>
      </c>
      <c r="T33" s="44">
        <v>1</v>
      </c>
      <c r="U33" s="81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f t="shared" si="4"/>
        <v>7</v>
      </c>
      <c r="AJ33" s="26"/>
      <c r="AK33" s="19"/>
    </row>
    <row r="34" spans="1:37" ht="16.5" hidden="1" customHeight="1" x14ac:dyDescent="0.2">
      <c r="A34" s="19"/>
      <c r="B34" s="25"/>
      <c r="C34" s="50" t="s">
        <v>61</v>
      </c>
      <c r="D34" s="176"/>
      <c r="E34" s="57" t="s">
        <v>50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 x14ac:dyDescent="0.2">
      <c r="A35" s="19"/>
      <c r="B35" s="25"/>
      <c r="C35" s="50" t="s">
        <v>61</v>
      </c>
      <c r="D35" s="174"/>
      <c r="E35" s="57" t="s">
        <v>56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 x14ac:dyDescent="0.2">
      <c r="A36" s="19"/>
      <c r="B36" s="25"/>
      <c r="C36" s="50" t="s">
        <v>61</v>
      </c>
      <c r="D36" s="175"/>
      <c r="E36" s="57" t="s">
        <v>58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 x14ac:dyDescent="0.2">
      <c r="A37" s="19"/>
      <c r="B37" s="25"/>
      <c r="C37" s="50" t="s">
        <v>61</v>
      </c>
      <c r="D37" s="176"/>
      <c r="E37" s="57" t="s">
        <v>50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 x14ac:dyDescent="0.2">
      <c r="A38" s="19"/>
      <c r="B38" s="25"/>
      <c r="C38" s="50" t="s">
        <v>61</v>
      </c>
      <c r="D38" s="174"/>
      <c r="E38" s="57" t="s">
        <v>56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 x14ac:dyDescent="0.2">
      <c r="A39" s="19"/>
      <c r="B39" s="25"/>
      <c r="C39" s="50" t="s">
        <v>61</v>
      </c>
      <c r="D39" s="175"/>
      <c r="E39" s="57" t="s">
        <v>58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 x14ac:dyDescent="0.2">
      <c r="A40" s="19"/>
      <c r="B40" s="25"/>
      <c r="C40" s="50" t="s">
        <v>61</v>
      </c>
      <c r="D40" s="177" t="s">
        <v>63</v>
      </c>
      <c r="E40" s="57" t="s">
        <v>50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 x14ac:dyDescent="0.2">
      <c r="A41" s="19"/>
      <c r="B41" s="25"/>
      <c r="C41" s="50" t="s">
        <v>61</v>
      </c>
      <c r="D41" s="174"/>
      <c r="E41" s="57" t="s">
        <v>56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 x14ac:dyDescent="0.2">
      <c r="A42" s="19"/>
      <c r="B42" s="25"/>
      <c r="C42" s="50" t="s">
        <v>61</v>
      </c>
      <c r="D42" s="175"/>
      <c r="E42" s="57" t="s">
        <v>58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customHeight="1" x14ac:dyDescent="0.2">
      <c r="A43" s="19"/>
      <c r="B43" s="25"/>
      <c r="C43" s="61" t="s">
        <v>61</v>
      </c>
      <c r="D43" s="104" t="s">
        <v>59</v>
      </c>
      <c r="E43" s="66"/>
      <c r="F43" s="66"/>
      <c r="G43" s="66" t="s">
        <v>76</v>
      </c>
      <c r="H43" s="66"/>
      <c r="I43" s="66" t="s">
        <v>60</v>
      </c>
      <c r="J43" s="67"/>
      <c r="K43" s="67"/>
      <c r="L43" s="68">
        <f t="shared" ref="L43:Z43" si="5">SUM(L27:L42)</f>
        <v>0</v>
      </c>
      <c r="M43" s="68">
        <f t="shared" si="5"/>
        <v>3</v>
      </c>
      <c r="N43" s="68">
        <f t="shared" si="5"/>
        <v>7</v>
      </c>
      <c r="O43" s="68">
        <f t="shared" si="5"/>
        <v>7</v>
      </c>
      <c r="P43" s="68">
        <f t="shared" si="5"/>
        <v>7</v>
      </c>
      <c r="Q43" s="68">
        <f t="shared" si="5"/>
        <v>7</v>
      </c>
      <c r="R43" s="68">
        <f t="shared" si="5"/>
        <v>7</v>
      </c>
      <c r="S43" s="68">
        <f t="shared" si="5"/>
        <v>7</v>
      </c>
      <c r="T43" s="68">
        <f t="shared" si="5"/>
        <v>7</v>
      </c>
      <c r="U43" s="68">
        <f t="shared" si="5"/>
        <v>5</v>
      </c>
      <c r="V43" s="68">
        <f t="shared" si="5"/>
        <v>4</v>
      </c>
      <c r="W43" s="68">
        <f t="shared" si="5"/>
        <v>4</v>
      </c>
      <c r="X43" s="68">
        <f t="shared" si="5"/>
        <v>3.5</v>
      </c>
      <c r="Y43" s="68">
        <f t="shared" si="5"/>
        <v>3</v>
      </c>
      <c r="Z43" s="68">
        <f t="shared" si="5"/>
        <v>1.5</v>
      </c>
      <c r="AA43" s="68"/>
      <c r="AB43" s="68"/>
      <c r="AC43" s="68"/>
      <c r="AD43" s="68"/>
      <c r="AE43" s="68"/>
      <c r="AF43" s="68"/>
      <c r="AG43" s="68"/>
      <c r="AH43" s="68"/>
      <c r="AI43" s="69">
        <f>SUM(AI27:AI42)</f>
        <v>73</v>
      </c>
      <c r="AJ43" s="26"/>
      <c r="AK43" s="19"/>
    </row>
    <row r="44" spans="1:37" ht="4.5" customHeight="1" x14ac:dyDescent="0.2">
      <c r="A44" s="70"/>
      <c r="B44" s="71"/>
      <c r="C44" s="72"/>
      <c r="D44" s="73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8"/>
      <c r="AK44" s="70"/>
    </row>
    <row r="45" spans="1:37" ht="16.5" customHeight="1" x14ac:dyDescent="0.2">
      <c r="A45" s="19"/>
      <c r="B45" s="25"/>
      <c r="C45" s="178" t="s">
        <v>59</v>
      </c>
      <c r="D45" s="179"/>
      <c r="E45" s="180"/>
      <c r="F45" s="84"/>
      <c r="G45" s="85"/>
      <c r="H45" s="85"/>
      <c r="I45" s="85" t="s">
        <v>64</v>
      </c>
      <c r="J45" s="86"/>
      <c r="K45" s="86"/>
      <c r="L45" s="68">
        <f t="shared" ref="L45:Z45" si="6">L25+L43</f>
        <v>6.5</v>
      </c>
      <c r="M45" s="68">
        <f t="shared" si="6"/>
        <v>12.5</v>
      </c>
      <c r="N45" s="68">
        <f t="shared" si="6"/>
        <v>19</v>
      </c>
      <c r="O45" s="68">
        <f t="shared" si="6"/>
        <v>19</v>
      </c>
      <c r="P45" s="68">
        <f t="shared" si="6"/>
        <v>19</v>
      </c>
      <c r="Q45" s="68">
        <f t="shared" si="6"/>
        <v>19</v>
      </c>
      <c r="R45" s="68">
        <f t="shared" si="6"/>
        <v>19</v>
      </c>
      <c r="S45" s="68">
        <f t="shared" si="6"/>
        <v>17.5</v>
      </c>
      <c r="T45" s="68">
        <f t="shared" si="6"/>
        <v>17</v>
      </c>
      <c r="U45" s="68">
        <f t="shared" si="6"/>
        <v>11</v>
      </c>
      <c r="V45" s="68">
        <f t="shared" si="6"/>
        <v>7.5</v>
      </c>
      <c r="W45" s="68">
        <f t="shared" si="6"/>
        <v>6</v>
      </c>
      <c r="X45" s="68">
        <f t="shared" si="6"/>
        <v>5.5</v>
      </c>
      <c r="Y45" s="68">
        <f t="shared" si="6"/>
        <v>5</v>
      </c>
      <c r="Z45" s="68">
        <f t="shared" si="6"/>
        <v>2.5</v>
      </c>
      <c r="AA45" s="68"/>
      <c r="AB45" s="68"/>
      <c r="AC45" s="68"/>
      <c r="AD45" s="68"/>
      <c r="AE45" s="68"/>
      <c r="AF45" s="68"/>
      <c r="AG45" s="68"/>
      <c r="AH45" s="68"/>
      <c r="AI45" s="69">
        <f>AI25+AI43</f>
        <v>186</v>
      </c>
      <c r="AJ45" s="26"/>
      <c r="AK45" s="19"/>
    </row>
    <row r="46" spans="1:37" ht="16.5" customHeight="1" x14ac:dyDescent="0.2">
      <c r="A46" s="19"/>
      <c r="B46" s="87"/>
      <c r="C46" s="88"/>
      <c r="D46" s="88"/>
      <c r="E46" s="89"/>
      <c r="F46" s="89"/>
      <c r="G46" s="89"/>
      <c r="H46" s="89"/>
      <c r="I46" s="88"/>
      <c r="J46" s="88"/>
      <c r="K46" s="90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91"/>
      <c r="AK46" s="19"/>
    </row>
    <row r="47" spans="1:37" ht="16.5" customHeight="1" x14ac:dyDescent="0.2">
      <c r="C47" s="106"/>
    </row>
    <row r="48" spans="1:37" ht="27.75" customHeight="1" x14ac:dyDescent="0.2">
      <c r="A48" s="19"/>
      <c r="B48" s="19"/>
      <c r="C48" s="19"/>
      <c r="D48" s="19"/>
      <c r="E48" s="2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  <c r="R48" s="20"/>
      <c r="S48" s="92" t="s">
        <v>65</v>
      </c>
      <c r="X48" s="92" t="s">
        <v>66</v>
      </c>
      <c r="AJ48" s="19"/>
      <c r="AK48" s="19"/>
    </row>
    <row r="49" spans="1:37" ht="16.5" customHeight="1" x14ac:dyDescent="0.2">
      <c r="A49" s="19"/>
      <c r="B49" s="1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0"/>
      <c r="R49" s="20"/>
      <c r="S49" s="93" t="s">
        <v>67</v>
      </c>
      <c r="T49" s="94" t="s">
        <v>68</v>
      </c>
      <c r="U49" s="93" t="s">
        <v>69</v>
      </c>
      <c r="V49" s="93" t="s">
        <v>59</v>
      </c>
      <c r="W49" s="107" t="s">
        <v>79</v>
      </c>
      <c r="X49" s="190" t="s">
        <v>70</v>
      </c>
      <c r="Y49" s="172"/>
      <c r="Z49" s="95">
        <v>172</v>
      </c>
      <c r="AA49" s="108"/>
      <c r="AB49" s="108"/>
      <c r="AC49" s="108"/>
      <c r="AD49" s="108"/>
      <c r="AE49" s="108"/>
      <c r="AF49" s="108"/>
      <c r="AG49" s="108"/>
      <c r="AH49" s="108"/>
      <c r="AJ49" s="19"/>
      <c r="AK49" s="19"/>
    </row>
    <row r="50" spans="1:37" ht="16.5" customHeight="1" x14ac:dyDescent="0.2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166" t="s">
        <v>52</v>
      </c>
      <c r="T50" s="96" t="s">
        <v>50</v>
      </c>
      <c r="U50" s="95">
        <f>SUMIF($E$7:$E$21,"고급",$AI$7:$AI$21)</f>
        <v>69</v>
      </c>
      <c r="V50" s="169">
        <f>SUM(U50:U52)</f>
        <v>113</v>
      </c>
      <c r="W50" s="107">
        <f>'250117 (제출본-최초)'!$U$46-U50</f>
        <v>-14</v>
      </c>
      <c r="X50" s="189" t="s">
        <v>80</v>
      </c>
      <c r="Y50" s="172"/>
      <c r="Z50" s="95">
        <f>204.5-Z49</f>
        <v>32.5</v>
      </c>
      <c r="AA50" s="109"/>
      <c r="AB50" s="109"/>
      <c r="AC50" s="109"/>
      <c r="AD50" s="109"/>
      <c r="AE50" s="109"/>
      <c r="AF50" s="109"/>
      <c r="AG50" s="109"/>
      <c r="AH50" s="109"/>
    </row>
    <row r="51" spans="1:37" ht="16.5" customHeight="1" x14ac:dyDescent="0.2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167"/>
      <c r="T51" s="96" t="s">
        <v>56</v>
      </c>
      <c r="U51" s="95">
        <f>SUMIF($E$7:$E$21,"중급",$AI$7:$AI$21)</f>
        <v>25</v>
      </c>
      <c r="V51" s="167"/>
      <c r="W51" s="107">
        <f>'250117 (제출본-최초)'!$U$47-U51</f>
        <v>0</v>
      </c>
      <c r="X51" s="189" t="s">
        <v>72</v>
      </c>
      <c r="Y51" s="172"/>
      <c r="Z51" s="95">
        <v>204.5</v>
      </c>
      <c r="AA51" s="109"/>
      <c r="AB51" s="109"/>
      <c r="AC51" s="109"/>
      <c r="AD51" s="109"/>
      <c r="AE51" s="109"/>
      <c r="AF51" s="109"/>
      <c r="AG51" s="109"/>
      <c r="AH51" s="109"/>
    </row>
    <row r="52" spans="1:37" ht="16.5" customHeight="1" x14ac:dyDescent="0.2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168"/>
      <c r="T52" s="96" t="s">
        <v>58</v>
      </c>
      <c r="U52" s="95">
        <f>SUMIF($E$7:$E$21,"초급",$AI$7:$AI$21)</f>
        <v>19</v>
      </c>
      <c r="V52" s="168"/>
      <c r="W52" s="107">
        <f>'250117 (제출본-최초)'!$U$48-U52</f>
        <v>0</v>
      </c>
      <c r="AA52" s="109"/>
      <c r="AB52" s="109"/>
      <c r="AC52" s="109"/>
      <c r="AD52" s="109"/>
      <c r="AE52" s="109"/>
      <c r="AF52" s="109"/>
      <c r="AG52" s="109"/>
      <c r="AH52" s="109"/>
    </row>
    <row r="53" spans="1:37" ht="16.5" customHeight="1" x14ac:dyDescent="0.2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166" t="s">
        <v>61</v>
      </c>
      <c r="T53" s="96" t="s">
        <v>50</v>
      </c>
      <c r="U53" s="95">
        <f>SUMIF($E$25:$E$33,"고급",$AI$25:$AI$33)</f>
        <v>0</v>
      </c>
      <c r="V53" s="169">
        <f>SUM(U53:U55)</f>
        <v>73</v>
      </c>
      <c r="W53" s="107">
        <f>'250117 (제출본-최초)'!$U$49-U53</f>
        <v>0</v>
      </c>
    </row>
    <row r="54" spans="1:37" ht="16.5" customHeight="1" x14ac:dyDescent="0.2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167"/>
      <c r="T54" s="96" t="s">
        <v>56</v>
      </c>
      <c r="U54" s="95">
        <f>SUMIF($E$25:$E$33,"중급",$AI$25:$AI$33)</f>
        <v>37</v>
      </c>
      <c r="V54" s="167"/>
      <c r="W54" s="107">
        <f>'250117 (제출본-최초)'!$U$50-U54</f>
        <v>0</v>
      </c>
    </row>
    <row r="55" spans="1:37" ht="16.5" customHeight="1" x14ac:dyDescent="0.2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168"/>
      <c r="T55" s="96" t="s">
        <v>58</v>
      </c>
      <c r="U55" s="95">
        <f>SUMIF($E$25:$E$33,"초급",$AI$25:$AI$33)</f>
        <v>36</v>
      </c>
      <c r="V55" s="168"/>
      <c r="W55" s="107">
        <f>'250117 (제출본-최초)'!$U$51-U55</f>
        <v>0</v>
      </c>
    </row>
    <row r="56" spans="1:37" ht="16.5" customHeight="1" x14ac:dyDescent="0.2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S56" s="170" t="s">
        <v>73</v>
      </c>
      <c r="T56" s="171"/>
      <c r="U56" s="172"/>
      <c r="V56" s="97">
        <f t="shared" ref="V56:W56" si="7">SUM(V50:V55)</f>
        <v>186</v>
      </c>
      <c r="W56" s="107">
        <f t="shared" si="7"/>
        <v>-14</v>
      </c>
    </row>
    <row r="57" spans="1:37" ht="16.5" customHeight="1" x14ac:dyDescent="0.2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S57" s="170" t="s">
        <v>81</v>
      </c>
      <c r="T57" s="171"/>
      <c r="U57" s="172"/>
      <c r="V57" s="97">
        <f>Z51-V56</f>
        <v>18.5</v>
      </c>
    </row>
    <row r="58" spans="1:37" ht="16.5" customHeight="1" x14ac:dyDescent="0.2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37" ht="16.5" customHeight="1" x14ac:dyDescent="0.2"/>
    <row r="60" spans="1:37" ht="16.5" customHeight="1" x14ac:dyDescent="0.2"/>
    <row r="61" spans="1:37" ht="16.5" customHeight="1" x14ac:dyDescent="0.2"/>
    <row r="62" spans="1:37" ht="16.5" customHeight="1" x14ac:dyDescent="0.2"/>
    <row r="63" spans="1:37" ht="16.5" customHeight="1" x14ac:dyDescent="0.2"/>
    <row r="64" spans="1:37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</sheetData>
  <mergeCells count="20">
    <mergeCell ref="D37:D39"/>
    <mergeCell ref="D40:D42"/>
    <mergeCell ref="C45:E45"/>
    <mergeCell ref="S50:S52"/>
    <mergeCell ref="S57:U57"/>
    <mergeCell ref="S56:U56"/>
    <mergeCell ref="C3:AI3"/>
    <mergeCell ref="C4:D4"/>
    <mergeCell ref="L5:M5"/>
    <mergeCell ref="N5:W5"/>
    <mergeCell ref="D9:D21"/>
    <mergeCell ref="D22:D24"/>
    <mergeCell ref="D28:D33"/>
    <mergeCell ref="X50:Y50"/>
    <mergeCell ref="X51:Y51"/>
    <mergeCell ref="S53:S55"/>
    <mergeCell ref="V53:V55"/>
    <mergeCell ref="X49:Y49"/>
    <mergeCell ref="V50:V52"/>
    <mergeCell ref="D34:D36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5E75-19DE-EE4F-9473-CD15F86F6F01}">
  <dimension ref="A1:AL999"/>
  <sheetViews>
    <sheetView showGridLines="0" zoomScale="150" zoomScaleNormal="150" workbookViewId="0">
      <selection activeCell="U53" sqref="U53"/>
    </sheetView>
  </sheetViews>
  <sheetFormatPr baseColWidth="10" defaultColWidth="14.5" defaultRowHeight="15" customHeight="1" x14ac:dyDescent="0.2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 thickBot="1" x14ac:dyDescent="0.25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 x14ac:dyDescent="0.2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3" thickBot="1" x14ac:dyDescent="0.25">
      <c r="A3" s="19"/>
      <c r="B3" s="25"/>
      <c r="C3" s="183" t="s">
        <v>22</v>
      </c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5"/>
      <c r="AJ3" s="26"/>
      <c r="AK3" s="19"/>
    </row>
    <row r="4" spans="1:38" ht="80.25" customHeight="1" x14ac:dyDescent="0.2">
      <c r="A4" s="19"/>
      <c r="B4" s="25"/>
      <c r="C4" s="191">
        <v>45758</v>
      </c>
      <c r="D4" s="15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 x14ac:dyDescent="0.2">
      <c r="A5" s="19"/>
      <c r="B5" s="25"/>
      <c r="C5" s="29" t="s">
        <v>74</v>
      </c>
      <c r="D5" s="29"/>
      <c r="E5" s="30"/>
      <c r="F5" s="30"/>
      <c r="G5" s="30"/>
      <c r="H5" s="30"/>
      <c r="I5" s="30"/>
      <c r="J5" s="30"/>
      <c r="K5" s="31"/>
      <c r="L5" s="187"/>
      <c r="M5" s="188"/>
      <c r="N5" s="187"/>
      <c r="O5" s="188"/>
      <c r="P5" s="188"/>
      <c r="Q5" s="188"/>
      <c r="R5" s="188"/>
      <c r="S5" s="188"/>
      <c r="T5" s="188"/>
      <c r="U5" s="188"/>
      <c r="V5" s="188"/>
      <c r="W5" s="18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 x14ac:dyDescent="0.2">
      <c r="A6" s="19"/>
      <c r="B6" s="25"/>
      <c r="C6" s="98" t="s">
        <v>23</v>
      </c>
      <c r="D6" s="98" t="s">
        <v>24</v>
      </c>
      <c r="E6" s="99" t="s">
        <v>25</v>
      </c>
      <c r="F6" s="99" t="s">
        <v>26</v>
      </c>
      <c r="G6" s="99" t="s">
        <v>27</v>
      </c>
      <c r="H6" s="99" t="s">
        <v>28</v>
      </c>
      <c r="I6" s="99" t="s">
        <v>29</v>
      </c>
      <c r="J6" s="99" t="s">
        <v>30</v>
      </c>
      <c r="K6" s="99" t="s">
        <v>31</v>
      </c>
      <c r="L6" s="100" t="s">
        <v>32</v>
      </c>
      <c r="M6" s="100" t="s">
        <v>33</v>
      </c>
      <c r="N6" s="100" t="s">
        <v>34</v>
      </c>
      <c r="O6" s="100" t="s">
        <v>35</v>
      </c>
      <c r="P6" s="100" t="s">
        <v>36</v>
      </c>
      <c r="Q6" s="100" t="s">
        <v>37</v>
      </c>
      <c r="R6" s="100" t="s">
        <v>38</v>
      </c>
      <c r="S6" s="100" t="s">
        <v>39</v>
      </c>
      <c r="T6" s="100" t="s">
        <v>40</v>
      </c>
      <c r="U6" s="100" t="s">
        <v>41</v>
      </c>
      <c r="V6" s="100" t="s">
        <v>42</v>
      </c>
      <c r="W6" s="100" t="s">
        <v>43</v>
      </c>
      <c r="X6" s="100" t="s">
        <v>44</v>
      </c>
      <c r="Y6" s="100" t="s">
        <v>45</v>
      </c>
      <c r="Z6" s="100" t="s">
        <v>46</v>
      </c>
      <c r="AA6" s="100"/>
      <c r="AB6" s="100"/>
      <c r="AC6" s="100"/>
      <c r="AD6" s="100"/>
      <c r="AE6" s="100"/>
      <c r="AF6" s="100"/>
      <c r="AG6" s="100"/>
      <c r="AH6" s="100"/>
      <c r="AI6" s="101" t="s">
        <v>47</v>
      </c>
      <c r="AJ6" s="26"/>
      <c r="AK6" s="19"/>
    </row>
    <row r="7" spans="1:38" ht="16.5" customHeight="1" x14ac:dyDescent="0.2">
      <c r="A7" s="19"/>
      <c r="B7" s="25"/>
      <c r="C7" s="38" t="s">
        <v>48</v>
      </c>
      <c r="D7" s="39" t="s">
        <v>49</v>
      </c>
      <c r="E7" s="40" t="s">
        <v>50</v>
      </c>
      <c r="F7" s="40" t="s">
        <v>4</v>
      </c>
      <c r="G7" s="40" t="s">
        <v>51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7" si="0">SUM(L7:AH7)</f>
        <v>14.5</v>
      </c>
      <c r="AJ7" s="26"/>
      <c r="AK7" s="19"/>
    </row>
    <row r="8" spans="1:38" ht="16.5" customHeight="1" x14ac:dyDescent="0.2">
      <c r="A8" s="19"/>
      <c r="B8" s="25"/>
      <c r="C8" s="38" t="s">
        <v>52</v>
      </c>
      <c r="D8" s="39" t="s">
        <v>53</v>
      </c>
      <c r="E8" s="40" t="s">
        <v>50</v>
      </c>
      <c r="F8" s="40" t="s">
        <v>3</v>
      </c>
      <c r="G8" s="40" t="s">
        <v>51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 x14ac:dyDescent="0.2">
      <c r="A9" s="19"/>
      <c r="B9" s="25"/>
      <c r="C9" s="47"/>
      <c r="D9" s="192" t="s">
        <v>54</v>
      </c>
      <c r="E9" s="40" t="s">
        <v>50</v>
      </c>
      <c r="F9" s="40" t="s">
        <v>8</v>
      </c>
      <c r="G9" s="40" t="s">
        <v>51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 x14ac:dyDescent="0.2">
      <c r="A10" s="19"/>
      <c r="B10" s="25"/>
      <c r="C10" s="47"/>
      <c r="D10" s="174"/>
      <c r="E10" s="40" t="s">
        <v>50</v>
      </c>
      <c r="F10" s="40" t="s">
        <v>7</v>
      </c>
      <c r="G10" s="102" t="s">
        <v>51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 x14ac:dyDescent="0.2">
      <c r="A11" s="19"/>
      <c r="B11" s="25"/>
      <c r="C11" s="50" t="s">
        <v>48</v>
      </c>
      <c r="D11" s="174"/>
      <c r="E11" s="40" t="s">
        <v>50</v>
      </c>
      <c r="F11" s="40" t="s">
        <v>20</v>
      </c>
      <c r="G11" s="102" t="s">
        <v>50</v>
      </c>
      <c r="H11" s="42">
        <v>45733</v>
      </c>
      <c r="I11" s="42">
        <v>45916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 x14ac:dyDescent="0.2">
      <c r="A12" s="19"/>
      <c r="B12" s="25"/>
      <c r="C12" s="50" t="s">
        <v>48</v>
      </c>
      <c r="D12" s="174"/>
      <c r="E12" s="40" t="s">
        <v>50</v>
      </c>
      <c r="F12" s="40" t="s">
        <v>14</v>
      </c>
      <c r="G12" s="102" t="s">
        <v>51</v>
      </c>
      <c r="H12" s="42">
        <v>45748</v>
      </c>
      <c r="I12" s="42">
        <v>45961</v>
      </c>
      <c r="J12" s="42"/>
      <c r="K12" s="42"/>
      <c r="L12" s="43"/>
      <c r="M12" s="43"/>
      <c r="N12" s="43">
        <v>1</v>
      </c>
      <c r="O12" s="43">
        <v>1</v>
      </c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43"/>
      <c r="V12" s="43"/>
      <c r="W12" s="43"/>
      <c r="X12" s="46"/>
      <c r="Y12" s="46"/>
      <c r="Z12" s="46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7</v>
      </c>
      <c r="AJ12" s="26"/>
      <c r="AK12" s="19"/>
    </row>
    <row r="13" spans="1:38" ht="16.5" customHeight="1" x14ac:dyDescent="0.2">
      <c r="A13" s="19"/>
      <c r="B13" s="25"/>
      <c r="C13" s="50" t="s">
        <v>48</v>
      </c>
      <c r="D13" s="174"/>
      <c r="E13" s="40" t="s">
        <v>50</v>
      </c>
      <c r="F13" s="40" t="s">
        <v>18</v>
      </c>
      <c r="G13" s="102" t="s">
        <v>51</v>
      </c>
      <c r="H13" s="42">
        <v>45748</v>
      </c>
      <c r="I13" s="42">
        <v>45961</v>
      </c>
      <c r="J13" s="42"/>
      <c r="K13" s="42"/>
      <c r="L13" s="43"/>
      <c r="M13" s="43"/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43">
        <v>1</v>
      </c>
      <c r="T13" s="43">
        <v>1</v>
      </c>
      <c r="U13" s="43"/>
      <c r="V13" s="43"/>
      <c r="W13" s="43"/>
      <c r="X13" s="46"/>
      <c r="Y13" s="46"/>
      <c r="Z13" s="46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7</v>
      </c>
      <c r="AJ13" s="26"/>
      <c r="AK13" s="19"/>
    </row>
    <row r="14" spans="1:38" ht="16.5" customHeight="1" x14ac:dyDescent="0.2">
      <c r="A14" s="19"/>
      <c r="B14" s="25"/>
      <c r="C14" s="50" t="s">
        <v>48</v>
      </c>
      <c r="D14" s="174"/>
      <c r="E14" s="51" t="s">
        <v>56</v>
      </c>
      <c r="F14" s="51" t="s">
        <v>11</v>
      </c>
      <c r="G14" s="51" t="s">
        <v>50</v>
      </c>
      <c r="H14" s="53">
        <v>45691</v>
      </c>
      <c r="I14" s="53">
        <v>45960</v>
      </c>
      <c r="J14" s="53"/>
      <c r="K14" s="53"/>
      <c r="L14" s="55">
        <v>1</v>
      </c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>
        <v>1</v>
      </c>
      <c r="T14" s="55">
        <v>1</v>
      </c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9</v>
      </c>
      <c r="AJ14" s="26"/>
      <c r="AK14" s="19"/>
    </row>
    <row r="15" spans="1:38" ht="16.5" customHeight="1" x14ac:dyDescent="0.2">
      <c r="A15" s="19"/>
      <c r="B15" s="25"/>
      <c r="C15" s="50" t="s">
        <v>48</v>
      </c>
      <c r="D15" s="174"/>
      <c r="E15" s="51" t="s">
        <v>56</v>
      </c>
      <c r="F15" s="51" t="s">
        <v>15</v>
      </c>
      <c r="G15" s="51" t="s">
        <v>50</v>
      </c>
      <c r="H15" s="53">
        <v>45720</v>
      </c>
      <c r="I15" s="53">
        <v>46022</v>
      </c>
      <c r="J15" s="53"/>
      <c r="K15" s="53"/>
      <c r="L15" s="55"/>
      <c r="M15" s="55">
        <v>1</v>
      </c>
      <c r="N15" s="55">
        <v>1</v>
      </c>
      <c r="O15" s="55">
        <v>1</v>
      </c>
      <c r="P15" s="55">
        <v>1</v>
      </c>
      <c r="Q15" s="55">
        <v>1</v>
      </c>
      <c r="R15" s="55">
        <v>1</v>
      </c>
      <c r="S15" s="55">
        <v>1</v>
      </c>
      <c r="T15" s="55">
        <v>1</v>
      </c>
      <c r="U15" s="55">
        <v>1</v>
      </c>
      <c r="V15" s="55">
        <v>1</v>
      </c>
      <c r="W15" s="55"/>
      <c r="X15" s="55"/>
      <c r="Y15" s="55"/>
      <c r="Z15" s="55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</row>
    <row r="16" spans="1:38" ht="16.5" customHeight="1" x14ac:dyDescent="0.2">
      <c r="A16" s="19"/>
      <c r="B16" s="25"/>
      <c r="C16" s="50" t="s">
        <v>48</v>
      </c>
      <c r="D16" s="174"/>
      <c r="E16" s="51" t="s">
        <v>56</v>
      </c>
      <c r="F16" s="51" t="s">
        <v>19</v>
      </c>
      <c r="G16" s="51" t="s">
        <v>50</v>
      </c>
      <c r="H16" s="53">
        <v>45720</v>
      </c>
      <c r="I16" s="53">
        <v>45900</v>
      </c>
      <c r="J16" s="53"/>
      <c r="K16" s="53"/>
      <c r="L16" s="55"/>
      <c r="M16" s="55">
        <v>1</v>
      </c>
      <c r="N16" s="55">
        <v>1</v>
      </c>
      <c r="O16" s="55">
        <v>1</v>
      </c>
      <c r="P16" s="55">
        <v>1</v>
      </c>
      <c r="Q16" s="55">
        <v>1</v>
      </c>
      <c r="R16" s="55">
        <v>1</v>
      </c>
      <c r="S16" s="55">
        <v>1</v>
      </c>
      <c r="T16" s="55">
        <v>1</v>
      </c>
      <c r="U16" s="55">
        <v>1</v>
      </c>
      <c r="V16" s="55">
        <v>1</v>
      </c>
      <c r="W16" s="55"/>
      <c r="X16" s="55"/>
      <c r="Y16" s="55"/>
      <c r="Z16" s="55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10</v>
      </c>
      <c r="AJ16" s="26"/>
      <c r="AK16" s="19"/>
      <c r="AL16" s="19"/>
    </row>
    <row r="17" spans="1:38" ht="16.5" customHeight="1" x14ac:dyDescent="0.2">
      <c r="A17" s="19"/>
      <c r="B17" s="25"/>
      <c r="C17" s="50" t="s">
        <v>48</v>
      </c>
      <c r="D17" s="174"/>
      <c r="E17" s="57" t="s">
        <v>58</v>
      </c>
      <c r="F17" s="57" t="s">
        <v>12</v>
      </c>
      <c r="G17" s="57" t="s">
        <v>58</v>
      </c>
      <c r="H17" s="59">
        <v>45691</v>
      </c>
      <c r="I17" s="59">
        <v>45991</v>
      </c>
      <c r="J17" s="59"/>
      <c r="K17" s="59"/>
      <c r="L17" s="44">
        <v>1</v>
      </c>
      <c r="M17" s="44">
        <v>1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T17" s="44">
        <v>1</v>
      </c>
      <c r="U17" s="44">
        <v>1</v>
      </c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10</v>
      </c>
      <c r="AJ17" s="26"/>
      <c r="AK17" s="19"/>
      <c r="AL17" s="19"/>
    </row>
    <row r="18" spans="1:38" ht="16.5" customHeight="1" x14ac:dyDescent="0.2">
      <c r="A18" s="19"/>
      <c r="B18" s="25"/>
      <c r="C18" s="50" t="s">
        <v>48</v>
      </c>
      <c r="D18" s="174"/>
      <c r="E18" s="57" t="s">
        <v>58</v>
      </c>
      <c r="F18" s="57" t="s">
        <v>16</v>
      </c>
      <c r="G18" s="103" t="s">
        <v>58</v>
      </c>
      <c r="H18" s="59">
        <v>45691</v>
      </c>
      <c r="I18" s="59">
        <v>45961</v>
      </c>
      <c r="J18" s="59"/>
      <c r="K18" s="59"/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T18" s="44">
        <v>1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19" si="1">SUM(L18:Z18)</f>
        <v>9</v>
      </c>
      <c r="AJ18" s="26"/>
      <c r="AK18" s="19"/>
      <c r="AL18" s="19"/>
    </row>
    <row r="19" spans="1:38" ht="16.5" hidden="1" customHeight="1" x14ac:dyDescent="0.2">
      <c r="A19" s="19"/>
      <c r="B19" s="25"/>
      <c r="C19" s="50" t="s">
        <v>48</v>
      </c>
      <c r="D19" s="174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1"/>
        <v>0</v>
      </c>
      <c r="AJ19" s="26"/>
      <c r="AK19" s="19"/>
      <c r="AL19" s="19"/>
    </row>
    <row r="20" spans="1:38" ht="16.5" hidden="1" customHeight="1" x14ac:dyDescent="0.2">
      <c r="A20" s="19"/>
      <c r="B20" s="25"/>
      <c r="C20" s="50" t="s">
        <v>48</v>
      </c>
      <c r="D20" s="174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ref="AI20:AI24" si="2">SUM(L20:AH20)</f>
        <v>0</v>
      </c>
      <c r="AJ20" s="26"/>
      <c r="AK20" s="19"/>
      <c r="AL20" s="19"/>
    </row>
    <row r="21" spans="1:38" ht="16.5" hidden="1" customHeight="1" x14ac:dyDescent="0.2">
      <c r="A21" s="19"/>
      <c r="B21" s="25"/>
      <c r="C21" s="50" t="s">
        <v>48</v>
      </c>
      <c r="D21" s="175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  <c r="AL21" s="19"/>
    </row>
    <row r="22" spans="1:38" ht="16.5" hidden="1" customHeight="1" x14ac:dyDescent="0.2">
      <c r="A22" s="19"/>
      <c r="B22" s="25"/>
      <c r="C22" s="50" t="s">
        <v>48</v>
      </c>
      <c r="D22" s="176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hidden="1" customHeight="1" x14ac:dyDescent="0.2">
      <c r="A23" s="19"/>
      <c r="B23" s="25"/>
      <c r="C23" s="50" t="s">
        <v>48</v>
      </c>
      <c r="D23" s="174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2"/>
        <v>0</v>
      </c>
      <c r="AJ23" s="26"/>
      <c r="AK23" s="19"/>
    </row>
    <row r="24" spans="1:38" ht="16.5" hidden="1" customHeight="1" x14ac:dyDescent="0.2">
      <c r="A24" s="19"/>
      <c r="B24" s="25"/>
      <c r="C24" s="50" t="s">
        <v>48</v>
      </c>
      <c r="D24" s="175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0</v>
      </c>
      <c r="AJ24" s="26"/>
      <c r="AK24" s="19"/>
    </row>
    <row r="25" spans="1:38" ht="16.5" customHeight="1" x14ac:dyDescent="0.2">
      <c r="A25" s="19"/>
      <c r="B25" s="25"/>
      <c r="C25" s="61" t="s">
        <v>48</v>
      </c>
      <c r="D25" s="104" t="s">
        <v>59</v>
      </c>
      <c r="E25" s="66"/>
      <c r="F25" s="66"/>
      <c r="G25" s="66"/>
      <c r="H25" s="66"/>
      <c r="I25" s="66" t="s">
        <v>60</v>
      </c>
      <c r="J25" s="67"/>
      <c r="K25" s="67"/>
      <c r="L25" s="68">
        <f t="shared" ref="L25:Z25" si="3">SUM(L7:L24)</f>
        <v>6.5</v>
      </c>
      <c r="M25" s="68">
        <f t="shared" si="3"/>
        <v>9.5</v>
      </c>
      <c r="N25" s="68">
        <f t="shared" si="3"/>
        <v>12</v>
      </c>
      <c r="O25" s="68">
        <f t="shared" si="3"/>
        <v>12</v>
      </c>
      <c r="P25" s="68">
        <f t="shared" si="3"/>
        <v>12</v>
      </c>
      <c r="Q25" s="68">
        <f t="shared" si="3"/>
        <v>12</v>
      </c>
      <c r="R25" s="68">
        <f t="shared" si="3"/>
        <v>12</v>
      </c>
      <c r="S25" s="68">
        <f t="shared" si="3"/>
        <v>11.5</v>
      </c>
      <c r="T25" s="68">
        <f t="shared" si="3"/>
        <v>11</v>
      </c>
      <c r="U25" s="68">
        <f t="shared" si="3"/>
        <v>7</v>
      </c>
      <c r="V25" s="68">
        <f t="shared" si="3"/>
        <v>4.5</v>
      </c>
      <c r="W25" s="68">
        <f t="shared" si="3"/>
        <v>2</v>
      </c>
      <c r="X25" s="68">
        <f t="shared" si="3"/>
        <v>2</v>
      </c>
      <c r="Y25" s="68">
        <f t="shared" si="3"/>
        <v>2</v>
      </c>
      <c r="Z25" s="68">
        <f t="shared" si="3"/>
        <v>1</v>
      </c>
      <c r="AA25" s="68"/>
      <c r="AB25" s="68"/>
      <c r="AC25" s="68"/>
      <c r="AD25" s="68"/>
      <c r="AE25" s="68"/>
      <c r="AF25" s="68"/>
      <c r="AG25" s="68"/>
      <c r="AH25" s="68"/>
      <c r="AI25" s="69">
        <f>SUM(AI7:AI24)</f>
        <v>117</v>
      </c>
      <c r="AJ25" s="26"/>
      <c r="AK25" s="19"/>
    </row>
    <row r="26" spans="1:38" ht="4.5" customHeight="1" x14ac:dyDescent="0.2">
      <c r="A26" s="70"/>
      <c r="B26" s="71"/>
      <c r="C26" s="72"/>
      <c r="D26" s="73"/>
      <c r="E26" s="74"/>
      <c r="F26" s="74"/>
      <c r="G26" s="74"/>
      <c r="H26" s="76"/>
      <c r="I26" s="76"/>
      <c r="J26" s="76"/>
      <c r="K26" s="76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8"/>
      <c r="AK26" s="70"/>
    </row>
    <row r="27" spans="1:38" ht="16.5" customHeight="1" x14ac:dyDescent="0.2">
      <c r="A27" s="19"/>
      <c r="B27" s="25"/>
      <c r="C27" s="38" t="s">
        <v>61</v>
      </c>
      <c r="D27" s="79" t="s">
        <v>53</v>
      </c>
      <c r="E27" s="51" t="s">
        <v>56</v>
      </c>
      <c r="F27" s="51" t="s">
        <v>5</v>
      </c>
      <c r="G27" s="105" t="s">
        <v>55</v>
      </c>
      <c r="H27" s="53">
        <v>45726</v>
      </c>
      <c r="I27" s="53">
        <v>46127</v>
      </c>
      <c r="J27" s="53"/>
      <c r="K27" s="53"/>
      <c r="L27" s="55"/>
      <c r="M27" s="55">
        <v>0.75</v>
      </c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1</v>
      </c>
      <c r="Y27" s="55">
        <v>1</v>
      </c>
      <c r="Z27" s="55">
        <v>0.5</v>
      </c>
      <c r="AA27" s="44"/>
      <c r="AB27" s="44"/>
      <c r="AC27" s="44"/>
      <c r="AD27" s="44"/>
      <c r="AE27" s="44"/>
      <c r="AF27" s="44"/>
      <c r="AG27" s="44"/>
      <c r="AH27" s="44"/>
      <c r="AI27" s="45">
        <f t="shared" ref="AI27:AI33" si="4">SUM(L27:AH27)</f>
        <v>13.25</v>
      </c>
      <c r="AJ27" s="26"/>
      <c r="AK27" s="19"/>
    </row>
    <row r="28" spans="1:38" ht="16.5" customHeight="1" x14ac:dyDescent="0.2">
      <c r="A28" s="19"/>
      <c r="B28" s="25"/>
      <c r="C28" s="47"/>
      <c r="D28" s="173" t="s">
        <v>62</v>
      </c>
      <c r="E28" s="51" t="s">
        <v>56</v>
      </c>
      <c r="F28" s="51" t="s">
        <v>9</v>
      </c>
      <c r="G28" s="105" t="s">
        <v>55</v>
      </c>
      <c r="H28" s="53">
        <v>45726</v>
      </c>
      <c r="I28" s="53">
        <v>46127</v>
      </c>
      <c r="J28" s="53"/>
      <c r="K28" s="53"/>
      <c r="L28" s="55"/>
      <c r="M28" s="55">
        <v>0.75</v>
      </c>
      <c r="N28" s="55">
        <v>1</v>
      </c>
      <c r="O28" s="55">
        <v>1</v>
      </c>
      <c r="P28" s="55">
        <v>1</v>
      </c>
      <c r="Q28" s="55">
        <v>1</v>
      </c>
      <c r="R28" s="55">
        <v>1</v>
      </c>
      <c r="S28" s="55">
        <v>1</v>
      </c>
      <c r="T28" s="55">
        <v>1</v>
      </c>
      <c r="U28" s="55">
        <v>1</v>
      </c>
      <c r="V28" s="55">
        <v>1</v>
      </c>
      <c r="W28" s="55">
        <v>1</v>
      </c>
      <c r="X28" s="55">
        <v>1</v>
      </c>
      <c r="Y28" s="55">
        <v>1</v>
      </c>
      <c r="Z28" s="55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 x14ac:dyDescent="0.2">
      <c r="A29" s="19"/>
      <c r="B29" s="25"/>
      <c r="C29" s="47"/>
      <c r="D29" s="174"/>
      <c r="E29" s="51" t="s">
        <v>56</v>
      </c>
      <c r="F29" s="51" t="s">
        <v>21</v>
      </c>
      <c r="G29" s="51" t="s">
        <v>50</v>
      </c>
      <c r="H29" s="53">
        <v>45748</v>
      </c>
      <c r="I29" s="53">
        <v>46066</v>
      </c>
      <c r="J29" s="53"/>
      <c r="K29" s="53"/>
      <c r="L29" s="55"/>
      <c r="M29" s="55"/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55">
        <v>1</v>
      </c>
      <c r="W29" s="55">
        <v>1</v>
      </c>
      <c r="X29" s="55">
        <v>0.5</v>
      </c>
      <c r="Y29" s="55"/>
      <c r="Z29" s="55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10.5</v>
      </c>
      <c r="AJ29" s="26"/>
      <c r="AK29" s="19"/>
    </row>
    <row r="30" spans="1:38" ht="16.5" customHeight="1" x14ac:dyDescent="0.2">
      <c r="A30" s="19"/>
      <c r="B30" s="25"/>
      <c r="C30" s="50" t="s">
        <v>61</v>
      </c>
      <c r="D30" s="174"/>
      <c r="E30" s="57" t="s">
        <v>58</v>
      </c>
      <c r="F30" s="57" t="s">
        <v>13</v>
      </c>
      <c r="G30" s="103" t="s">
        <v>55</v>
      </c>
      <c r="H30" s="59">
        <v>45726</v>
      </c>
      <c r="I30" s="59">
        <v>46127</v>
      </c>
      <c r="J30" s="59"/>
      <c r="K30" s="59"/>
      <c r="L30" s="44"/>
      <c r="M30" s="44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>
        <v>1</v>
      </c>
      <c r="W30" s="44">
        <v>1</v>
      </c>
      <c r="X30" s="44">
        <v>1</v>
      </c>
      <c r="Y30" s="44">
        <v>1</v>
      </c>
      <c r="Z30" s="44">
        <v>0.5</v>
      </c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13.25</v>
      </c>
      <c r="AJ30" s="26"/>
      <c r="AK30" s="19"/>
    </row>
    <row r="31" spans="1:38" ht="16.5" customHeight="1" x14ac:dyDescent="0.2">
      <c r="A31" s="19"/>
      <c r="B31" s="25"/>
      <c r="C31" s="50" t="s">
        <v>61</v>
      </c>
      <c r="D31" s="174"/>
      <c r="E31" s="57" t="s">
        <v>58</v>
      </c>
      <c r="F31" s="57" t="s">
        <v>6</v>
      </c>
      <c r="G31" s="103" t="s">
        <v>55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7</v>
      </c>
      <c r="AJ31" s="26"/>
      <c r="AK31" s="19"/>
    </row>
    <row r="32" spans="1:38" ht="16.5" customHeight="1" x14ac:dyDescent="0.2">
      <c r="A32" s="19"/>
      <c r="B32" s="25"/>
      <c r="C32" s="50" t="s">
        <v>61</v>
      </c>
      <c r="D32" s="174"/>
      <c r="E32" s="57" t="s">
        <v>58</v>
      </c>
      <c r="F32" s="57" t="s">
        <v>17</v>
      </c>
      <c r="G32" s="103" t="s">
        <v>55</v>
      </c>
      <c r="H32" s="59">
        <v>45726</v>
      </c>
      <c r="I32" s="59">
        <v>45989</v>
      </c>
      <c r="J32" s="59"/>
      <c r="K32" s="59"/>
      <c r="L32" s="44"/>
      <c r="M32" s="44">
        <v>0.75</v>
      </c>
      <c r="N32" s="44">
        <v>1</v>
      </c>
      <c r="O32" s="44">
        <v>1</v>
      </c>
      <c r="P32" s="44">
        <v>1</v>
      </c>
      <c r="Q32" s="44">
        <v>1</v>
      </c>
      <c r="R32" s="44">
        <v>1</v>
      </c>
      <c r="S32" s="44">
        <v>1</v>
      </c>
      <c r="T32" s="44">
        <v>1</v>
      </c>
      <c r="U32" s="44">
        <v>1</v>
      </c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f t="shared" si="4"/>
        <v>8.75</v>
      </c>
      <c r="AJ32" s="26"/>
      <c r="AK32" s="19"/>
    </row>
    <row r="33" spans="1:37" ht="16.5" customHeight="1" x14ac:dyDescent="0.2">
      <c r="A33" s="19"/>
      <c r="B33" s="25"/>
      <c r="C33" s="50" t="s">
        <v>61</v>
      </c>
      <c r="D33" s="175"/>
      <c r="E33" s="57" t="s">
        <v>58</v>
      </c>
      <c r="F33" s="57" t="s">
        <v>10</v>
      </c>
      <c r="G33" s="103" t="s">
        <v>55</v>
      </c>
      <c r="H33" s="59">
        <v>45748</v>
      </c>
      <c r="I33" s="59">
        <v>45961</v>
      </c>
      <c r="J33" s="59"/>
      <c r="K33" s="59"/>
      <c r="L33" s="44"/>
      <c r="M33" s="44"/>
      <c r="N33" s="44">
        <v>1</v>
      </c>
      <c r="O33" s="44">
        <v>1</v>
      </c>
      <c r="P33" s="44">
        <v>1</v>
      </c>
      <c r="Q33" s="44">
        <v>1</v>
      </c>
      <c r="R33" s="44">
        <v>1</v>
      </c>
      <c r="S33" s="44">
        <v>1</v>
      </c>
      <c r="T33" s="44">
        <v>1</v>
      </c>
      <c r="U33" s="81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f t="shared" si="4"/>
        <v>7</v>
      </c>
      <c r="AJ33" s="26"/>
      <c r="AK33" s="19"/>
    </row>
    <row r="34" spans="1:37" ht="16.5" hidden="1" customHeight="1" x14ac:dyDescent="0.2">
      <c r="A34" s="19"/>
      <c r="B34" s="25"/>
      <c r="C34" s="50" t="s">
        <v>61</v>
      </c>
      <c r="D34" s="176"/>
      <c r="E34" s="57" t="s">
        <v>50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 x14ac:dyDescent="0.2">
      <c r="A35" s="19"/>
      <c r="B35" s="25"/>
      <c r="C35" s="50" t="s">
        <v>61</v>
      </c>
      <c r="D35" s="174"/>
      <c r="E35" s="57" t="s">
        <v>56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 x14ac:dyDescent="0.2">
      <c r="A36" s="19"/>
      <c r="B36" s="25"/>
      <c r="C36" s="50" t="s">
        <v>61</v>
      </c>
      <c r="D36" s="175"/>
      <c r="E36" s="57" t="s">
        <v>58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 x14ac:dyDescent="0.2">
      <c r="A37" s="19"/>
      <c r="B37" s="25"/>
      <c r="C37" s="50" t="s">
        <v>61</v>
      </c>
      <c r="D37" s="176"/>
      <c r="E37" s="57" t="s">
        <v>50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 x14ac:dyDescent="0.2">
      <c r="A38" s="19"/>
      <c r="B38" s="25"/>
      <c r="C38" s="50" t="s">
        <v>61</v>
      </c>
      <c r="D38" s="174"/>
      <c r="E38" s="57" t="s">
        <v>56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 x14ac:dyDescent="0.2">
      <c r="A39" s="19"/>
      <c r="B39" s="25"/>
      <c r="C39" s="50" t="s">
        <v>61</v>
      </c>
      <c r="D39" s="175"/>
      <c r="E39" s="57" t="s">
        <v>58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 x14ac:dyDescent="0.2">
      <c r="A40" s="19"/>
      <c r="B40" s="25"/>
      <c r="C40" s="50" t="s">
        <v>61</v>
      </c>
      <c r="D40" s="177" t="s">
        <v>63</v>
      </c>
      <c r="E40" s="57" t="s">
        <v>50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 x14ac:dyDescent="0.2">
      <c r="A41" s="19"/>
      <c r="B41" s="25"/>
      <c r="C41" s="50" t="s">
        <v>61</v>
      </c>
      <c r="D41" s="174"/>
      <c r="E41" s="57" t="s">
        <v>56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 x14ac:dyDescent="0.2">
      <c r="A42" s="19"/>
      <c r="B42" s="25"/>
      <c r="C42" s="50" t="s">
        <v>61</v>
      </c>
      <c r="D42" s="175"/>
      <c r="E42" s="57" t="s">
        <v>58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customHeight="1" x14ac:dyDescent="0.2">
      <c r="A43" s="19"/>
      <c r="B43" s="25"/>
      <c r="C43" s="61" t="s">
        <v>61</v>
      </c>
      <c r="D43" s="104" t="s">
        <v>59</v>
      </c>
      <c r="E43" s="66"/>
      <c r="F43" s="66"/>
      <c r="G43" s="66" t="s">
        <v>76</v>
      </c>
      <c r="H43" s="66"/>
      <c r="I43" s="66" t="s">
        <v>60</v>
      </c>
      <c r="J43" s="67"/>
      <c r="K43" s="67"/>
      <c r="L43" s="68">
        <f t="shared" ref="L43:Z43" si="5">SUM(L27:L42)</f>
        <v>0</v>
      </c>
      <c r="M43" s="68">
        <f t="shared" si="5"/>
        <v>3</v>
      </c>
      <c r="N43" s="68">
        <f t="shared" si="5"/>
        <v>7</v>
      </c>
      <c r="O43" s="68">
        <f t="shared" si="5"/>
        <v>7</v>
      </c>
      <c r="P43" s="68">
        <f t="shared" si="5"/>
        <v>7</v>
      </c>
      <c r="Q43" s="68">
        <f t="shared" si="5"/>
        <v>7</v>
      </c>
      <c r="R43" s="68">
        <f t="shared" si="5"/>
        <v>7</v>
      </c>
      <c r="S43" s="68">
        <f t="shared" si="5"/>
        <v>7</v>
      </c>
      <c r="T43" s="68">
        <f t="shared" si="5"/>
        <v>7</v>
      </c>
      <c r="U43" s="68">
        <f t="shared" si="5"/>
        <v>5</v>
      </c>
      <c r="V43" s="68">
        <f t="shared" si="5"/>
        <v>4</v>
      </c>
      <c r="W43" s="68">
        <f t="shared" si="5"/>
        <v>4</v>
      </c>
      <c r="X43" s="68">
        <f t="shared" si="5"/>
        <v>3.5</v>
      </c>
      <c r="Y43" s="68">
        <f t="shared" si="5"/>
        <v>3</v>
      </c>
      <c r="Z43" s="68">
        <f t="shared" si="5"/>
        <v>1.5</v>
      </c>
      <c r="AA43" s="68"/>
      <c r="AB43" s="68"/>
      <c r="AC43" s="68"/>
      <c r="AD43" s="68"/>
      <c r="AE43" s="68"/>
      <c r="AF43" s="68"/>
      <c r="AG43" s="68"/>
      <c r="AH43" s="68"/>
      <c r="AI43" s="69">
        <f>SUM(AI27:AI42)</f>
        <v>73</v>
      </c>
      <c r="AJ43" s="26"/>
      <c r="AK43" s="19"/>
    </row>
    <row r="44" spans="1:37" ht="4.5" customHeight="1" x14ac:dyDescent="0.2">
      <c r="A44" s="70"/>
      <c r="B44" s="71"/>
      <c r="C44" s="72"/>
      <c r="D44" s="73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8"/>
      <c r="AK44" s="70"/>
    </row>
    <row r="45" spans="1:37" ht="16.5" customHeight="1" x14ac:dyDescent="0.2">
      <c r="A45" s="19"/>
      <c r="B45" s="25"/>
      <c r="C45" s="178" t="s">
        <v>59</v>
      </c>
      <c r="D45" s="179"/>
      <c r="E45" s="180"/>
      <c r="F45" s="84"/>
      <c r="G45" s="85"/>
      <c r="H45" s="85"/>
      <c r="I45" s="85" t="s">
        <v>64</v>
      </c>
      <c r="J45" s="86"/>
      <c r="K45" s="86"/>
      <c r="L45" s="68">
        <f t="shared" ref="L45:Z45" si="6">L25+L43</f>
        <v>6.5</v>
      </c>
      <c r="M45" s="68">
        <f t="shared" si="6"/>
        <v>12.5</v>
      </c>
      <c r="N45" s="68">
        <f t="shared" si="6"/>
        <v>19</v>
      </c>
      <c r="O45" s="68">
        <f t="shared" si="6"/>
        <v>19</v>
      </c>
      <c r="P45" s="68">
        <f t="shared" si="6"/>
        <v>19</v>
      </c>
      <c r="Q45" s="68">
        <f t="shared" si="6"/>
        <v>19</v>
      </c>
      <c r="R45" s="68">
        <f t="shared" si="6"/>
        <v>19</v>
      </c>
      <c r="S45" s="68">
        <f t="shared" si="6"/>
        <v>18.5</v>
      </c>
      <c r="T45" s="68">
        <f t="shared" si="6"/>
        <v>18</v>
      </c>
      <c r="U45" s="68">
        <f t="shared" si="6"/>
        <v>12</v>
      </c>
      <c r="V45" s="68">
        <f t="shared" si="6"/>
        <v>8.5</v>
      </c>
      <c r="W45" s="68">
        <f t="shared" si="6"/>
        <v>6</v>
      </c>
      <c r="X45" s="68">
        <f t="shared" si="6"/>
        <v>5.5</v>
      </c>
      <c r="Y45" s="68">
        <f t="shared" si="6"/>
        <v>5</v>
      </c>
      <c r="Z45" s="68">
        <f t="shared" si="6"/>
        <v>2.5</v>
      </c>
      <c r="AA45" s="68"/>
      <c r="AB45" s="68"/>
      <c r="AC45" s="68"/>
      <c r="AD45" s="68"/>
      <c r="AE45" s="68"/>
      <c r="AF45" s="68"/>
      <c r="AG45" s="68"/>
      <c r="AH45" s="68"/>
      <c r="AI45" s="69">
        <f>AI25+AI43</f>
        <v>190</v>
      </c>
      <c r="AJ45" s="26"/>
      <c r="AK45" s="19"/>
    </row>
    <row r="46" spans="1:37" ht="16.5" customHeight="1" thickBot="1" x14ac:dyDescent="0.25">
      <c r="A46" s="19"/>
      <c r="B46" s="87"/>
      <c r="C46" s="88"/>
      <c r="D46" s="88"/>
      <c r="E46" s="89"/>
      <c r="F46" s="89"/>
      <c r="G46" s="89"/>
      <c r="H46" s="89"/>
      <c r="I46" s="88"/>
      <c r="J46" s="88"/>
      <c r="K46" s="90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91"/>
      <c r="AK46" s="19"/>
    </row>
    <row r="47" spans="1:37" ht="16.5" customHeight="1" x14ac:dyDescent="0.2">
      <c r="C47" s="106"/>
    </row>
    <row r="48" spans="1:37" ht="27.75" customHeight="1" x14ac:dyDescent="0.2">
      <c r="A48" s="19"/>
      <c r="B48" s="19"/>
      <c r="C48" s="19"/>
      <c r="D48" s="19"/>
      <c r="E48" s="2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  <c r="R48" s="20"/>
      <c r="S48" s="92" t="s">
        <v>65</v>
      </c>
      <c r="X48" s="92" t="s">
        <v>66</v>
      </c>
      <c r="AJ48" s="19"/>
      <c r="AK48" s="19"/>
    </row>
    <row r="49" spans="1:37" ht="16.5" customHeight="1" x14ac:dyDescent="0.2">
      <c r="A49" s="19"/>
      <c r="B49" s="1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0"/>
      <c r="R49" s="20"/>
      <c r="S49" s="93" t="s">
        <v>67</v>
      </c>
      <c r="T49" s="94" t="s">
        <v>68</v>
      </c>
      <c r="U49" s="93" t="s">
        <v>69</v>
      </c>
      <c r="V49" s="93" t="s">
        <v>59</v>
      </c>
      <c r="W49" s="107" t="s">
        <v>79</v>
      </c>
      <c r="X49" s="190" t="s">
        <v>70</v>
      </c>
      <c r="Y49" s="172"/>
      <c r="Z49" s="95">
        <v>172</v>
      </c>
      <c r="AA49" s="108"/>
      <c r="AB49" s="108"/>
      <c r="AC49" s="108"/>
      <c r="AD49" s="108"/>
      <c r="AE49" s="108"/>
      <c r="AF49" s="108"/>
      <c r="AG49" s="108"/>
      <c r="AH49" s="108"/>
      <c r="AJ49" s="19"/>
      <c r="AK49" s="19"/>
    </row>
    <row r="50" spans="1:37" ht="16.5" customHeight="1" x14ac:dyDescent="0.2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166" t="s">
        <v>52</v>
      </c>
      <c r="T50" s="96" t="s">
        <v>50</v>
      </c>
      <c r="U50" s="95">
        <f>SUMIF($E$7:$E$21,"고급",$AI$7:$AI$21)</f>
        <v>69</v>
      </c>
      <c r="V50" s="169">
        <f>SUM(U50:U52)</f>
        <v>117</v>
      </c>
      <c r="W50" s="107">
        <f>'250117 (제출본-최초)'!$U$46-U50</f>
        <v>-14</v>
      </c>
      <c r="X50" s="189" t="s">
        <v>80</v>
      </c>
      <c r="Y50" s="172"/>
      <c r="Z50" s="95">
        <f>204.5-Z49</f>
        <v>32.5</v>
      </c>
      <c r="AA50" s="109"/>
      <c r="AB50" s="109"/>
      <c r="AC50" s="109"/>
      <c r="AD50" s="109"/>
      <c r="AE50" s="109"/>
      <c r="AF50" s="109"/>
      <c r="AG50" s="109"/>
      <c r="AH50" s="109"/>
    </row>
    <row r="51" spans="1:37" ht="16.5" customHeight="1" x14ac:dyDescent="0.2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167"/>
      <c r="T51" s="96" t="s">
        <v>56</v>
      </c>
      <c r="U51" s="95">
        <f>SUMIF($E$7:$E$21,"중급",$AI$7:$AI$21)</f>
        <v>29</v>
      </c>
      <c r="V51" s="167"/>
      <c r="W51" s="107">
        <f>'250117 (제출본-최초)'!$U$47-U51</f>
        <v>-4</v>
      </c>
      <c r="X51" s="189" t="s">
        <v>72</v>
      </c>
      <c r="Y51" s="172"/>
      <c r="Z51" s="95">
        <v>204.5</v>
      </c>
      <c r="AA51" s="109"/>
      <c r="AB51" s="109"/>
      <c r="AC51" s="109"/>
      <c r="AD51" s="109"/>
      <c r="AE51" s="109"/>
      <c r="AF51" s="109"/>
      <c r="AG51" s="109"/>
      <c r="AH51" s="109"/>
    </row>
    <row r="52" spans="1:37" ht="16.5" customHeight="1" x14ac:dyDescent="0.2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168"/>
      <c r="T52" s="96" t="s">
        <v>58</v>
      </c>
      <c r="U52" s="95">
        <f>SUMIF($E$7:$E$21,"초급",$AI$7:$AI$21)</f>
        <v>19</v>
      </c>
      <c r="V52" s="168"/>
      <c r="W52" s="107">
        <f>'250117 (제출본-최초)'!$U$48-U52</f>
        <v>0</v>
      </c>
      <c r="AA52" s="109"/>
      <c r="AB52" s="109"/>
      <c r="AC52" s="109"/>
      <c r="AD52" s="109"/>
      <c r="AE52" s="109"/>
      <c r="AF52" s="109"/>
      <c r="AG52" s="109"/>
      <c r="AH52" s="109"/>
    </row>
    <row r="53" spans="1:37" ht="16.5" customHeight="1" x14ac:dyDescent="0.2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166" t="s">
        <v>61</v>
      </c>
      <c r="T53" s="96" t="s">
        <v>50</v>
      </c>
      <c r="U53" s="95">
        <f>SUMIF($E$25:$E$33,"고급",$AI$25:$AI$33)</f>
        <v>0</v>
      </c>
      <c r="V53" s="169">
        <f>SUM(U53:U55)</f>
        <v>73</v>
      </c>
      <c r="W53" s="107">
        <f>'250117 (제출본-최초)'!$U$49-U53</f>
        <v>0</v>
      </c>
    </row>
    <row r="54" spans="1:37" ht="16.5" customHeight="1" x14ac:dyDescent="0.2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167"/>
      <c r="T54" s="96" t="s">
        <v>56</v>
      </c>
      <c r="U54" s="95">
        <f>SUMIF($E$25:$E$33,"중급",$AI$25:$AI$33)</f>
        <v>37</v>
      </c>
      <c r="V54" s="167"/>
      <c r="W54" s="107">
        <f>'250117 (제출본-최초)'!$U$50-U54</f>
        <v>0</v>
      </c>
    </row>
    <row r="55" spans="1:37" ht="16.5" customHeight="1" x14ac:dyDescent="0.2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168"/>
      <c r="T55" s="96" t="s">
        <v>58</v>
      </c>
      <c r="U55" s="95">
        <f>SUMIF($E$25:$E$33,"초급",$AI$25:$AI$33)</f>
        <v>36</v>
      </c>
      <c r="V55" s="168"/>
      <c r="W55" s="107">
        <f>'250117 (제출본-최초)'!$U$51-U55</f>
        <v>0</v>
      </c>
    </row>
    <row r="56" spans="1:37" ht="16.5" customHeight="1" x14ac:dyDescent="0.2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S56" s="170" t="s">
        <v>73</v>
      </c>
      <c r="T56" s="171"/>
      <c r="U56" s="172"/>
      <c r="V56" s="97">
        <f t="shared" ref="V56:W56" si="7">SUM(V50:V55)</f>
        <v>190</v>
      </c>
      <c r="W56" s="107">
        <f t="shared" si="7"/>
        <v>-18</v>
      </c>
    </row>
    <row r="57" spans="1:37" ht="16.5" customHeight="1" x14ac:dyDescent="0.2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S57" s="170" t="s">
        <v>81</v>
      </c>
      <c r="T57" s="171"/>
      <c r="U57" s="172"/>
      <c r="V57" s="97">
        <f>Z51-V56</f>
        <v>14.5</v>
      </c>
    </row>
    <row r="58" spans="1:37" ht="16.5" customHeight="1" x14ac:dyDescent="0.2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37" ht="16.5" customHeight="1" x14ac:dyDescent="0.2"/>
    <row r="60" spans="1:37" ht="16.5" customHeight="1" x14ac:dyDescent="0.2"/>
    <row r="61" spans="1:37" ht="16.5" customHeight="1" x14ac:dyDescent="0.2"/>
    <row r="62" spans="1:37" ht="16.5" customHeight="1" x14ac:dyDescent="0.2"/>
    <row r="63" spans="1:37" ht="16.5" customHeight="1" x14ac:dyDescent="0.2"/>
    <row r="64" spans="1:37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</sheetData>
  <mergeCells count="20">
    <mergeCell ref="X49:Y49"/>
    <mergeCell ref="C3:AI3"/>
    <mergeCell ref="C4:D4"/>
    <mergeCell ref="L5:M5"/>
    <mergeCell ref="N5:W5"/>
    <mergeCell ref="D9:D21"/>
    <mergeCell ref="D22:D24"/>
    <mergeCell ref="D28:D33"/>
    <mergeCell ref="D34:D36"/>
    <mergeCell ref="D37:D39"/>
    <mergeCell ref="D40:D42"/>
    <mergeCell ref="C45:E45"/>
    <mergeCell ref="X50:Y50"/>
    <mergeCell ref="X51:Y51"/>
    <mergeCell ref="S53:S55"/>
    <mergeCell ref="V53:V55"/>
    <mergeCell ref="S57:U57"/>
    <mergeCell ref="S56:U56"/>
    <mergeCell ref="S50:S52"/>
    <mergeCell ref="V50:V52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04E2-3F80-4E48-9A6B-B31908FFC529}">
  <dimension ref="A1:AL1002"/>
  <sheetViews>
    <sheetView showGridLines="0" topLeftCell="E5" zoomScale="130" zoomScaleNormal="130" workbookViewId="0">
      <selection activeCell="U56" sqref="U56"/>
    </sheetView>
  </sheetViews>
  <sheetFormatPr baseColWidth="10" defaultColWidth="14.5" defaultRowHeight="15" customHeight="1" x14ac:dyDescent="0.2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7" ht="16.5" customHeight="1" thickBot="1" x14ac:dyDescent="0.25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7" ht="16.5" customHeight="1" x14ac:dyDescent="0.2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7" ht="33" thickBot="1" x14ac:dyDescent="0.25">
      <c r="A3" s="19"/>
      <c r="B3" s="25"/>
      <c r="C3" s="183" t="s">
        <v>22</v>
      </c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5"/>
      <c r="AJ3" s="26"/>
      <c r="AK3" s="19"/>
    </row>
    <row r="4" spans="1:37" ht="80.25" customHeight="1" x14ac:dyDescent="0.2">
      <c r="A4" s="19"/>
      <c r="B4" s="25"/>
      <c r="C4" s="191">
        <v>45799</v>
      </c>
      <c r="D4" s="15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7" ht="16.5" customHeight="1" x14ac:dyDescent="0.2">
      <c r="A5" s="19"/>
      <c r="B5" s="25"/>
      <c r="C5" s="29" t="s">
        <v>74</v>
      </c>
      <c r="D5" s="29"/>
      <c r="E5" s="30"/>
      <c r="F5" s="30"/>
      <c r="G5" s="30"/>
      <c r="H5" s="30"/>
      <c r="I5" s="30"/>
      <c r="J5" s="30"/>
      <c r="K5" s="31"/>
      <c r="L5" s="187"/>
      <c r="M5" s="188"/>
      <c r="N5" s="187"/>
      <c r="O5" s="188"/>
      <c r="P5" s="188"/>
      <c r="Q5" s="188"/>
      <c r="R5" s="188"/>
      <c r="S5" s="188"/>
      <c r="T5" s="188"/>
      <c r="U5" s="188"/>
      <c r="V5" s="188"/>
      <c r="W5" s="18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7" ht="30" x14ac:dyDescent="0.2">
      <c r="A6" s="19"/>
      <c r="B6" s="25"/>
      <c r="C6" s="98" t="s">
        <v>23</v>
      </c>
      <c r="D6" s="98" t="s">
        <v>24</v>
      </c>
      <c r="E6" s="99" t="s">
        <v>25</v>
      </c>
      <c r="F6" s="99" t="s">
        <v>26</v>
      </c>
      <c r="G6" s="99" t="s">
        <v>27</v>
      </c>
      <c r="H6" s="99" t="s">
        <v>28</v>
      </c>
      <c r="I6" s="99" t="s">
        <v>29</v>
      </c>
      <c r="J6" s="99" t="s">
        <v>30</v>
      </c>
      <c r="K6" s="99" t="s">
        <v>31</v>
      </c>
      <c r="L6" s="100" t="s">
        <v>32</v>
      </c>
      <c r="M6" s="100" t="s">
        <v>33</v>
      </c>
      <c r="N6" s="100" t="s">
        <v>34</v>
      </c>
      <c r="O6" s="100" t="s">
        <v>35</v>
      </c>
      <c r="P6" s="100" t="s">
        <v>36</v>
      </c>
      <c r="Q6" s="100" t="s">
        <v>37</v>
      </c>
      <c r="R6" s="100" t="s">
        <v>38</v>
      </c>
      <c r="S6" s="100" t="s">
        <v>39</v>
      </c>
      <c r="T6" s="100" t="s">
        <v>40</v>
      </c>
      <c r="U6" s="100" t="s">
        <v>41</v>
      </c>
      <c r="V6" s="100" t="s">
        <v>42</v>
      </c>
      <c r="W6" s="100" t="s">
        <v>43</v>
      </c>
      <c r="X6" s="100" t="s">
        <v>44</v>
      </c>
      <c r="Y6" s="100" t="s">
        <v>45</v>
      </c>
      <c r="Z6" s="100" t="s">
        <v>46</v>
      </c>
      <c r="AA6" s="100"/>
      <c r="AB6" s="100"/>
      <c r="AC6" s="100"/>
      <c r="AD6" s="100"/>
      <c r="AE6" s="100"/>
      <c r="AF6" s="100"/>
      <c r="AG6" s="100"/>
      <c r="AH6" s="100"/>
      <c r="AI6" s="101" t="s">
        <v>47</v>
      </c>
      <c r="AJ6" s="26"/>
      <c r="AK6" s="19"/>
    </row>
    <row r="7" spans="1:37" ht="16.5" customHeight="1" x14ac:dyDescent="0.2">
      <c r="A7" s="19"/>
      <c r="B7" s="25"/>
      <c r="C7" s="38" t="s">
        <v>48</v>
      </c>
      <c r="D7" s="39" t="s">
        <v>49</v>
      </c>
      <c r="E7" s="40" t="s">
        <v>50</v>
      </c>
      <c r="F7" s="40" t="s">
        <v>4</v>
      </c>
      <c r="G7" s="40" t="s">
        <v>51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8" si="0">SUM(L7:AH7)</f>
        <v>14.5</v>
      </c>
      <c r="AJ7" s="26"/>
      <c r="AK7" s="19"/>
    </row>
    <row r="8" spans="1:37" ht="16.5" customHeight="1" x14ac:dyDescent="0.2">
      <c r="A8" s="19"/>
      <c r="B8" s="25"/>
      <c r="C8" s="38" t="s">
        <v>52</v>
      </c>
      <c r="D8" s="39" t="s">
        <v>53</v>
      </c>
      <c r="E8" s="40" t="s">
        <v>50</v>
      </c>
      <c r="F8" s="40" t="s">
        <v>3</v>
      </c>
      <c r="G8" s="40" t="s">
        <v>51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7" ht="16.5" customHeight="1" x14ac:dyDescent="0.2">
      <c r="A9" s="19"/>
      <c r="B9" s="25"/>
      <c r="C9" s="47"/>
      <c r="D9" s="192" t="s">
        <v>54</v>
      </c>
      <c r="E9" s="40" t="s">
        <v>50</v>
      </c>
      <c r="F9" s="40" t="s">
        <v>8</v>
      </c>
      <c r="G9" s="40" t="s">
        <v>51</v>
      </c>
      <c r="H9" s="42">
        <v>45691</v>
      </c>
      <c r="I9" s="42">
        <v>45930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113"/>
      <c r="U9" s="113"/>
      <c r="V9" s="113"/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8</v>
      </c>
      <c r="AJ9" s="26"/>
      <c r="AK9" s="19"/>
    </row>
    <row r="10" spans="1:37" ht="16.5" customHeight="1" x14ac:dyDescent="0.2">
      <c r="A10" s="19"/>
      <c r="B10" s="25"/>
      <c r="C10" s="47"/>
      <c r="D10" s="174"/>
      <c r="E10" s="40" t="s">
        <v>50</v>
      </c>
      <c r="F10" s="40" t="s">
        <v>7</v>
      </c>
      <c r="G10" s="102" t="s">
        <v>51</v>
      </c>
      <c r="H10" s="42">
        <v>45691</v>
      </c>
      <c r="I10" s="42">
        <v>45991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7" ht="16.5" customHeight="1" x14ac:dyDescent="0.2">
      <c r="A11" s="19"/>
      <c r="B11" s="25"/>
      <c r="C11" s="50" t="s">
        <v>48</v>
      </c>
      <c r="D11" s="174"/>
      <c r="E11" s="40" t="s">
        <v>50</v>
      </c>
      <c r="F11" s="40" t="s">
        <v>20</v>
      </c>
      <c r="G11" s="102" t="s">
        <v>50</v>
      </c>
      <c r="H11" s="42">
        <v>45733</v>
      </c>
      <c r="I11" s="42">
        <v>45916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7" ht="16.5" customHeight="1" x14ac:dyDescent="0.2">
      <c r="A12" s="19"/>
      <c r="B12" s="25"/>
      <c r="C12" s="50" t="s">
        <v>48</v>
      </c>
      <c r="D12" s="174"/>
      <c r="E12" s="110" t="s">
        <v>50</v>
      </c>
      <c r="F12" s="110" t="s">
        <v>82</v>
      </c>
      <c r="G12" s="111" t="s">
        <v>51</v>
      </c>
      <c r="H12" s="112">
        <v>45810</v>
      </c>
      <c r="I12" s="112">
        <v>46022</v>
      </c>
      <c r="J12" s="112"/>
      <c r="K12" s="112"/>
      <c r="L12" s="113"/>
      <c r="M12" s="113"/>
      <c r="N12" s="113"/>
      <c r="O12" s="113"/>
      <c r="P12" s="113">
        <v>1</v>
      </c>
      <c r="Q12" s="113">
        <v>1</v>
      </c>
      <c r="R12" s="113">
        <v>1</v>
      </c>
      <c r="S12" s="113">
        <v>1</v>
      </c>
      <c r="T12" s="113">
        <v>1</v>
      </c>
      <c r="U12" s="113">
        <v>1</v>
      </c>
      <c r="V12" s="113">
        <v>1</v>
      </c>
      <c r="W12" s="113"/>
      <c r="X12" s="114"/>
      <c r="Y12" s="114"/>
      <c r="Z12" s="114"/>
      <c r="AA12" s="44"/>
      <c r="AB12" s="44"/>
      <c r="AC12" s="44"/>
      <c r="AD12" s="44"/>
      <c r="AE12" s="44"/>
      <c r="AF12" s="44"/>
      <c r="AG12" s="44"/>
      <c r="AH12" s="44"/>
      <c r="AI12" s="45">
        <f t="shared" ref="AI12" si="1">SUM(L12:AH12)</f>
        <v>7</v>
      </c>
      <c r="AJ12" s="26"/>
      <c r="AK12" s="19"/>
    </row>
    <row r="13" spans="1:37" ht="16.5" customHeight="1" x14ac:dyDescent="0.2">
      <c r="A13" s="19"/>
      <c r="B13" s="25"/>
      <c r="C13" s="50" t="s">
        <v>48</v>
      </c>
      <c r="D13" s="174"/>
      <c r="E13" s="40" t="s">
        <v>50</v>
      </c>
      <c r="F13" s="40" t="s">
        <v>14</v>
      </c>
      <c r="G13" s="102" t="s">
        <v>51</v>
      </c>
      <c r="H13" s="42">
        <v>45748</v>
      </c>
      <c r="I13" s="42">
        <v>45961</v>
      </c>
      <c r="J13" s="42"/>
      <c r="K13" s="42"/>
      <c r="L13" s="43"/>
      <c r="M13" s="43"/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43">
        <v>1</v>
      </c>
      <c r="T13" s="43">
        <v>1</v>
      </c>
      <c r="U13" s="43"/>
      <c r="V13" s="43"/>
      <c r="W13" s="43"/>
      <c r="X13" s="46"/>
      <c r="Y13" s="46"/>
      <c r="Z13" s="46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7</v>
      </c>
      <c r="AJ13" s="26"/>
      <c r="AK13" s="19"/>
    </row>
    <row r="14" spans="1:37" ht="16.5" customHeight="1" x14ac:dyDescent="0.2">
      <c r="A14" s="19"/>
      <c r="B14" s="25"/>
      <c r="C14" s="50" t="s">
        <v>48</v>
      </c>
      <c r="D14" s="174"/>
      <c r="E14" s="40" t="s">
        <v>50</v>
      </c>
      <c r="F14" s="40" t="s">
        <v>18</v>
      </c>
      <c r="G14" s="102" t="s">
        <v>51</v>
      </c>
      <c r="H14" s="42">
        <v>45748</v>
      </c>
      <c r="I14" s="42">
        <v>45961</v>
      </c>
      <c r="J14" s="42"/>
      <c r="K14" s="42"/>
      <c r="L14" s="43"/>
      <c r="M14" s="43"/>
      <c r="N14" s="43">
        <v>1</v>
      </c>
      <c r="O14" s="43">
        <v>1</v>
      </c>
      <c r="P14" s="43">
        <v>1</v>
      </c>
      <c r="Q14" s="43">
        <v>1</v>
      </c>
      <c r="R14" s="43">
        <v>1</v>
      </c>
      <c r="S14" s="43">
        <v>1</v>
      </c>
      <c r="T14" s="43">
        <v>1</v>
      </c>
      <c r="U14" s="43"/>
      <c r="V14" s="43"/>
      <c r="W14" s="43"/>
      <c r="X14" s="46"/>
      <c r="Y14" s="46"/>
      <c r="Z14" s="46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7</v>
      </c>
      <c r="AJ14" s="26"/>
      <c r="AK14" s="19"/>
    </row>
    <row r="15" spans="1:37" ht="16.5" customHeight="1" x14ac:dyDescent="0.2">
      <c r="A15" s="19"/>
      <c r="B15" s="25"/>
      <c r="C15" s="50" t="s">
        <v>48</v>
      </c>
      <c r="D15" s="174"/>
      <c r="E15" s="51" t="s">
        <v>56</v>
      </c>
      <c r="F15" s="51" t="s">
        <v>11</v>
      </c>
      <c r="G15" s="51" t="s">
        <v>50</v>
      </c>
      <c r="H15" s="53">
        <v>45691</v>
      </c>
      <c r="I15" s="53">
        <v>45961</v>
      </c>
      <c r="J15" s="53"/>
      <c r="K15" s="53"/>
      <c r="L15" s="55">
        <v>1</v>
      </c>
      <c r="M15" s="55">
        <v>1</v>
      </c>
      <c r="N15" s="55">
        <v>1</v>
      </c>
      <c r="O15" s="55">
        <v>1</v>
      </c>
      <c r="P15" s="55">
        <v>1</v>
      </c>
      <c r="Q15" s="55">
        <v>1</v>
      </c>
      <c r="R15" s="55">
        <v>1</v>
      </c>
      <c r="S15" s="55">
        <v>1</v>
      </c>
      <c r="T15" s="55">
        <v>1</v>
      </c>
      <c r="U15" s="55"/>
      <c r="V15" s="55"/>
      <c r="W15" s="55"/>
      <c r="X15" s="55"/>
      <c r="Y15" s="55"/>
      <c r="Z15" s="55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9</v>
      </c>
      <c r="AJ15" s="26"/>
      <c r="AK15" s="19"/>
    </row>
    <row r="16" spans="1:37" ht="16.5" customHeight="1" x14ac:dyDescent="0.2">
      <c r="A16" s="19"/>
      <c r="B16" s="25"/>
      <c r="C16" s="50" t="s">
        <v>48</v>
      </c>
      <c r="D16" s="174"/>
      <c r="E16" s="51" t="s">
        <v>56</v>
      </c>
      <c r="F16" s="51" t="s">
        <v>15</v>
      </c>
      <c r="G16" s="51" t="s">
        <v>50</v>
      </c>
      <c r="H16" s="53">
        <v>45720</v>
      </c>
      <c r="I16" s="53">
        <v>46022</v>
      </c>
      <c r="J16" s="53"/>
      <c r="K16" s="53"/>
      <c r="L16" s="55"/>
      <c r="M16" s="55">
        <v>1</v>
      </c>
      <c r="N16" s="55">
        <v>1</v>
      </c>
      <c r="O16" s="55">
        <v>1</v>
      </c>
      <c r="P16" s="55">
        <v>1</v>
      </c>
      <c r="Q16" s="55">
        <v>1</v>
      </c>
      <c r="R16" s="55">
        <v>1</v>
      </c>
      <c r="S16" s="55">
        <v>1</v>
      </c>
      <c r="T16" s="55">
        <v>1</v>
      </c>
      <c r="U16" s="55">
        <v>1</v>
      </c>
      <c r="V16" s="55">
        <v>1</v>
      </c>
      <c r="W16" s="55"/>
      <c r="X16" s="55"/>
      <c r="Y16" s="55"/>
      <c r="Z16" s="55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10</v>
      </c>
      <c r="AJ16" s="26"/>
      <c r="AK16" s="19"/>
    </row>
    <row r="17" spans="1:38" ht="16.5" customHeight="1" x14ac:dyDescent="0.2">
      <c r="A17" s="19"/>
      <c r="B17" s="25"/>
      <c r="C17" s="50" t="s">
        <v>48</v>
      </c>
      <c r="D17" s="174"/>
      <c r="E17" s="51" t="s">
        <v>56</v>
      </c>
      <c r="F17" s="51" t="s">
        <v>19</v>
      </c>
      <c r="G17" s="51" t="s">
        <v>50</v>
      </c>
      <c r="H17" s="53">
        <v>45720</v>
      </c>
      <c r="I17" s="53">
        <v>46022</v>
      </c>
      <c r="J17" s="53"/>
      <c r="K17" s="53"/>
      <c r="L17" s="55"/>
      <c r="M17" s="55">
        <v>1</v>
      </c>
      <c r="N17" s="55">
        <v>1</v>
      </c>
      <c r="O17" s="55">
        <v>1</v>
      </c>
      <c r="P17" s="55">
        <v>1</v>
      </c>
      <c r="Q17" s="55">
        <v>1</v>
      </c>
      <c r="R17" s="55">
        <v>1</v>
      </c>
      <c r="S17" s="55">
        <v>1</v>
      </c>
      <c r="T17" s="55">
        <v>1</v>
      </c>
      <c r="U17" s="55">
        <v>1</v>
      </c>
      <c r="V17" s="55">
        <v>1</v>
      </c>
      <c r="W17" s="55"/>
      <c r="X17" s="55"/>
      <c r="Y17" s="55"/>
      <c r="Z17" s="55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10</v>
      </c>
      <c r="AJ17" s="26"/>
      <c r="AK17" s="19"/>
      <c r="AL17" s="19"/>
    </row>
    <row r="18" spans="1:38" ht="16.5" customHeight="1" x14ac:dyDescent="0.2">
      <c r="A18" s="19"/>
      <c r="B18" s="25"/>
      <c r="C18" s="50" t="s">
        <v>48</v>
      </c>
      <c r="D18" s="174"/>
      <c r="E18" s="57" t="s">
        <v>58</v>
      </c>
      <c r="F18" s="57" t="s">
        <v>12</v>
      </c>
      <c r="G18" s="57" t="s">
        <v>58</v>
      </c>
      <c r="H18" s="59">
        <v>45691</v>
      </c>
      <c r="I18" s="59">
        <v>45930</v>
      </c>
      <c r="J18" s="59"/>
      <c r="K18" s="59"/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T18" s="118"/>
      <c r="U18" s="118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si="0"/>
        <v>8</v>
      </c>
      <c r="AJ18" s="26"/>
      <c r="AK18" s="19"/>
      <c r="AL18" s="19"/>
    </row>
    <row r="19" spans="1:38" ht="16.5" customHeight="1" x14ac:dyDescent="0.2">
      <c r="A19" s="19"/>
      <c r="B19" s="25"/>
      <c r="C19" s="50" t="s">
        <v>48</v>
      </c>
      <c r="D19" s="174"/>
      <c r="E19" s="57" t="s">
        <v>58</v>
      </c>
      <c r="F19" s="57" t="s">
        <v>16</v>
      </c>
      <c r="G19" s="103" t="s">
        <v>58</v>
      </c>
      <c r="H19" s="59">
        <v>45691</v>
      </c>
      <c r="I19" s="59">
        <v>45930</v>
      </c>
      <c r="J19" s="59"/>
      <c r="K19" s="59"/>
      <c r="L19" s="44">
        <v>1</v>
      </c>
      <c r="M19" s="44">
        <v>1</v>
      </c>
      <c r="N19" s="44">
        <v>1</v>
      </c>
      <c r="O19" s="44">
        <v>1</v>
      </c>
      <c r="P19" s="44">
        <v>1</v>
      </c>
      <c r="Q19" s="44">
        <v>1</v>
      </c>
      <c r="R19" s="44">
        <v>1</v>
      </c>
      <c r="S19" s="44">
        <v>1</v>
      </c>
      <c r="T19" s="118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ref="AI19:AI20" si="2">SUM(L19:Z19)</f>
        <v>8</v>
      </c>
      <c r="AJ19" s="26"/>
      <c r="AK19" s="19"/>
      <c r="AL19" s="19"/>
    </row>
    <row r="20" spans="1:38" ht="16.5" hidden="1" customHeight="1" x14ac:dyDescent="0.2">
      <c r="A20" s="19"/>
      <c r="B20" s="25"/>
      <c r="C20" s="50" t="s">
        <v>48</v>
      </c>
      <c r="D20" s="174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2"/>
        <v>0</v>
      </c>
      <c r="AJ20" s="26"/>
      <c r="AK20" s="19"/>
      <c r="AL20" s="19"/>
    </row>
    <row r="21" spans="1:38" ht="16.5" hidden="1" customHeight="1" x14ac:dyDescent="0.2">
      <c r="A21" s="19"/>
      <c r="B21" s="25"/>
      <c r="C21" s="50" t="s">
        <v>48</v>
      </c>
      <c r="D21" s="174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ref="AI21:AI25" si="3">SUM(L21:AH21)</f>
        <v>0</v>
      </c>
      <c r="AJ21" s="26"/>
      <c r="AK21" s="19"/>
      <c r="AL21" s="19"/>
    </row>
    <row r="22" spans="1:38" ht="16.5" hidden="1" customHeight="1" x14ac:dyDescent="0.2">
      <c r="A22" s="19"/>
      <c r="B22" s="25"/>
      <c r="C22" s="50" t="s">
        <v>48</v>
      </c>
      <c r="D22" s="175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3"/>
        <v>0</v>
      </c>
      <c r="AJ22" s="26"/>
      <c r="AK22" s="19"/>
      <c r="AL22" s="19"/>
    </row>
    <row r="23" spans="1:38" ht="16.5" hidden="1" customHeight="1" x14ac:dyDescent="0.2">
      <c r="A23" s="19"/>
      <c r="B23" s="25"/>
      <c r="C23" s="50" t="s">
        <v>48</v>
      </c>
      <c r="D23" s="176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3"/>
        <v>0</v>
      </c>
      <c r="AJ23" s="26"/>
      <c r="AK23" s="19"/>
    </row>
    <row r="24" spans="1:38" ht="16.5" hidden="1" customHeight="1" x14ac:dyDescent="0.2">
      <c r="A24" s="19"/>
      <c r="B24" s="25"/>
      <c r="C24" s="50" t="s">
        <v>48</v>
      </c>
      <c r="D24" s="174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3"/>
        <v>0</v>
      </c>
      <c r="AJ24" s="26"/>
      <c r="AK24" s="19"/>
    </row>
    <row r="25" spans="1:38" ht="16.5" hidden="1" customHeight="1" x14ac:dyDescent="0.2">
      <c r="A25" s="19"/>
      <c r="B25" s="25"/>
      <c r="C25" s="50" t="s">
        <v>48</v>
      </c>
      <c r="D25" s="175"/>
      <c r="E25" s="57"/>
      <c r="F25" s="57"/>
      <c r="G25" s="57"/>
      <c r="H25" s="59"/>
      <c r="I25" s="59"/>
      <c r="J25" s="59"/>
      <c r="K25" s="59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5">
        <f t="shared" si="3"/>
        <v>0</v>
      </c>
      <c r="AJ25" s="26"/>
      <c r="AK25" s="19"/>
    </row>
    <row r="26" spans="1:38" ht="16.5" customHeight="1" x14ac:dyDescent="0.2">
      <c r="A26" s="19"/>
      <c r="B26" s="25"/>
      <c r="C26" s="61" t="s">
        <v>48</v>
      </c>
      <c r="D26" s="104" t="s">
        <v>59</v>
      </c>
      <c r="E26" s="66"/>
      <c r="F26" s="66"/>
      <c r="G26" s="66"/>
      <c r="H26" s="66"/>
      <c r="I26" s="66" t="s">
        <v>60</v>
      </c>
      <c r="J26" s="67"/>
      <c r="K26" s="67"/>
      <c r="L26" s="68">
        <f t="shared" ref="L26:Z26" si="4">SUM(L7:L25)</f>
        <v>6.5</v>
      </c>
      <c r="M26" s="68">
        <f t="shared" si="4"/>
        <v>9.5</v>
      </c>
      <c r="N26" s="68">
        <f t="shared" si="4"/>
        <v>12</v>
      </c>
      <c r="O26" s="68">
        <f t="shared" si="4"/>
        <v>12</v>
      </c>
      <c r="P26" s="68">
        <f t="shared" si="4"/>
        <v>13</v>
      </c>
      <c r="Q26" s="68">
        <f t="shared" si="4"/>
        <v>13</v>
      </c>
      <c r="R26" s="68">
        <f t="shared" si="4"/>
        <v>13</v>
      </c>
      <c r="S26" s="68">
        <f t="shared" si="4"/>
        <v>12.5</v>
      </c>
      <c r="T26" s="68">
        <f t="shared" si="4"/>
        <v>9</v>
      </c>
      <c r="U26" s="68">
        <f t="shared" si="4"/>
        <v>6</v>
      </c>
      <c r="V26" s="68">
        <f t="shared" si="4"/>
        <v>5</v>
      </c>
      <c r="W26" s="68">
        <f t="shared" si="4"/>
        <v>2</v>
      </c>
      <c r="X26" s="68">
        <f t="shared" si="4"/>
        <v>2</v>
      </c>
      <c r="Y26" s="68">
        <f t="shared" si="4"/>
        <v>2</v>
      </c>
      <c r="Z26" s="68">
        <f t="shared" si="4"/>
        <v>1</v>
      </c>
      <c r="AA26" s="68"/>
      <c r="AB26" s="68"/>
      <c r="AC26" s="68"/>
      <c r="AD26" s="68"/>
      <c r="AE26" s="68"/>
      <c r="AF26" s="68"/>
      <c r="AG26" s="68"/>
      <c r="AH26" s="68"/>
      <c r="AI26" s="69">
        <f>SUM(AI7:AI25)</f>
        <v>118.5</v>
      </c>
      <c r="AJ26" s="26"/>
      <c r="AK26" s="19"/>
    </row>
    <row r="27" spans="1:38" ht="4.5" customHeight="1" x14ac:dyDescent="0.2">
      <c r="A27" s="70"/>
      <c r="B27" s="71"/>
      <c r="C27" s="72"/>
      <c r="D27" s="73"/>
      <c r="E27" s="74"/>
      <c r="F27" s="74"/>
      <c r="G27" s="74"/>
      <c r="H27" s="76"/>
      <c r="I27" s="76"/>
      <c r="J27" s="76"/>
      <c r="K27" s="76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8"/>
      <c r="AK27" s="70"/>
    </row>
    <row r="28" spans="1:38" ht="16.5" customHeight="1" x14ac:dyDescent="0.2">
      <c r="A28" s="19"/>
      <c r="B28" s="25"/>
      <c r="C28" s="38" t="s">
        <v>61</v>
      </c>
      <c r="D28" s="79" t="s">
        <v>53</v>
      </c>
      <c r="E28" s="51" t="s">
        <v>56</v>
      </c>
      <c r="F28" s="51" t="s">
        <v>5</v>
      </c>
      <c r="G28" s="105" t="s">
        <v>55</v>
      </c>
      <c r="H28" s="53">
        <v>45726</v>
      </c>
      <c r="I28" s="53">
        <v>46127</v>
      </c>
      <c r="J28" s="53"/>
      <c r="K28" s="53"/>
      <c r="L28" s="55"/>
      <c r="M28" s="55">
        <v>0.75</v>
      </c>
      <c r="N28" s="55">
        <v>1</v>
      </c>
      <c r="O28" s="55">
        <v>1</v>
      </c>
      <c r="P28" s="55">
        <v>1</v>
      </c>
      <c r="Q28" s="55">
        <v>1</v>
      </c>
      <c r="R28" s="55">
        <v>1</v>
      </c>
      <c r="S28" s="55">
        <v>1</v>
      </c>
      <c r="T28" s="55">
        <v>1</v>
      </c>
      <c r="U28" s="55">
        <v>1</v>
      </c>
      <c r="V28" s="55">
        <v>1</v>
      </c>
      <c r="W28" s="55">
        <v>1</v>
      </c>
      <c r="X28" s="55">
        <v>1</v>
      </c>
      <c r="Y28" s="55">
        <v>1</v>
      </c>
      <c r="Z28" s="55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ref="AI28:AI36" si="5">SUM(L28:AH28)</f>
        <v>13.25</v>
      </c>
      <c r="AJ28" s="26"/>
      <c r="AK28" s="19"/>
    </row>
    <row r="29" spans="1:38" ht="16.5" customHeight="1" x14ac:dyDescent="0.2">
      <c r="A29" s="19"/>
      <c r="B29" s="25"/>
      <c r="C29" s="47"/>
      <c r="D29" s="173" t="s">
        <v>62</v>
      </c>
      <c r="E29" s="51" t="s">
        <v>56</v>
      </c>
      <c r="F29" s="51" t="s">
        <v>9</v>
      </c>
      <c r="G29" s="105" t="s">
        <v>55</v>
      </c>
      <c r="H29" s="53">
        <v>45726</v>
      </c>
      <c r="I29" s="53">
        <v>46127</v>
      </c>
      <c r="J29" s="53"/>
      <c r="K29" s="53"/>
      <c r="L29" s="55"/>
      <c r="M29" s="55">
        <v>0.75</v>
      </c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55">
        <v>1</v>
      </c>
      <c r="W29" s="55">
        <v>1</v>
      </c>
      <c r="X29" s="55">
        <v>1</v>
      </c>
      <c r="Y29" s="55">
        <v>1</v>
      </c>
      <c r="Z29" s="55">
        <v>0.5</v>
      </c>
      <c r="AA29" s="44"/>
      <c r="AB29" s="44"/>
      <c r="AC29" s="44"/>
      <c r="AD29" s="44"/>
      <c r="AE29" s="44"/>
      <c r="AF29" s="44"/>
      <c r="AG29" s="44"/>
      <c r="AH29" s="44"/>
      <c r="AI29" s="45">
        <f t="shared" si="5"/>
        <v>13.25</v>
      </c>
      <c r="AJ29" s="26"/>
      <c r="AK29" s="19"/>
    </row>
    <row r="30" spans="1:38" ht="16.5" customHeight="1" x14ac:dyDescent="0.2">
      <c r="A30" s="19"/>
      <c r="B30" s="25"/>
      <c r="C30" s="47"/>
      <c r="D30" s="174"/>
      <c r="E30" s="51" t="s">
        <v>56</v>
      </c>
      <c r="F30" s="51" t="s">
        <v>21</v>
      </c>
      <c r="G30" s="51" t="s">
        <v>50</v>
      </c>
      <c r="H30" s="53">
        <v>45748</v>
      </c>
      <c r="I30" s="53">
        <v>45991</v>
      </c>
      <c r="J30" s="53"/>
      <c r="K30" s="53"/>
      <c r="L30" s="55"/>
      <c r="M30" s="55"/>
      <c r="N30" s="55">
        <v>1</v>
      </c>
      <c r="O30" s="55">
        <v>1</v>
      </c>
      <c r="P30" s="55">
        <v>1</v>
      </c>
      <c r="Q30" s="55">
        <v>1</v>
      </c>
      <c r="R30" s="55">
        <v>1</v>
      </c>
      <c r="S30" s="55">
        <v>1</v>
      </c>
      <c r="T30" s="55">
        <v>1</v>
      </c>
      <c r="U30" s="55">
        <v>1</v>
      </c>
      <c r="V30" s="55"/>
      <c r="W30" s="55"/>
      <c r="X30" s="55"/>
      <c r="Y30" s="55"/>
      <c r="Z30" s="55"/>
      <c r="AA30" s="44"/>
      <c r="AB30" s="44"/>
      <c r="AC30" s="44"/>
      <c r="AD30" s="44"/>
      <c r="AE30" s="44"/>
      <c r="AF30" s="44"/>
      <c r="AG30" s="44"/>
      <c r="AH30" s="44"/>
      <c r="AI30" s="45">
        <f t="shared" si="5"/>
        <v>8</v>
      </c>
      <c r="AJ30" s="26"/>
      <c r="AK30" s="19"/>
    </row>
    <row r="31" spans="1:38" ht="16.5" customHeight="1" x14ac:dyDescent="0.2">
      <c r="A31" s="19"/>
      <c r="B31" s="25"/>
      <c r="C31" s="50" t="s">
        <v>61</v>
      </c>
      <c r="D31" s="174"/>
      <c r="E31" s="115" t="s">
        <v>58</v>
      </c>
      <c r="F31" s="115" t="s">
        <v>84</v>
      </c>
      <c r="G31" s="116" t="s">
        <v>55</v>
      </c>
      <c r="H31" s="117">
        <v>45810</v>
      </c>
      <c r="I31" s="117">
        <v>45915</v>
      </c>
      <c r="J31" s="117"/>
      <c r="K31" s="117"/>
      <c r="L31" s="118"/>
      <c r="M31" s="118"/>
      <c r="N31" s="118"/>
      <c r="O31" s="118"/>
      <c r="P31" s="118">
        <v>1</v>
      </c>
      <c r="Q31" s="118">
        <v>1</v>
      </c>
      <c r="R31" s="118">
        <v>1</v>
      </c>
      <c r="S31" s="118">
        <v>1</v>
      </c>
      <c r="T31" s="118"/>
      <c r="U31" s="118"/>
      <c r="V31" s="118"/>
      <c r="W31" s="118"/>
      <c r="X31" s="118"/>
      <c r="Y31" s="118"/>
      <c r="Z31" s="118"/>
      <c r="AA31" s="44"/>
      <c r="AB31" s="44"/>
      <c r="AC31" s="44"/>
      <c r="AD31" s="44"/>
      <c r="AE31" s="44"/>
      <c r="AF31" s="44"/>
      <c r="AG31" s="44"/>
      <c r="AH31" s="44"/>
      <c r="AI31" s="45">
        <f t="shared" si="5"/>
        <v>4</v>
      </c>
      <c r="AJ31" s="26"/>
      <c r="AK31" s="19"/>
    </row>
    <row r="32" spans="1:38" ht="16.5" customHeight="1" x14ac:dyDescent="0.2">
      <c r="A32" s="19"/>
      <c r="B32" s="25"/>
      <c r="C32" s="50" t="s">
        <v>61</v>
      </c>
      <c r="D32" s="174"/>
      <c r="E32" s="115" t="s">
        <v>58</v>
      </c>
      <c r="F32" s="115" t="s">
        <v>83</v>
      </c>
      <c r="G32" s="116" t="s">
        <v>55</v>
      </c>
      <c r="H32" s="117">
        <v>45810</v>
      </c>
      <c r="I32" s="117">
        <v>45915</v>
      </c>
      <c r="J32" s="117"/>
      <c r="K32" s="117"/>
      <c r="L32" s="118"/>
      <c r="M32" s="118"/>
      <c r="N32" s="118"/>
      <c r="O32" s="118"/>
      <c r="P32" s="118">
        <v>1</v>
      </c>
      <c r="Q32" s="118">
        <v>1</v>
      </c>
      <c r="R32" s="118">
        <v>1</v>
      </c>
      <c r="S32" s="118">
        <v>1</v>
      </c>
      <c r="T32" s="118"/>
      <c r="U32" s="118"/>
      <c r="V32" s="118"/>
      <c r="W32" s="118"/>
      <c r="X32" s="118"/>
      <c r="Y32" s="118"/>
      <c r="Z32" s="118"/>
      <c r="AA32" s="44"/>
      <c r="AB32" s="44"/>
      <c r="AC32" s="44"/>
      <c r="AD32" s="44"/>
      <c r="AE32" s="44"/>
      <c r="AF32" s="44"/>
      <c r="AG32" s="44"/>
      <c r="AH32" s="44"/>
      <c r="AI32" s="45">
        <f t="shared" ref="AI32" si="6">SUM(L32:AH32)</f>
        <v>4</v>
      </c>
      <c r="AJ32" s="26"/>
      <c r="AK32" s="19"/>
    </row>
    <row r="33" spans="1:37" ht="16.5" customHeight="1" x14ac:dyDescent="0.2">
      <c r="A33" s="19"/>
      <c r="B33" s="25"/>
      <c r="C33" s="50" t="s">
        <v>61</v>
      </c>
      <c r="D33" s="174"/>
      <c r="E33" s="57" t="s">
        <v>58</v>
      </c>
      <c r="F33" s="57" t="s">
        <v>13</v>
      </c>
      <c r="G33" s="103" t="s">
        <v>55</v>
      </c>
      <c r="H33" s="59">
        <v>45726</v>
      </c>
      <c r="I33" s="59">
        <v>45731</v>
      </c>
      <c r="J33" s="59"/>
      <c r="K33" s="59"/>
      <c r="L33" s="44"/>
      <c r="M33" s="44">
        <v>0.75</v>
      </c>
      <c r="N33" s="44">
        <v>1</v>
      </c>
      <c r="O33" s="44">
        <v>1</v>
      </c>
      <c r="P33" s="44">
        <v>1</v>
      </c>
      <c r="Q33" s="44">
        <v>1</v>
      </c>
      <c r="R33" s="44">
        <v>1</v>
      </c>
      <c r="S33" s="44">
        <v>1</v>
      </c>
      <c r="T33" s="44">
        <v>1</v>
      </c>
      <c r="U33" s="44">
        <v>1</v>
      </c>
      <c r="V33" s="44">
        <v>1</v>
      </c>
      <c r="W33" s="44">
        <v>1</v>
      </c>
      <c r="X33" s="44">
        <v>1</v>
      </c>
      <c r="Y33" s="118">
        <v>0.5</v>
      </c>
      <c r="Z33" s="118"/>
      <c r="AA33" s="44"/>
      <c r="AB33" s="44"/>
      <c r="AC33" s="44"/>
      <c r="AD33" s="44"/>
      <c r="AE33" s="44"/>
      <c r="AF33" s="44"/>
      <c r="AG33" s="44"/>
      <c r="AH33" s="44"/>
      <c r="AI33" s="45">
        <f t="shared" si="5"/>
        <v>12.25</v>
      </c>
      <c r="AJ33" s="26"/>
      <c r="AK33" s="19"/>
    </row>
    <row r="34" spans="1:37" ht="16.5" customHeight="1" x14ac:dyDescent="0.2">
      <c r="A34" s="19"/>
      <c r="B34" s="25"/>
      <c r="C34" s="50" t="s">
        <v>61</v>
      </c>
      <c r="D34" s="174"/>
      <c r="E34" s="57" t="s">
        <v>58</v>
      </c>
      <c r="F34" s="57" t="s">
        <v>6</v>
      </c>
      <c r="G34" s="103" t="s">
        <v>55</v>
      </c>
      <c r="H34" s="59">
        <v>45748</v>
      </c>
      <c r="I34" s="59">
        <v>45961</v>
      </c>
      <c r="J34" s="59"/>
      <c r="K34" s="59"/>
      <c r="L34" s="44"/>
      <c r="M34" s="44"/>
      <c r="N34" s="44">
        <v>1</v>
      </c>
      <c r="O34" s="44">
        <v>1</v>
      </c>
      <c r="P34" s="44">
        <v>1</v>
      </c>
      <c r="Q34" s="44">
        <v>1</v>
      </c>
      <c r="R34" s="44">
        <v>1</v>
      </c>
      <c r="S34" s="44">
        <v>1</v>
      </c>
      <c r="T34" s="44">
        <v>1</v>
      </c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f t="shared" si="5"/>
        <v>7</v>
      </c>
      <c r="AJ34" s="26"/>
      <c r="AK34" s="19"/>
    </row>
    <row r="35" spans="1:37" ht="16.5" customHeight="1" x14ac:dyDescent="0.2">
      <c r="A35" s="19"/>
      <c r="B35" s="25"/>
      <c r="C35" s="50" t="s">
        <v>61</v>
      </c>
      <c r="D35" s="174"/>
      <c r="E35" s="57" t="s">
        <v>58</v>
      </c>
      <c r="F35" s="57" t="s">
        <v>17</v>
      </c>
      <c r="G35" s="103" t="s">
        <v>55</v>
      </c>
      <c r="H35" s="59">
        <v>45726</v>
      </c>
      <c r="I35" s="59">
        <v>45989</v>
      </c>
      <c r="J35" s="59"/>
      <c r="K35" s="59"/>
      <c r="L35" s="44"/>
      <c r="M35" s="44">
        <v>0.75</v>
      </c>
      <c r="N35" s="44">
        <v>1</v>
      </c>
      <c r="O35" s="44">
        <v>1</v>
      </c>
      <c r="P35" s="44">
        <v>1</v>
      </c>
      <c r="Q35" s="44">
        <v>1</v>
      </c>
      <c r="R35" s="44">
        <v>1</v>
      </c>
      <c r="S35" s="44">
        <v>1</v>
      </c>
      <c r="T35" s="44">
        <v>1</v>
      </c>
      <c r="U35" s="44">
        <v>1</v>
      </c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f t="shared" si="5"/>
        <v>8.75</v>
      </c>
      <c r="AJ35" s="26"/>
      <c r="AK35" s="19"/>
    </row>
    <row r="36" spans="1:37" ht="16.5" customHeight="1" x14ac:dyDescent="0.2">
      <c r="A36" s="19"/>
      <c r="B36" s="25"/>
      <c r="C36" s="50" t="s">
        <v>61</v>
      </c>
      <c r="D36" s="175"/>
      <c r="E36" s="57" t="s">
        <v>58</v>
      </c>
      <c r="F36" s="57" t="s">
        <v>10</v>
      </c>
      <c r="G36" s="103" t="s">
        <v>55</v>
      </c>
      <c r="H36" s="59">
        <v>45748</v>
      </c>
      <c r="I36" s="59">
        <v>45961</v>
      </c>
      <c r="J36" s="59"/>
      <c r="K36" s="59"/>
      <c r="L36" s="44"/>
      <c r="M36" s="44"/>
      <c r="N36" s="44">
        <v>1</v>
      </c>
      <c r="O36" s="44">
        <v>1</v>
      </c>
      <c r="P36" s="44">
        <v>1</v>
      </c>
      <c r="Q36" s="44">
        <v>1</v>
      </c>
      <c r="R36" s="44">
        <v>1</v>
      </c>
      <c r="S36" s="44">
        <v>1</v>
      </c>
      <c r="T36" s="44">
        <v>1</v>
      </c>
      <c r="U36" s="81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f t="shared" si="5"/>
        <v>7</v>
      </c>
      <c r="AJ36" s="26"/>
      <c r="AK36" s="19"/>
    </row>
    <row r="37" spans="1:37" ht="16.5" hidden="1" customHeight="1" x14ac:dyDescent="0.2">
      <c r="A37" s="19"/>
      <c r="B37" s="25"/>
      <c r="C37" s="50" t="s">
        <v>61</v>
      </c>
      <c r="D37" s="176"/>
      <c r="E37" s="57" t="s">
        <v>50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 x14ac:dyDescent="0.2">
      <c r="A38" s="19"/>
      <c r="B38" s="25"/>
      <c r="C38" s="50" t="s">
        <v>61</v>
      </c>
      <c r="D38" s="174"/>
      <c r="E38" s="57" t="s">
        <v>56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 x14ac:dyDescent="0.2">
      <c r="A39" s="19"/>
      <c r="B39" s="25"/>
      <c r="C39" s="50" t="s">
        <v>61</v>
      </c>
      <c r="D39" s="175"/>
      <c r="E39" s="57" t="s">
        <v>58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 x14ac:dyDescent="0.2">
      <c r="A40" s="19"/>
      <c r="B40" s="25"/>
      <c r="C40" s="50" t="s">
        <v>61</v>
      </c>
      <c r="D40" s="176"/>
      <c r="E40" s="57" t="s">
        <v>50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 x14ac:dyDescent="0.2">
      <c r="A41" s="19"/>
      <c r="B41" s="25"/>
      <c r="C41" s="50" t="s">
        <v>61</v>
      </c>
      <c r="D41" s="174"/>
      <c r="E41" s="57" t="s">
        <v>56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 x14ac:dyDescent="0.2">
      <c r="A42" s="19"/>
      <c r="B42" s="25"/>
      <c r="C42" s="50" t="s">
        <v>61</v>
      </c>
      <c r="D42" s="175"/>
      <c r="E42" s="57" t="s">
        <v>58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hidden="1" customHeight="1" x14ac:dyDescent="0.2">
      <c r="A43" s="19"/>
      <c r="B43" s="25"/>
      <c r="C43" s="50" t="s">
        <v>61</v>
      </c>
      <c r="D43" s="177" t="s">
        <v>63</v>
      </c>
      <c r="E43" s="57" t="s">
        <v>50</v>
      </c>
      <c r="F43" s="57"/>
      <c r="G43" s="60"/>
      <c r="H43" s="59"/>
      <c r="I43" s="59"/>
      <c r="J43" s="59"/>
      <c r="K43" s="59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5">
        <v>0</v>
      </c>
      <c r="AJ43" s="26"/>
      <c r="AK43" s="19"/>
    </row>
    <row r="44" spans="1:37" ht="16.5" hidden="1" customHeight="1" x14ac:dyDescent="0.2">
      <c r="A44" s="19"/>
      <c r="B44" s="25"/>
      <c r="C44" s="50" t="s">
        <v>61</v>
      </c>
      <c r="D44" s="174"/>
      <c r="E44" s="57" t="s">
        <v>56</v>
      </c>
      <c r="F44" s="57"/>
      <c r="G44" s="60"/>
      <c r="H44" s="59"/>
      <c r="I44" s="59"/>
      <c r="J44" s="59"/>
      <c r="K44" s="59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5">
        <v>0</v>
      </c>
      <c r="AJ44" s="26"/>
      <c r="AK44" s="19"/>
    </row>
    <row r="45" spans="1:37" ht="16.5" hidden="1" customHeight="1" x14ac:dyDescent="0.2">
      <c r="A45" s="19"/>
      <c r="B45" s="25"/>
      <c r="C45" s="50" t="s">
        <v>61</v>
      </c>
      <c r="D45" s="175"/>
      <c r="E45" s="57" t="s">
        <v>58</v>
      </c>
      <c r="F45" s="57"/>
      <c r="G45" s="60"/>
      <c r="H45" s="59"/>
      <c r="I45" s="59"/>
      <c r="J45" s="59"/>
      <c r="K45" s="59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5">
        <v>0</v>
      </c>
      <c r="AJ45" s="26"/>
      <c r="AK45" s="19"/>
    </row>
    <row r="46" spans="1:37" ht="16.5" customHeight="1" x14ac:dyDescent="0.2">
      <c r="A46" s="19"/>
      <c r="B46" s="25"/>
      <c r="C46" s="61" t="s">
        <v>61</v>
      </c>
      <c r="D46" s="104" t="s">
        <v>59</v>
      </c>
      <c r="E46" s="66"/>
      <c r="F46" s="66"/>
      <c r="G46" s="66" t="s">
        <v>76</v>
      </c>
      <c r="H46" s="66"/>
      <c r="I46" s="66" t="s">
        <v>60</v>
      </c>
      <c r="J46" s="67"/>
      <c r="K46" s="67"/>
      <c r="L46" s="68">
        <f t="shared" ref="L46:Z46" si="7">SUM(L28:L45)</f>
        <v>0</v>
      </c>
      <c r="M46" s="68">
        <f t="shared" si="7"/>
        <v>3</v>
      </c>
      <c r="N46" s="68">
        <f t="shared" si="7"/>
        <v>7</v>
      </c>
      <c r="O46" s="68">
        <f t="shared" si="7"/>
        <v>7</v>
      </c>
      <c r="P46" s="68">
        <f t="shared" si="7"/>
        <v>9</v>
      </c>
      <c r="Q46" s="68">
        <f t="shared" si="7"/>
        <v>9</v>
      </c>
      <c r="R46" s="68">
        <f t="shared" si="7"/>
        <v>9</v>
      </c>
      <c r="S46" s="68">
        <f t="shared" si="7"/>
        <v>9</v>
      </c>
      <c r="T46" s="68">
        <f t="shared" si="7"/>
        <v>7</v>
      </c>
      <c r="U46" s="68">
        <f t="shared" si="7"/>
        <v>5</v>
      </c>
      <c r="V46" s="68">
        <f t="shared" si="7"/>
        <v>3</v>
      </c>
      <c r="W46" s="68">
        <f t="shared" si="7"/>
        <v>3</v>
      </c>
      <c r="X46" s="68">
        <f t="shared" si="7"/>
        <v>3</v>
      </c>
      <c r="Y46" s="68">
        <f t="shared" si="7"/>
        <v>2.5</v>
      </c>
      <c r="Z46" s="68">
        <f t="shared" si="7"/>
        <v>1</v>
      </c>
      <c r="AA46" s="68"/>
      <c r="AB46" s="68"/>
      <c r="AC46" s="68"/>
      <c r="AD46" s="68"/>
      <c r="AE46" s="68"/>
      <c r="AF46" s="68"/>
      <c r="AG46" s="68"/>
      <c r="AH46" s="68"/>
      <c r="AI46" s="69">
        <f>SUM(AI28:AI45)</f>
        <v>77.5</v>
      </c>
      <c r="AJ46" s="26"/>
      <c r="AK46" s="19"/>
    </row>
    <row r="47" spans="1:37" ht="4.5" customHeight="1" x14ac:dyDescent="0.2">
      <c r="A47" s="70"/>
      <c r="B47" s="71"/>
      <c r="C47" s="72"/>
      <c r="D47" s="73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8"/>
      <c r="AK47" s="70"/>
    </row>
    <row r="48" spans="1:37" ht="16.5" customHeight="1" x14ac:dyDescent="0.2">
      <c r="A48" s="19"/>
      <c r="B48" s="25"/>
      <c r="C48" s="178" t="s">
        <v>59</v>
      </c>
      <c r="D48" s="179"/>
      <c r="E48" s="180"/>
      <c r="F48" s="84"/>
      <c r="G48" s="85"/>
      <c r="H48" s="85"/>
      <c r="I48" s="85" t="s">
        <v>64</v>
      </c>
      <c r="J48" s="86"/>
      <c r="K48" s="86"/>
      <c r="L48" s="68">
        <f t="shared" ref="L48:Z48" si="8">L26+L46</f>
        <v>6.5</v>
      </c>
      <c r="M48" s="68">
        <f t="shared" si="8"/>
        <v>12.5</v>
      </c>
      <c r="N48" s="68">
        <f t="shared" si="8"/>
        <v>19</v>
      </c>
      <c r="O48" s="68">
        <f t="shared" si="8"/>
        <v>19</v>
      </c>
      <c r="P48" s="68">
        <f t="shared" si="8"/>
        <v>22</v>
      </c>
      <c r="Q48" s="68">
        <f t="shared" si="8"/>
        <v>22</v>
      </c>
      <c r="R48" s="68">
        <f t="shared" si="8"/>
        <v>22</v>
      </c>
      <c r="S48" s="68">
        <f t="shared" si="8"/>
        <v>21.5</v>
      </c>
      <c r="T48" s="68">
        <f t="shared" si="8"/>
        <v>16</v>
      </c>
      <c r="U48" s="68">
        <f t="shared" si="8"/>
        <v>11</v>
      </c>
      <c r="V48" s="68">
        <f t="shared" si="8"/>
        <v>8</v>
      </c>
      <c r="W48" s="68">
        <f t="shared" si="8"/>
        <v>5</v>
      </c>
      <c r="X48" s="68">
        <f t="shared" si="8"/>
        <v>5</v>
      </c>
      <c r="Y48" s="68">
        <f t="shared" si="8"/>
        <v>4.5</v>
      </c>
      <c r="Z48" s="68">
        <f t="shared" si="8"/>
        <v>2</v>
      </c>
      <c r="AA48" s="68"/>
      <c r="AB48" s="68"/>
      <c r="AC48" s="68"/>
      <c r="AD48" s="68"/>
      <c r="AE48" s="68"/>
      <c r="AF48" s="68"/>
      <c r="AG48" s="68"/>
      <c r="AH48" s="68"/>
      <c r="AI48" s="69">
        <f>AI26+AI46</f>
        <v>196</v>
      </c>
      <c r="AJ48" s="26"/>
      <c r="AK48" s="19"/>
    </row>
    <row r="49" spans="1:37" ht="16.5" customHeight="1" thickBot="1" x14ac:dyDescent="0.25">
      <c r="A49" s="19"/>
      <c r="B49" s="87"/>
      <c r="C49" s="88"/>
      <c r="D49" s="88"/>
      <c r="E49" s="89"/>
      <c r="F49" s="89"/>
      <c r="G49" s="89"/>
      <c r="H49" s="89"/>
      <c r="I49" s="88"/>
      <c r="J49" s="88"/>
      <c r="K49" s="90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91"/>
      <c r="AK49" s="19"/>
    </row>
    <row r="50" spans="1:37" ht="16.5" customHeight="1" x14ac:dyDescent="0.2">
      <c r="C50" s="106"/>
    </row>
    <row r="51" spans="1:37" ht="27.75" customHeight="1" x14ac:dyDescent="0.2">
      <c r="A51" s="19"/>
      <c r="B51" s="19"/>
      <c r="C51" s="19"/>
      <c r="D51" s="19"/>
      <c r="E51" s="2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0"/>
      <c r="R51" s="20"/>
      <c r="S51" s="92" t="s">
        <v>65</v>
      </c>
      <c r="X51" s="92" t="s">
        <v>66</v>
      </c>
      <c r="AJ51" s="19"/>
      <c r="AK51" s="19"/>
    </row>
    <row r="52" spans="1:37" ht="16.5" customHeight="1" x14ac:dyDescent="0.2">
      <c r="A52" s="19"/>
      <c r="B52" s="1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0"/>
      <c r="R52" s="20"/>
      <c r="S52" s="93" t="s">
        <v>67</v>
      </c>
      <c r="T52" s="94" t="s">
        <v>68</v>
      </c>
      <c r="U52" s="93" t="s">
        <v>69</v>
      </c>
      <c r="V52" s="93" t="s">
        <v>59</v>
      </c>
      <c r="W52" s="107" t="s">
        <v>79</v>
      </c>
      <c r="X52" s="190" t="s">
        <v>70</v>
      </c>
      <c r="Y52" s="172"/>
      <c r="Z52" s="95">
        <v>172</v>
      </c>
      <c r="AA52" s="108"/>
      <c r="AB52" s="108"/>
      <c r="AC52" s="108"/>
      <c r="AD52" s="108"/>
      <c r="AE52" s="108"/>
      <c r="AF52" s="108"/>
      <c r="AG52" s="108"/>
      <c r="AH52" s="108"/>
      <c r="AJ52" s="19"/>
      <c r="AK52" s="19"/>
    </row>
    <row r="53" spans="1:37" ht="16.5" customHeight="1" x14ac:dyDescent="0.2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166" t="s">
        <v>52</v>
      </c>
      <c r="T53" s="96" t="s">
        <v>50</v>
      </c>
      <c r="U53" s="95">
        <f>SUMIF($E$7:$E$22,"고급",$AI$7:$AI$22)</f>
        <v>73.5</v>
      </c>
      <c r="V53" s="169">
        <f>SUM(U53:U55)</f>
        <v>118.5</v>
      </c>
      <c r="W53" s="107">
        <f>'250117 (제출본-최초)'!$U$46-U53</f>
        <v>-18.5</v>
      </c>
      <c r="X53" s="189" t="s">
        <v>80</v>
      </c>
      <c r="Y53" s="172"/>
      <c r="Z53" s="95">
        <f>204.5-Z52</f>
        <v>32.5</v>
      </c>
      <c r="AA53" s="109"/>
      <c r="AB53" s="109"/>
      <c r="AC53" s="109"/>
      <c r="AD53" s="109"/>
      <c r="AE53" s="109"/>
      <c r="AF53" s="109"/>
      <c r="AG53" s="109"/>
      <c r="AH53" s="109"/>
    </row>
    <row r="54" spans="1:37" ht="16.5" customHeight="1" x14ac:dyDescent="0.2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167"/>
      <c r="T54" s="96" t="s">
        <v>56</v>
      </c>
      <c r="U54" s="95">
        <f>SUMIF($E$7:$E$22,"중급",$AI$7:$AI$22)</f>
        <v>29</v>
      </c>
      <c r="V54" s="167"/>
      <c r="W54" s="107">
        <f>'250117 (제출본-최초)'!$U$47-U54</f>
        <v>-4</v>
      </c>
      <c r="X54" s="189" t="s">
        <v>72</v>
      </c>
      <c r="Y54" s="172"/>
      <c r="Z54" s="95">
        <v>204.5</v>
      </c>
      <c r="AA54" s="109"/>
      <c r="AB54" s="109"/>
      <c r="AC54" s="109"/>
      <c r="AD54" s="109"/>
      <c r="AE54" s="109"/>
      <c r="AF54" s="109"/>
      <c r="AG54" s="109"/>
      <c r="AH54" s="109"/>
    </row>
    <row r="55" spans="1:37" ht="16.5" customHeight="1" x14ac:dyDescent="0.2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168"/>
      <c r="T55" s="96" t="s">
        <v>58</v>
      </c>
      <c r="U55" s="95">
        <f>SUMIF($E$7:$E$22,"초급",$AI$7:$AI$22)</f>
        <v>16</v>
      </c>
      <c r="V55" s="168"/>
      <c r="W55" s="107">
        <f>'250117 (제출본-최초)'!$U$48-U55</f>
        <v>3</v>
      </c>
      <c r="AA55" s="109"/>
      <c r="AB55" s="109"/>
      <c r="AC55" s="109"/>
      <c r="AD55" s="109"/>
      <c r="AE55" s="109"/>
      <c r="AF55" s="109"/>
      <c r="AG55" s="109"/>
      <c r="AH55" s="109"/>
    </row>
    <row r="56" spans="1:37" ht="16.5" customHeight="1" x14ac:dyDescent="0.2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S56" s="166" t="s">
        <v>61</v>
      </c>
      <c r="T56" s="96" t="s">
        <v>50</v>
      </c>
      <c r="U56" s="95">
        <f>SUMIF($E$26:$E$36,"고급",$AI$26:$AI$36)</f>
        <v>0</v>
      </c>
      <c r="V56" s="169">
        <f>SUM(U56:U58)</f>
        <v>77.5</v>
      </c>
      <c r="W56" s="107">
        <f>'250117 (제출본-최초)'!$U$49-U56</f>
        <v>0</v>
      </c>
    </row>
    <row r="57" spans="1:37" ht="16.5" customHeight="1" x14ac:dyDescent="0.2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S57" s="167"/>
      <c r="T57" s="96" t="s">
        <v>56</v>
      </c>
      <c r="U57" s="95">
        <f>SUMIF($E$26:$E$36,"중급",$AI$26:$AI$36)</f>
        <v>34.5</v>
      </c>
      <c r="V57" s="167"/>
      <c r="W57" s="107">
        <f>'250117 (제출본-최초)'!$U$50-U57</f>
        <v>2.5</v>
      </c>
    </row>
    <row r="58" spans="1:37" ht="16.5" customHeight="1" x14ac:dyDescent="0.2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S58" s="168"/>
      <c r="T58" s="96" t="s">
        <v>58</v>
      </c>
      <c r="U58" s="95">
        <f>SUMIF($E$26:$E$36,"초급",$AI$26:$AI$36)</f>
        <v>43</v>
      </c>
      <c r="V58" s="168"/>
      <c r="W58" s="107">
        <f>'250117 (제출본-최초)'!$U$51-U58</f>
        <v>-7</v>
      </c>
    </row>
    <row r="59" spans="1:37" ht="16.5" customHeight="1" x14ac:dyDescent="0.2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S59" s="170" t="s">
        <v>73</v>
      </c>
      <c r="T59" s="171"/>
      <c r="U59" s="172"/>
      <c r="V59" s="97">
        <f t="shared" ref="V59:W59" si="9">SUM(V53:V58)</f>
        <v>196</v>
      </c>
      <c r="W59" s="107">
        <f t="shared" si="9"/>
        <v>-24</v>
      </c>
    </row>
    <row r="60" spans="1:37" ht="16.5" customHeight="1" x14ac:dyDescent="0.2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S60" s="170" t="s">
        <v>81</v>
      </c>
      <c r="T60" s="171"/>
      <c r="U60" s="172"/>
      <c r="V60" s="97">
        <f>Z54-V59</f>
        <v>8.5</v>
      </c>
    </row>
    <row r="61" spans="1:37" ht="16.5" customHeight="1" x14ac:dyDescent="0.2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37" ht="16.5" customHeight="1" x14ac:dyDescent="0.2"/>
    <row r="63" spans="1:37" ht="16.5" customHeight="1" x14ac:dyDescent="0.2"/>
    <row r="64" spans="1:37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  <row r="1001" ht="16.5" customHeight="1" x14ac:dyDescent="0.2"/>
    <row r="1002" ht="16.5" customHeight="1" x14ac:dyDescent="0.2"/>
  </sheetData>
  <mergeCells count="20">
    <mergeCell ref="X52:Y52"/>
    <mergeCell ref="C3:AI3"/>
    <mergeCell ref="C4:D4"/>
    <mergeCell ref="L5:M5"/>
    <mergeCell ref="N5:W5"/>
    <mergeCell ref="D9:D22"/>
    <mergeCell ref="D23:D25"/>
    <mergeCell ref="D29:D36"/>
    <mergeCell ref="D37:D39"/>
    <mergeCell ref="D40:D42"/>
    <mergeCell ref="D43:D45"/>
    <mergeCell ref="C48:E48"/>
    <mergeCell ref="S59:U59"/>
    <mergeCell ref="S60:U60"/>
    <mergeCell ref="S53:S55"/>
    <mergeCell ref="V53:V55"/>
    <mergeCell ref="X53:Y53"/>
    <mergeCell ref="X54:Y54"/>
    <mergeCell ref="S56:S58"/>
    <mergeCell ref="V56:V58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789D-9C89-EC4D-AC8A-54E73A10651F}">
  <dimension ref="A1:AL1004"/>
  <sheetViews>
    <sheetView showGridLines="0" topLeftCell="C3" zoomScale="110" zoomScaleNormal="110" workbookViewId="0">
      <selection activeCell="U60" sqref="U60"/>
    </sheetView>
  </sheetViews>
  <sheetFormatPr baseColWidth="10" defaultColWidth="14.5" defaultRowHeight="15" customHeight="1" x14ac:dyDescent="0.2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7" ht="16.5" customHeight="1" thickBot="1" x14ac:dyDescent="0.25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7" ht="16.5" customHeight="1" x14ac:dyDescent="0.2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7" ht="33" thickBot="1" x14ac:dyDescent="0.25">
      <c r="A3" s="19"/>
      <c r="B3" s="25"/>
      <c r="C3" s="183" t="s">
        <v>22</v>
      </c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5"/>
      <c r="AJ3" s="26"/>
      <c r="AK3" s="19"/>
    </row>
    <row r="4" spans="1:37" ht="80.25" customHeight="1" x14ac:dyDescent="0.2">
      <c r="A4" s="19"/>
      <c r="B4" s="25"/>
      <c r="C4" s="191">
        <v>45842</v>
      </c>
      <c r="D4" s="15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7" ht="16.5" customHeight="1" x14ac:dyDescent="0.2">
      <c r="A5" s="19"/>
      <c r="B5" s="25"/>
      <c r="C5" s="29" t="s">
        <v>74</v>
      </c>
      <c r="D5" s="29"/>
      <c r="E5" s="30"/>
      <c r="F5" s="30"/>
      <c r="G5" s="30"/>
      <c r="H5" s="30"/>
      <c r="I5" s="30"/>
      <c r="J5" s="30"/>
      <c r="K5" s="31"/>
      <c r="L5" s="187"/>
      <c r="M5" s="188"/>
      <c r="N5" s="187"/>
      <c r="O5" s="188"/>
      <c r="P5" s="188"/>
      <c r="Q5" s="188"/>
      <c r="R5" s="188"/>
      <c r="S5" s="188"/>
      <c r="T5" s="188"/>
      <c r="U5" s="188"/>
      <c r="V5" s="188"/>
      <c r="W5" s="18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7" ht="30" x14ac:dyDescent="0.2">
      <c r="A6" s="19"/>
      <c r="B6" s="25"/>
      <c r="C6" s="98" t="s">
        <v>23</v>
      </c>
      <c r="D6" s="98" t="s">
        <v>24</v>
      </c>
      <c r="E6" s="99" t="s">
        <v>25</v>
      </c>
      <c r="F6" s="99" t="s">
        <v>26</v>
      </c>
      <c r="G6" s="99" t="s">
        <v>27</v>
      </c>
      <c r="H6" s="99" t="s">
        <v>28</v>
      </c>
      <c r="I6" s="99" t="s">
        <v>29</v>
      </c>
      <c r="J6" s="99" t="s">
        <v>30</v>
      </c>
      <c r="K6" s="99" t="s">
        <v>31</v>
      </c>
      <c r="L6" s="100" t="s">
        <v>32</v>
      </c>
      <c r="M6" s="100" t="s">
        <v>33</v>
      </c>
      <c r="N6" s="100" t="s">
        <v>34</v>
      </c>
      <c r="O6" s="100" t="s">
        <v>35</v>
      </c>
      <c r="P6" s="100" t="s">
        <v>36</v>
      </c>
      <c r="Q6" s="100" t="s">
        <v>37</v>
      </c>
      <c r="R6" s="100" t="s">
        <v>38</v>
      </c>
      <c r="S6" s="100" t="s">
        <v>39</v>
      </c>
      <c r="T6" s="100" t="s">
        <v>40</v>
      </c>
      <c r="U6" s="100" t="s">
        <v>41</v>
      </c>
      <c r="V6" s="100" t="s">
        <v>42</v>
      </c>
      <c r="W6" s="100" t="s">
        <v>43</v>
      </c>
      <c r="X6" s="100" t="s">
        <v>44</v>
      </c>
      <c r="Y6" s="100" t="s">
        <v>45</v>
      </c>
      <c r="Z6" s="100" t="s">
        <v>46</v>
      </c>
      <c r="AA6" s="100"/>
      <c r="AB6" s="100"/>
      <c r="AC6" s="100"/>
      <c r="AD6" s="100"/>
      <c r="AE6" s="100"/>
      <c r="AF6" s="100"/>
      <c r="AG6" s="100"/>
      <c r="AH6" s="100"/>
      <c r="AI6" s="101" t="s">
        <v>47</v>
      </c>
      <c r="AJ6" s="26"/>
      <c r="AK6" s="19"/>
    </row>
    <row r="7" spans="1:37" ht="16.5" customHeight="1" x14ac:dyDescent="0.2">
      <c r="A7" s="19"/>
      <c r="B7" s="25"/>
      <c r="C7" s="193" t="s">
        <v>48</v>
      </c>
      <c r="D7" s="39" t="s">
        <v>49</v>
      </c>
      <c r="E7" s="40" t="s">
        <v>50</v>
      </c>
      <c r="F7" s="40" t="s">
        <v>4</v>
      </c>
      <c r="G7" s="40" t="s">
        <v>51</v>
      </c>
      <c r="H7" s="42">
        <v>45691</v>
      </c>
      <c r="I7" s="112">
        <v>45838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113">
        <v>0.75</v>
      </c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44"/>
      <c r="AB7" s="44"/>
      <c r="AC7" s="44"/>
      <c r="AD7" s="44"/>
      <c r="AE7" s="44"/>
      <c r="AF7" s="44"/>
      <c r="AG7" s="44"/>
      <c r="AH7" s="44"/>
      <c r="AI7" s="45">
        <f t="shared" ref="AI7:AI20" si="0">SUM(L7:AH7)</f>
        <v>4.75</v>
      </c>
      <c r="AJ7" s="26"/>
      <c r="AK7" s="19"/>
    </row>
    <row r="8" spans="1:37" ht="16.5" customHeight="1" x14ac:dyDescent="0.2">
      <c r="A8" s="19"/>
      <c r="B8" s="25"/>
      <c r="C8" s="194"/>
      <c r="D8" s="39" t="s">
        <v>49</v>
      </c>
      <c r="E8" s="40" t="s">
        <v>50</v>
      </c>
      <c r="F8" s="40" t="s">
        <v>3</v>
      </c>
      <c r="G8" s="40" t="s">
        <v>51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7" ht="16.5" customHeight="1" x14ac:dyDescent="0.2">
      <c r="A9" s="19"/>
      <c r="B9" s="25"/>
      <c r="C9" s="38" t="s">
        <v>52</v>
      </c>
      <c r="D9" s="39" t="s">
        <v>90</v>
      </c>
      <c r="E9" s="40" t="s">
        <v>50</v>
      </c>
      <c r="F9" s="40" t="s">
        <v>20</v>
      </c>
      <c r="G9" s="102" t="s">
        <v>50</v>
      </c>
      <c r="H9" s="42">
        <v>45733</v>
      </c>
      <c r="I9" s="112">
        <v>46127</v>
      </c>
      <c r="J9" s="42"/>
      <c r="K9" s="42"/>
      <c r="L9" s="43"/>
      <c r="M9" s="43">
        <v>0.5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125">
        <v>1</v>
      </c>
      <c r="T9" s="113">
        <v>1</v>
      </c>
      <c r="U9" s="113">
        <v>1</v>
      </c>
      <c r="V9" s="113">
        <v>1</v>
      </c>
      <c r="W9" s="113">
        <v>1</v>
      </c>
      <c r="X9" s="113">
        <v>1</v>
      </c>
      <c r="Y9" s="113">
        <v>1</v>
      </c>
      <c r="Z9" s="113"/>
      <c r="AA9" s="44"/>
      <c r="AB9" s="44"/>
      <c r="AC9" s="44"/>
      <c r="AD9" s="44"/>
      <c r="AE9" s="44"/>
      <c r="AF9" s="44"/>
      <c r="AG9" s="44"/>
      <c r="AH9" s="44"/>
      <c r="AI9" s="45">
        <f>SUM(L9:AH9)</f>
        <v>12.5</v>
      </c>
      <c r="AJ9" s="26"/>
      <c r="AK9" s="19"/>
    </row>
    <row r="10" spans="1:37" ht="16.5" customHeight="1" x14ac:dyDescent="0.2">
      <c r="A10" s="19"/>
      <c r="B10" s="25"/>
      <c r="C10" s="50" t="s">
        <v>48</v>
      </c>
      <c r="D10" s="39" t="s">
        <v>90</v>
      </c>
      <c r="E10" s="40" t="s">
        <v>50</v>
      </c>
      <c r="F10" s="40" t="s">
        <v>14</v>
      </c>
      <c r="G10" s="102" t="s">
        <v>51</v>
      </c>
      <c r="H10" s="42">
        <v>45748</v>
      </c>
      <c r="I10" s="112">
        <v>46127</v>
      </c>
      <c r="J10" s="42"/>
      <c r="K10" s="42"/>
      <c r="L10" s="43"/>
      <c r="M10" s="43"/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124">
        <v>1</v>
      </c>
      <c r="U10" s="113">
        <v>1</v>
      </c>
      <c r="V10" s="113">
        <v>1</v>
      </c>
      <c r="W10" s="113">
        <v>1</v>
      </c>
      <c r="X10" s="113">
        <v>1</v>
      </c>
      <c r="Y10" s="113">
        <v>1</v>
      </c>
      <c r="Z10" s="113"/>
      <c r="AA10" s="44"/>
      <c r="AB10" s="44"/>
      <c r="AC10" s="44"/>
      <c r="AD10" s="44"/>
      <c r="AE10" s="44"/>
      <c r="AF10" s="44"/>
      <c r="AG10" s="44"/>
      <c r="AH10" s="44"/>
      <c r="AI10" s="45">
        <f>SUM(L10:AH10)</f>
        <v>12</v>
      </c>
      <c r="AJ10" s="26"/>
      <c r="AK10" s="19"/>
    </row>
    <row r="11" spans="1:37" ht="16.5" customHeight="1" x14ac:dyDescent="0.2">
      <c r="A11" s="19"/>
      <c r="B11" s="25"/>
      <c r="C11" s="47"/>
      <c r="D11" s="39" t="s">
        <v>88</v>
      </c>
      <c r="E11" s="40" t="s">
        <v>50</v>
      </c>
      <c r="F11" s="40" t="s">
        <v>7</v>
      </c>
      <c r="G11" s="102" t="s">
        <v>51</v>
      </c>
      <c r="H11" s="42">
        <v>45691</v>
      </c>
      <c r="I11" s="42">
        <v>45991</v>
      </c>
      <c r="J11" s="42"/>
      <c r="K11" s="42"/>
      <c r="L11" s="43">
        <v>1</v>
      </c>
      <c r="M11" s="43">
        <v>1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1</v>
      </c>
      <c r="T11" s="43">
        <v>1</v>
      </c>
      <c r="U11" s="124">
        <v>1</v>
      </c>
      <c r="V11" s="43"/>
      <c r="W11" s="43"/>
      <c r="X11" s="43"/>
      <c r="Y11" s="43"/>
      <c r="Z11" s="43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10</v>
      </c>
      <c r="AJ11" s="26"/>
      <c r="AK11" s="19"/>
    </row>
    <row r="12" spans="1:37" ht="16.5" customHeight="1" x14ac:dyDescent="0.2">
      <c r="A12" s="19"/>
      <c r="B12" s="25"/>
      <c r="C12" s="47"/>
      <c r="D12" s="39"/>
      <c r="E12" s="40" t="s">
        <v>50</v>
      </c>
      <c r="F12" s="40" t="s">
        <v>91</v>
      </c>
      <c r="G12" s="102" t="s">
        <v>51</v>
      </c>
      <c r="H12" s="42">
        <v>45691</v>
      </c>
      <c r="I12" s="112">
        <v>45930</v>
      </c>
      <c r="J12" s="42"/>
      <c r="K12" s="42"/>
      <c r="L12" s="43">
        <v>1</v>
      </c>
      <c r="M12" s="43">
        <v>1</v>
      </c>
      <c r="N12" s="43">
        <v>1</v>
      </c>
      <c r="O12" s="43">
        <v>1</v>
      </c>
      <c r="P12" s="43">
        <v>1</v>
      </c>
      <c r="Q12" s="43">
        <v>1</v>
      </c>
      <c r="R12" s="43">
        <v>1</v>
      </c>
      <c r="S12" s="43">
        <v>1</v>
      </c>
      <c r="T12" s="43"/>
      <c r="U12" s="43"/>
      <c r="V12" s="43"/>
      <c r="W12" s="43"/>
      <c r="X12" s="43"/>
      <c r="Y12" s="43"/>
      <c r="Z12" s="43"/>
      <c r="AA12" s="44"/>
      <c r="AB12" s="44"/>
      <c r="AC12" s="44"/>
      <c r="AD12" s="44"/>
      <c r="AE12" s="44"/>
      <c r="AF12" s="44"/>
      <c r="AG12" s="44"/>
      <c r="AH12" s="44"/>
      <c r="AI12" s="45">
        <f t="shared" ref="AI12" si="1">SUM(L12:AH12)</f>
        <v>8</v>
      </c>
      <c r="AJ12" s="26"/>
      <c r="AK12" s="19"/>
    </row>
    <row r="13" spans="1:37" ht="16.5" customHeight="1" x14ac:dyDescent="0.2">
      <c r="A13" s="19"/>
      <c r="B13" s="25"/>
      <c r="C13" s="50" t="s">
        <v>48</v>
      </c>
      <c r="D13" s="39"/>
      <c r="E13" s="110" t="s">
        <v>50</v>
      </c>
      <c r="F13" s="110" t="s">
        <v>82</v>
      </c>
      <c r="G13" s="111" t="s">
        <v>51</v>
      </c>
      <c r="H13" s="112">
        <v>45810</v>
      </c>
      <c r="I13" s="112">
        <v>45813</v>
      </c>
      <c r="J13" s="112"/>
      <c r="K13" s="112"/>
      <c r="L13" s="113"/>
      <c r="M13" s="113"/>
      <c r="N13" s="113"/>
      <c r="O13" s="113"/>
      <c r="P13" s="113">
        <v>0.2</v>
      </c>
      <c r="Q13" s="113"/>
      <c r="R13" s="113"/>
      <c r="S13" s="113"/>
      <c r="T13" s="113"/>
      <c r="U13" s="113"/>
      <c r="V13" s="113"/>
      <c r="W13" s="113"/>
      <c r="X13" s="114"/>
      <c r="Y13" s="114"/>
      <c r="Z13" s="114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0.2</v>
      </c>
      <c r="AJ13" s="26"/>
      <c r="AK13" s="19"/>
    </row>
    <row r="14" spans="1:37" ht="16.5" customHeight="1" x14ac:dyDescent="0.2">
      <c r="A14" s="19"/>
      <c r="B14" s="25"/>
      <c r="C14" s="50" t="s">
        <v>48</v>
      </c>
      <c r="D14" s="39"/>
      <c r="E14" s="110" t="s">
        <v>50</v>
      </c>
      <c r="F14" s="110" t="s">
        <v>87</v>
      </c>
      <c r="G14" s="111" t="s">
        <v>89</v>
      </c>
      <c r="H14" s="112">
        <v>45824</v>
      </c>
      <c r="I14" s="112">
        <v>45900</v>
      </c>
      <c r="J14" s="112"/>
      <c r="K14" s="112"/>
      <c r="L14" s="113"/>
      <c r="M14" s="113"/>
      <c r="N14" s="113"/>
      <c r="O14" s="113"/>
      <c r="P14" s="113">
        <v>0.5</v>
      </c>
      <c r="Q14" s="113">
        <v>1</v>
      </c>
      <c r="R14" s="113">
        <v>1</v>
      </c>
      <c r="S14" s="113"/>
      <c r="T14" s="113"/>
      <c r="U14" s="113"/>
      <c r="V14" s="113"/>
      <c r="W14" s="113"/>
      <c r="X14" s="114"/>
      <c r="Y14" s="114"/>
      <c r="Z14" s="114"/>
      <c r="AA14" s="44"/>
      <c r="AB14" s="44"/>
      <c r="AC14" s="44"/>
      <c r="AD14" s="44"/>
      <c r="AE14" s="44"/>
      <c r="AF14" s="44"/>
      <c r="AG14" s="44"/>
      <c r="AH14" s="44"/>
      <c r="AI14" s="45">
        <f t="shared" ref="AI14:AI15" si="2">SUM(L14:AH14)</f>
        <v>2.5</v>
      </c>
      <c r="AJ14" s="26"/>
      <c r="AK14" s="19"/>
    </row>
    <row r="15" spans="1:37" ht="16.5" customHeight="1" x14ac:dyDescent="0.2">
      <c r="A15" s="19"/>
      <c r="B15" s="25"/>
      <c r="C15" s="50" t="s">
        <v>48</v>
      </c>
      <c r="D15" s="39"/>
      <c r="E15" s="110" t="s">
        <v>50</v>
      </c>
      <c r="F15" s="136" t="s">
        <v>86</v>
      </c>
      <c r="G15" s="111" t="s">
        <v>89</v>
      </c>
      <c r="H15" s="112">
        <v>45824</v>
      </c>
      <c r="I15" s="112">
        <v>45900</v>
      </c>
      <c r="J15" s="112"/>
      <c r="K15" s="112"/>
      <c r="L15" s="113"/>
      <c r="M15" s="113"/>
      <c r="N15" s="113"/>
      <c r="O15" s="113"/>
      <c r="P15" s="113">
        <v>0.5</v>
      </c>
      <c r="Q15" s="113">
        <v>1</v>
      </c>
      <c r="R15" s="113">
        <v>1</v>
      </c>
      <c r="S15" s="113"/>
      <c r="T15" s="113"/>
      <c r="U15" s="113"/>
      <c r="V15" s="113"/>
      <c r="W15" s="113"/>
      <c r="X15" s="114"/>
      <c r="Y15" s="114"/>
      <c r="Z15" s="114"/>
      <c r="AA15" s="44"/>
      <c r="AB15" s="44"/>
      <c r="AC15" s="44"/>
      <c r="AD15" s="44"/>
      <c r="AE15" s="44"/>
      <c r="AF15" s="44"/>
      <c r="AG15" s="44"/>
      <c r="AH15" s="44"/>
      <c r="AI15" s="45">
        <f t="shared" si="2"/>
        <v>2.5</v>
      </c>
      <c r="AJ15" s="26"/>
      <c r="AK15" s="19"/>
    </row>
    <row r="16" spans="1:37" ht="16.5" customHeight="1" x14ac:dyDescent="0.2">
      <c r="A16" s="19"/>
      <c r="B16" s="25"/>
      <c r="C16" s="50" t="s">
        <v>48</v>
      </c>
      <c r="D16" s="39"/>
      <c r="E16" s="40" t="s">
        <v>50</v>
      </c>
      <c r="F16" s="134" t="s">
        <v>18</v>
      </c>
      <c r="G16" s="102" t="s">
        <v>51</v>
      </c>
      <c r="H16" s="42">
        <v>45748</v>
      </c>
      <c r="I16" s="42">
        <v>45961</v>
      </c>
      <c r="J16" s="42"/>
      <c r="K16" s="42"/>
      <c r="L16" s="43"/>
      <c r="M16" s="43"/>
      <c r="N16" s="43">
        <v>1</v>
      </c>
      <c r="O16" s="43">
        <v>1</v>
      </c>
      <c r="P16" s="43">
        <v>1</v>
      </c>
      <c r="Q16" s="43">
        <v>1</v>
      </c>
      <c r="R16" s="43">
        <v>1</v>
      </c>
      <c r="S16" s="43">
        <v>1</v>
      </c>
      <c r="T16" s="124">
        <v>1</v>
      </c>
      <c r="U16" s="43"/>
      <c r="V16" s="43"/>
      <c r="W16" s="43"/>
      <c r="X16" s="46"/>
      <c r="Y16" s="46"/>
      <c r="Z16" s="46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7</v>
      </c>
      <c r="AJ16" s="26"/>
      <c r="AK16" s="19"/>
    </row>
    <row r="17" spans="1:38" ht="16.5" customHeight="1" x14ac:dyDescent="0.2">
      <c r="A17" s="19"/>
      <c r="B17" s="25"/>
      <c r="C17" s="50" t="s">
        <v>48</v>
      </c>
      <c r="D17" s="39"/>
      <c r="E17" s="51" t="s">
        <v>56</v>
      </c>
      <c r="F17" s="51" t="s">
        <v>11</v>
      </c>
      <c r="G17" s="51" t="s">
        <v>50</v>
      </c>
      <c r="H17" s="53">
        <v>45691</v>
      </c>
      <c r="I17" s="53">
        <v>45961</v>
      </c>
      <c r="J17" s="53"/>
      <c r="K17" s="53"/>
      <c r="L17" s="55">
        <v>1</v>
      </c>
      <c r="M17" s="55">
        <v>1</v>
      </c>
      <c r="N17" s="55">
        <v>1</v>
      </c>
      <c r="O17" s="55">
        <v>1</v>
      </c>
      <c r="P17" s="55">
        <v>1</v>
      </c>
      <c r="Q17" s="55">
        <v>1</v>
      </c>
      <c r="R17" s="55">
        <v>1</v>
      </c>
      <c r="S17" s="55">
        <v>1</v>
      </c>
      <c r="T17" s="123">
        <v>1</v>
      </c>
      <c r="U17" s="55"/>
      <c r="V17" s="55"/>
      <c r="W17" s="55"/>
      <c r="X17" s="55"/>
      <c r="Y17" s="55"/>
      <c r="Z17" s="55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9</v>
      </c>
      <c r="AJ17" s="26"/>
      <c r="AK17" s="19"/>
    </row>
    <row r="18" spans="1:38" ht="16.5" customHeight="1" x14ac:dyDescent="0.2">
      <c r="A18" s="19"/>
      <c r="B18" s="25"/>
      <c r="C18" s="50" t="s">
        <v>48</v>
      </c>
      <c r="D18" s="39"/>
      <c r="E18" s="51" t="s">
        <v>56</v>
      </c>
      <c r="F18" s="51" t="s">
        <v>15</v>
      </c>
      <c r="G18" s="51" t="s">
        <v>50</v>
      </c>
      <c r="H18" s="53">
        <v>45720</v>
      </c>
      <c r="I18" s="53">
        <v>46022</v>
      </c>
      <c r="J18" s="53"/>
      <c r="K18" s="53"/>
      <c r="L18" s="55"/>
      <c r="M18" s="55">
        <v>1</v>
      </c>
      <c r="N18" s="55">
        <v>1</v>
      </c>
      <c r="O18" s="55">
        <v>1</v>
      </c>
      <c r="P18" s="55">
        <v>1</v>
      </c>
      <c r="Q18" s="55">
        <v>1</v>
      </c>
      <c r="R18" s="55">
        <v>1</v>
      </c>
      <c r="S18" s="55">
        <v>1</v>
      </c>
      <c r="T18" s="55">
        <v>1</v>
      </c>
      <c r="U18" s="55">
        <v>1</v>
      </c>
      <c r="V18" s="123">
        <v>1</v>
      </c>
      <c r="W18" s="55"/>
      <c r="X18" s="55"/>
      <c r="Y18" s="55"/>
      <c r="Z18" s="55"/>
      <c r="AA18" s="44"/>
      <c r="AB18" s="44"/>
      <c r="AC18" s="44"/>
      <c r="AD18" s="44"/>
      <c r="AE18" s="44"/>
      <c r="AF18" s="44"/>
      <c r="AG18" s="44"/>
      <c r="AH18" s="44"/>
      <c r="AI18" s="45">
        <f t="shared" si="0"/>
        <v>10</v>
      </c>
      <c r="AJ18" s="26"/>
      <c r="AK18" s="19"/>
    </row>
    <row r="19" spans="1:38" ht="16.5" customHeight="1" x14ac:dyDescent="0.2">
      <c r="A19" s="19"/>
      <c r="B19" s="25"/>
      <c r="C19" s="50" t="s">
        <v>48</v>
      </c>
      <c r="D19" s="39"/>
      <c r="E19" s="51" t="s">
        <v>56</v>
      </c>
      <c r="F19" s="133" t="s">
        <v>19</v>
      </c>
      <c r="G19" s="51" t="s">
        <v>50</v>
      </c>
      <c r="H19" s="53">
        <v>45720</v>
      </c>
      <c r="I19" s="53">
        <v>46022</v>
      </c>
      <c r="J19" s="53"/>
      <c r="K19" s="53"/>
      <c r="L19" s="55"/>
      <c r="M19" s="55">
        <v>1</v>
      </c>
      <c r="N19" s="55">
        <v>1</v>
      </c>
      <c r="O19" s="55">
        <v>1</v>
      </c>
      <c r="P19" s="55">
        <v>1</v>
      </c>
      <c r="Q19" s="55">
        <v>1</v>
      </c>
      <c r="R19" s="55">
        <v>1</v>
      </c>
      <c r="S19" s="55">
        <v>1</v>
      </c>
      <c r="T19" s="55">
        <v>1</v>
      </c>
      <c r="U19" s="55">
        <v>1</v>
      </c>
      <c r="V19" s="123">
        <v>1</v>
      </c>
      <c r="W19" s="55"/>
      <c r="X19" s="55"/>
      <c r="Y19" s="55"/>
      <c r="Z19" s="55"/>
      <c r="AA19" s="44"/>
      <c r="AB19" s="44"/>
      <c r="AC19" s="44"/>
      <c r="AD19" s="44"/>
      <c r="AE19" s="44"/>
      <c r="AF19" s="44"/>
      <c r="AG19" s="44"/>
      <c r="AH19" s="44"/>
      <c r="AI19" s="45">
        <f t="shared" si="0"/>
        <v>10</v>
      </c>
      <c r="AJ19" s="26"/>
      <c r="AK19" s="19"/>
      <c r="AL19" s="19"/>
    </row>
    <row r="20" spans="1:38" ht="16.5" customHeight="1" x14ac:dyDescent="0.2">
      <c r="A20" s="19"/>
      <c r="B20" s="25"/>
      <c r="C20" s="50" t="s">
        <v>48</v>
      </c>
      <c r="D20" s="39"/>
      <c r="E20" s="57" t="s">
        <v>58</v>
      </c>
      <c r="F20" s="57" t="s">
        <v>12</v>
      </c>
      <c r="G20" s="57" t="s">
        <v>58</v>
      </c>
      <c r="H20" s="59">
        <v>45691</v>
      </c>
      <c r="I20" s="59">
        <v>45930</v>
      </c>
      <c r="J20" s="59"/>
      <c r="K20" s="59"/>
      <c r="L20" s="44">
        <v>1</v>
      </c>
      <c r="M20" s="44">
        <v>1</v>
      </c>
      <c r="N20" s="44">
        <v>1</v>
      </c>
      <c r="O20" s="44">
        <v>1</v>
      </c>
      <c r="P20" s="44">
        <v>1</v>
      </c>
      <c r="Q20" s="44">
        <v>1</v>
      </c>
      <c r="R20" s="44">
        <v>1</v>
      </c>
      <c r="S20" s="44">
        <v>1</v>
      </c>
      <c r="T20" s="121"/>
      <c r="U20" s="121"/>
      <c r="V20" s="121"/>
      <c r="W20" s="121"/>
      <c r="X20" s="121"/>
      <c r="Y20" s="121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0"/>
        <v>8</v>
      </c>
      <c r="AJ20" s="26"/>
      <c r="AK20" s="19"/>
      <c r="AL20" s="19"/>
    </row>
    <row r="21" spans="1:38" ht="16.5" customHeight="1" x14ac:dyDescent="0.2">
      <c r="A21" s="19"/>
      <c r="B21" s="25"/>
      <c r="C21" s="50" t="s">
        <v>48</v>
      </c>
      <c r="D21" s="39"/>
      <c r="E21" s="57" t="s">
        <v>58</v>
      </c>
      <c r="F21" s="135" t="s">
        <v>16</v>
      </c>
      <c r="G21" s="103" t="s">
        <v>58</v>
      </c>
      <c r="H21" s="59">
        <v>45691</v>
      </c>
      <c r="I21" s="59">
        <v>45930</v>
      </c>
      <c r="J21" s="59"/>
      <c r="K21" s="59"/>
      <c r="L21" s="44">
        <v>1</v>
      </c>
      <c r="M21" s="44">
        <v>1</v>
      </c>
      <c r="N21" s="44">
        <v>1</v>
      </c>
      <c r="O21" s="44">
        <v>1</v>
      </c>
      <c r="P21" s="44">
        <v>1</v>
      </c>
      <c r="Q21" s="44">
        <v>1</v>
      </c>
      <c r="R21" s="44">
        <v>1</v>
      </c>
      <c r="S21" s="44">
        <v>1</v>
      </c>
      <c r="T21" s="126"/>
      <c r="U21" s="126"/>
      <c r="V21" s="126"/>
      <c r="W21" s="121"/>
      <c r="X21" s="121"/>
      <c r="Y21" s="121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ref="AI21:AI22" si="3">SUM(L21:Z21)</f>
        <v>8</v>
      </c>
      <c r="AJ21" s="26"/>
      <c r="AK21" s="19"/>
      <c r="AL21" s="19"/>
    </row>
    <row r="22" spans="1:38" ht="16.5" hidden="1" customHeight="1" x14ac:dyDescent="0.2">
      <c r="A22" s="19"/>
      <c r="B22" s="25"/>
      <c r="C22" s="50" t="s">
        <v>48</v>
      </c>
      <c r="D22" s="119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3"/>
        <v>0</v>
      </c>
      <c r="AJ22" s="26"/>
      <c r="AK22" s="19"/>
      <c r="AL22" s="19"/>
    </row>
    <row r="23" spans="1:38" ht="16.5" hidden="1" customHeight="1" x14ac:dyDescent="0.2">
      <c r="A23" s="19"/>
      <c r="B23" s="25"/>
      <c r="C23" s="50" t="s">
        <v>48</v>
      </c>
      <c r="D23" s="119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ref="AI23:AI27" si="4">SUM(L23:AH23)</f>
        <v>0</v>
      </c>
      <c r="AJ23" s="26"/>
      <c r="AK23" s="19"/>
      <c r="AL23" s="19"/>
    </row>
    <row r="24" spans="1:38" ht="16.5" hidden="1" customHeight="1" x14ac:dyDescent="0.2">
      <c r="A24" s="19"/>
      <c r="B24" s="25"/>
      <c r="C24" s="50" t="s">
        <v>48</v>
      </c>
      <c r="D24" s="120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4"/>
        <v>0</v>
      </c>
      <c r="AJ24" s="26"/>
      <c r="AK24" s="19"/>
      <c r="AL24" s="19"/>
    </row>
    <row r="25" spans="1:38" ht="16.5" hidden="1" customHeight="1" x14ac:dyDescent="0.2">
      <c r="A25" s="19"/>
      <c r="B25" s="25"/>
      <c r="C25" s="50" t="s">
        <v>48</v>
      </c>
      <c r="D25" s="176"/>
      <c r="E25" s="57"/>
      <c r="F25" s="57"/>
      <c r="G25" s="57"/>
      <c r="H25" s="59"/>
      <c r="I25" s="59"/>
      <c r="J25" s="59"/>
      <c r="K25" s="59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5">
        <f t="shared" si="4"/>
        <v>0</v>
      </c>
      <c r="AJ25" s="26"/>
      <c r="AK25" s="19"/>
    </row>
    <row r="26" spans="1:38" ht="16.5" hidden="1" customHeight="1" x14ac:dyDescent="0.2">
      <c r="A26" s="19"/>
      <c r="B26" s="25"/>
      <c r="C26" s="50" t="s">
        <v>48</v>
      </c>
      <c r="D26" s="174"/>
      <c r="E26" s="57"/>
      <c r="F26" s="57"/>
      <c r="G26" s="57"/>
      <c r="H26" s="59"/>
      <c r="I26" s="59"/>
      <c r="J26" s="59"/>
      <c r="K26" s="59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5">
        <f t="shared" si="4"/>
        <v>0</v>
      </c>
      <c r="AJ26" s="26"/>
      <c r="AK26" s="19"/>
    </row>
    <row r="27" spans="1:38" ht="16.5" hidden="1" customHeight="1" x14ac:dyDescent="0.2">
      <c r="A27" s="19"/>
      <c r="B27" s="25"/>
      <c r="C27" s="50" t="s">
        <v>48</v>
      </c>
      <c r="D27" s="175"/>
      <c r="E27" s="57"/>
      <c r="F27" s="57"/>
      <c r="G27" s="57"/>
      <c r="H27" s="59"/>
      <c r="I27" s="59"/>
      <c r="J27" s="59"/>
      <c r="K27" s="59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5">
        <f t="shared" si="4"/>
        <v>0</v>
      </c>
      <c r="AJ27" s="26"/>
      <c r="AK27" s="19"/>
    </row>
    <row r="28" spans="1:38" ht="16.5" customHeight="1" x14ac:dyDescent="0.2">
      <c r="A28" s="19"/>
      <c r="B28" s="25"/>
      <c r="C28" s="61" t="s">
        <v>48</v>
      </c>
      <c r="D28" s="104" t="s">
        <v>59</v>
      </c>
      <c r="E28" s="66"/>
      <c r="F28" s="66"/>
      <c r="G28" s="66"/>
      <c r="H28" s="66"/>
      <c r="I28" s="66" t="s">
        <v>60</v>
      </c>
      <c r="J28" s="67"/>
      <c r="K28" s="67"/>
      <c r="L28" s="68">
        <f t="shared" ref="L28:Z28" si="5">SUM(L7:L27)</f>
        <v>6.5</v>
      </c>
      <c r="M28" s="68">
        <f t="shared" si="5"/>
        <v>9.5</v>
      </c>
      <c r="N28" s="68">
        <f t="shared" si="5"/>
        <v>12</v>
      </c>
      <c r="O28" s="68">
        <f t="shared" si="5"/>
        <v>12</v>
      </c>
      <c r="P28" s="68">
        <f t="shared" si="5"/>
        <v>12.95</v>
      </c>
      <c r="Q28" s="68">
        <f t="shared" si="5"/>
        <v>13</v>
      </c>
      <c r="R28" s="68">
        <f t="shared" si="5"/>
        <v>13</v>
      </c>
      <c r="S28" s="68">
        <f t="shared" si="5"/>
        <v>11</v>
      </c>
      <c r="T28" s="68">
        <f t="shared" si="5"/>
        <v>8</v>
      </c>
      <c r="U28" s="68">
        <f t="shared" si="5"/>
        <v>6</v>
      </c>
      <c r="V28" s="68">
        <f t="shared" si="5"/>
        <v>5</v>
      </c>
      <c r="W28" s="68">
        <f t="shared" si="5"/>
        <v>3</v>
      </c>
      <c r="X28" s="68">
        <f t="shared" si="5"/>
        <v>3</v>
      </c>
      <c r="Y28" s="68">
        <f t="shared" si="5"/>
        <v>3</v>
      </c>
      <c r="Z28" s="68">
        <f t="shared" si="5"/>
        <v>0.5</v>
      </c>
      <c r="AA28" s="68"/>
      <c r="AB28" s="68"/>
      <c r="AC28" s="68"/>
      <c r="AD28" s="68"/>
      <c r="AE28" s="68"/>
      <c r="AF28" s="68"/>
      <c r="AG28" s="68"/>
      <c r="AH28" s="68"/>
      <c r="AI28" s="69">
        <f>SUM(AI7:AI27)</f>
        <v>118.45</v>
      </c>
      <c r="AJ28" s="26"/>
      <c r="AK28" s="19"/>
    </row>
    <row r="29" spans="1:38" ht="4.5" customHeight="1" x14ac:dyDescent="0.2">
      <c r="A29" s="70"/>
      <c r="B29" s="71"/>
      <c r="C29" s="72"/>
      <c r="D29" s="73"/>
      <c r="E29" s="74"/>
      <c r="F29" s="74"/>
      <c r="G29" s="74"/>
      <c r="H29" s="76"/>
      <c r="I29" s="76"/>
      <c r="J29" s="76"/>
      <c r="K29" s="76"/>
      <c r="L29" s="74"/>
      <c r="M29" s="74"/>
      <c r="N29" s="74"/>
      <c r="O29" s="74"/>
      <c r="P29" s="74"/>
      <c r="Q29" s="74"/>
      <c r="R29" s="74"/>
      <c r="S29" s="74" t="s">
        <v>92</v>
      </c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8"/>
      <c r="AK29" s="70"/>
    </row>
    <row r="30" spans="1:38" ht="16.5" customHeight="1" x14ac:dyDescent="0.2">
      <c r="A30" s="19"/>
      <c r="B30" s="25"/>
      <c r="C30" s="38" t="s">
        <v>61</v>
      </c>
      <c r="D30" s="79" t="s">
        <v>53</v>
      </c>
      <c r="E30" s="51" t="s">
        <v>56</v>
      </c>
      <c r="F30" s="51" t="s">
        <v>5</v>
      </c>
      <c r="G30" s="105" t="s">
        <v>55</v>
      </c>
      <c r="H30" s="53">
        <v>45726</v>
      </c>
      <c r="I30" s="53">
        <v>46127</v>
      </c>
      <c r="J30" s="53"/>
      <c r="K30" s="53"/>
      <c r="L30" s="55"/>
      <c r="M30" s="55">
        <v>0.75</v>
      </c>
      <c r="N30" s="55">
        <v>1</v>
      </c>
      <c r="O30" s="55">
        <v>1</v>
      </c>
      <c r="P30" s="55">
        <v>1</v>
      </c>
      <c r="Q30" s="55">
        <v>1</v>
      </c>
      <c r="R30" s="55">
        <v>1</v>
      </c>
      <c r="S30" s="55">
        <v>1</v>
      </c>
      <c r="T30" s="55">
        <v>1</v>
      </c>
      <c r="U30" s="55">
        <v>1</v>
      </c>
      <c r="V30" s="55">
        <v>1</v>
      </c>
      <c r="W30" s="55">
        <v>1</v>
      </c>
      <c r="X30" s="55">
        <v>1</v>
      </c>
      <c r="Y30" s="55">
        <v>1</v>
      </c>
      <c r="Z30" s="55">
        <v>0.5</v>
      </c>
      <c r="AA30" s="44"/>
      <c r="AB30" s="44"/>
      <c r="AC30" s="44"/>
      <c r="AD30" s="44"/>
      <c r="AE30" s="44"/>
      <c r="AF30" s="44"/>
      <c r="AG30" s="44"/>
      <c r="AH30" s="44"/>
      <c r="AI30" s="45">
        <f t="shared" ref="AI30:AI38" si="6">SUM(L30:AH30)</f>
        <v>13.25</v>
      </c>
      <c r="AJ30" s="26"/>
      <c r="AK30" s="19"/>
    </row>
    <row r="31" spans="1:38" ht="16.5" customHeight="1" x14ac:dyDescent="0.2">
      <c r="A31" s="19"/>
      <c r="B31" s="25"/>
      <c r="C31" s="47"/>
      <c r="D31" s="173" t="s">
        <v>62</v>
      </c>
      <c r="E31" s="51" t="s">
        <v>56</v>
      </c>
      <c r="F31" s="51" t="s">
        <v>9</v>
      </c>
      <c r="G31" s="105" t="s">
        <v>55</v>
      </c>
      <c r="H31" s="53">
        <v>45726</v>
      </c>
      <c r="I31" s="53">
        <v>46127</v>
      </c>
      <c r="J31" s="53"/>
      <c r="K31" s="53"/>
      <c r="L31" s="55"/>
      <c r="M31" s="55">
        <v>0.75</v>
      </c>
      <c r="N31" s="55">
        <v>1</v>
      </c>
      <c r="O31" s="55">
        <v>1</v>
      </c>
      <c r="P31" s="55">
        <v>1</v>
      </c>
      <c r="Q31" s="55">
        <v>1</v>
      </c>
      <c r="R31" s="55">
        <v>1</v>
      </c>
      <c r="S31" s="55">
        <v>1</v>
      </c>
      <c r="T31" s="55">
        <v>1</v>
      </c>
      <c r="U31" s="55">
        <v>1</v>
      </c>
      <c r="V31" s="55">
        <v>1</v>
      </c>
      <c r="W31" s="55">
        <v>1</v>
      </c>
      <c r="X31" s="55">
        <v>1</v>
      </c>
      <c r="Y31" s="55">
        <v>1</v>
      </c>
      <c r="Z31" s="55">
        <v>0.5</v>
      </c>
      <c r="AA31" s="44"/>
      <c r="AB31" s="44"/>
      <c r="AC31" s="44"/>
      <c r="AD31" s="44"/>
      <c r="AE31" s="44"/>
      <c r="AF31" s="44"/>
      <c r="AG31" s="44"/>
      <c r="AH31" s="44"/>
      <c r="AI31" s="45">
        <f t="shared" si="6"/>
        <v>13.25</v>
      </c>
      <c r="AJ31" s="26"/>
      <c r="AK31" s="19"/>
    </row>
    <row r="32" spans="1:38" ht="16.5" customHeight="1" x14ac:dyDescent="0.2">
      <c r="A32" s="19"/>
      <c r="B32" s="25"/>
      <c r="C32" s="47"/>
      <c r="D32" s="174"/>
      <c r="E32" s="51" t="s">
        <v>56</v>
      </c>
      <c r="F32" s="51" t="s">
        <v>21</v>
      </c>
      <c r="G32" s="51" t="s">
        <v>50</v>
      </c>
      <c r="H32" s="53">
        <v>45748</v>
      </c>
      <c r="I32" s="53">
        <v>45991</v>
      </c>
      <c r="J32" s="53"/>
      <c r="K32" s="53"/>
      <c r="L32" s="55"/>
      <c r="M32" s="55"/>
      <c r="N32" s="55">
        <v>1</v>
      </c>
      <c r="O32" s="55">
        <v>1</v>
      </c>
      <c r="P32" s="55">
        <v>1</v>
      </c>
      <c r="Q32" s="55">
        <v>1</v>
      </c>
      <c r="R32" s="55">
        <v>1</v>
      </c>
      <c r="S32" s="55">
        <v>1</v>
      </c>
      <c r="T32" s="55">
        <v>1</v>
      </c>
      <c r="U32" s="55">
        <v>1</v>
      </c>
      <c r="V32" s="55"/>
      <c r="W32" s="55"/>
      <c r="X32" s="55"/>
      <c r="Y32" s="55"/>
      <c r="Z32" s="55"/>
      <c r="AA32" s="44"/>
      <c r="AB32" s="44"/>
      <c r="AC32" s="44"/>
      <c r="AD32" s="44"/>
      <c r="AE32" s="44"/>
      <c r="AF32" s="44"/>
      <c r="AG32" s="44"/>
      <c r="AH32" s="44"/>
      <c r="AI32" s="45">
        <f t="shared" si="6"/>
        <v>8</v>
      </c>
      <c r="AJ32" s="26"/>
      <c r="AK32" s="19"/>
    </row>
    <row r="33" spans="1:37" ht="16.5" customHeight="1" x14ac:dyDescent="0.2">
      <c r="A33" s="19"/>
      <c r="B33" s="25"/>
      <c r="C33" s="50" t="s">
        <v>61</v>
      </c>
      <c r="D33" s="174"/>
      <c r="E33" s="115" t="s">
        <v>58</v>
      </c>
      <c r="F33" s="115" t="s">
        <v>84</v>
      </c>
      <c r="G33" s="116" t="s">
        <v>55</v>
      </c>
      <c r="H33" s="117">
        <v>45810</v>
      </c>
      <c r="I33" s="117">
        <v>45915</v>
      </c>
      <c r="J33" s="117"/>
      <c r="K33" s="117"/>
      <c r="L33" s="118"/>
      <c r="M33" s="118"/>
      <c r="N33" s="118"/>
      <c r="O33" s="118"/>
      <c r="P33" s="118">
        <v>1</v>
      </c>
      <c r="Q33" s="118">
        <v>1</v>
      </c>
      <c r="R33" s="118">
        <v>1</v>
      </c>
      <c r="S33" s="118">
        <v>1</v>
      </c>
      <c r="T33" s="118"/>
      <c r="U33" s="118"/>
      <c r="V33" s="118"/>
      <c r="W33" s="118"/>
      <c r="X33" s="118"/>
      <c r="Y33" s="118"/>
      <c r="Z33" s="118"/>
      <c r="AA33" s="44"/>
      <c r="AB33" s="44"/>
      <c r="AC33" s="44"/>
      <c r="AD33" s="44"/>
      <c r="AE33" s="44"/>
      <c r="AF33" s="44"/>
      <c r="AG33" s="44"/>
      <c r="AH33" s="44"/>
      <c r="AI33" s="45">
        <f t="shared" si="6"/>
        <v>4</v>
      </c>
      <c r="AJ33" s="26"/>
      <c r="AK33" s="19"/>
    </row>
    <row r="34" spans="1:37" ht="16.5" customHeight="1" x14ac:dyDescent="0.2">
      <c r="A34" s="19"/>
      <c r="B34" s="25"/>
      <c r="C34" s="50" t="s">
        <v>61</v>
      </c>
      <c r="D34" s="174"/>
      <c r="E34" s="115" t="s">
        <v>58</v>
      </c>
      <c r="F34" s="115" t="s">
        <v>83</v>
      </c>
      <c r="G34" s="116" t="s">
        <v>55</v>
      </c>
      <c r="H34" s="117">
        <v>45810</v>
      </c>
      <c r="I34" s="117">
        <v>45915</v>
      </c>
      <c r="J34" s="117"/>
      <c r="K34" s="117"/>
      <c r="L34" s="118"/>
      <c r="M34" s="118"/>
      <c r="N34" s="118"/>
      <c r="O34" s="118"/>
      <c r="P34" s="118">
        <v>1</v>
      </c>
      <c r="Q34" s="118">
        <v>1</v>
      </c>
      <c r="R34" s="118">
        <v>1</v>
      </c>
      <c r="S34" s="118">
        <v>1</v>
      </c>
      <c r="T34" s="118"/>
      <c r="U34" s="118"/>
      <c r="V34" s="118"/>
      <c r="W34" s="118"/>
      <c r="X34" s="118"/>
      <c r="Y34" s="118"/>
      <c r="Z34" s="118"/>
      <c r="AA34" s="44"/>
      <c r="AB34" s="44"/>
      <c r="AC34" s="44"/>
      <c r="AD34" s="44"/>
      <c r="AE34" s="44"/>
      <c r="AF34" s="44"/>
      <c r="AG34" s="44"/>
      <c r="AH34" s="44"/>
      <c r="AI34" s="45">
        <f t="shared" si="6"/>
        <v>4</v>
      </c>
      <c r="AJ34" s="26"/>
      <c r="AK34" s="19"/>
    </row>
    <row r="35" spans="1:37" ht="16.5" customHeight="1" x14ac:dyDescent="0.2">
      <c r="A35" s="19"/>
      <c r="B35" s="25"/>
      <c r="C35" s="50" t="s">
        <v>61</v>
      </c>
      <c r="D35" s="174"/>
      <c r="E35" s="57" t="s">
        <v>58</v>
      </c>
      <c r="F35" s="57" t="s">
        <v>13</v>
      </c>
      <c r="G35" s="103" t="s">
        <v>55</v>
      </c>
      <c r="H35" s="59">
        <v>45726</v>
      </c>
      <c r="I35" s="59">
        <v>45731</v>
      </c>
      <c r="J35" s="59"/>
      <c r="K35" s="59"/>
      <c r="L35" s="44"/>
      <c r="M35" s="44">
        <v>0.75</v>
      </c>
      <c r="N35" s="44">
        <v>1</v>
      </c>
      <c r="O35" s="44">
        <v>1</v>
      </c>
      <c r="P35" s="44">
        <v>1</v>
      </c>
      <c r="Q35" s="44">
        <v>1</v>
      </c>
      <c r="R35" s="44">
        <v>1</v>
      </c>
      <c r="S35" s="44">
        <v>1</v>
      </c>
      <c r="T35" s="44">
        <v>1</v>
      </c>
      <c r="U35" s="44">
        <v>1</v>
      </c>
      <c r="V35" s="44">
        <v>1</v>
      </c>
      <c r="W35" s="44">
        <v>1</v>
      </c>
      <c r="X35" s="44">
        <v>1</v>
      </c>
      <c r="Y35" s="118">
        <v>0.5</v>
      </c>
      <c r="Z35" s="118"/>
      <c r="AA35" s="44"/>
      <c r="AB35" s="44"/>
      <c r="AC35" s="44"/>
      <c r="AD35" s="44"/>
      <c r="AE35" s="44"/>
      <c r="AF35" s="44"/>
      <c r="AG35" s="44"/>
      <c r="AH35" s="44"/>
      <c r="AI35" s="45">
        <f t="shared" si="6"/>
        <v>12.25</v>
      </c>
      <c r="AJ35" s="26"/>
      <c r="AK35" s="19"/>
    </row>
    <row r="36" spans="1:37" ht="16.5" customHeight="1" x14ac:dyDescent="0.2">
      <c r="A36" s="19"/>
      <c r="B36" s="25"/>
      <c r="C36" s="50" t="s">
        <v>61</v>
      </c>
      <c r="D36" s="174"/>
      <c r="E36" s="57" t="s">
        <v>58</v>
      </c>
      <c r="F36" s="57" t="s">
        <v>6</v>
      </c>
      <c r="G36" s="103" t="s">
        <v>55</v>
      </c>
      <c r="H36" s="59">
        <v>45748</v>
      </c>
      <c r="I36" s="59">
        <v>45961</v>
      </c>
      <c r="J36" s="59"/>
      <c r="K36" s="59"/>
      <c r="L36" s="44"/>
      <c r="M36" s="44"/>
      <c r="N36" s="44">
        <v>1</v>
      </c>
      <c r="O36" s="44">
        <v>1</v>
      </c>
      <c r="P36" s="44">
        <v>1</v>
      </c>
      <c r="Q36" s="44">
        <v>1</v>
      </c>
      <c r="R36" s="44">
        <v>1</v>
      </c>
      <c r="S36" s="44">
        <v>1</v>
      </c>
      <c r="T36" s="44">
        <v>1</v>
      </c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f t="shared" si="6"/>
        <v>7</v>
      </c>
      <c r="AJ36" s="26"/>
      <c r="AK36" s="19"/>
    </row>
    <row r="37" spans="1:37" ht="16.5" customHeight="1" x14ac:dyDescent="0.2">
      <c r="A37" s="19"/>
      <c r="B37" s="25"/>
      <c r="C37" s="50" t="s">
        <v>61</v>
      </c>
      <c r="D37" s="174"/>
      <c r="E37" s="57" t="s">
        <v>58</v>
      </c>
      <c r="F37" s="57" t="s">
        <v>17</v>
      </c>
      <c r="G37" s="103" t="s">
        <v>55</v>
      </c>
      <c r="H37" s="59">
        <v>45726</v>
      </c>
      <c r="I37" s="59">
        <v>45989</v>
      </c>
      <c r="J37" s="59"/>
      <c r="K37" s="59"/>
      <c r="L37" s="44"/>
      <c r="M37" s="44">
        <v>0.75</v>
      </c>
      <c r="N37" s="44">
        <v>1</v>
      </c>
      <c r="O37" s="44">
        <v>1</v>
      </c>
      <c r="P37" s="44">
        <v>1</v>
      </c>
      <c r="Q37" s="44">
        <v>1</v>
      </c>
      <c r="R37" s="44">
        <v>1</v>
      </c>
      <c r="S37" s="44">
        <v>1</v>
      </c>
      <c r="T37" s="44">
        <v>1</v>
      </c>
      <c r="U37" s="44">
        <v>1</v>
      </c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f t="shared" si="6"/>
        <v>8.75</v>
      </c>
      <c r="AJ37" s="26"/>
      <c r="AK37" s="19"/>
    </row>
    <row r="38" spans="1:37" ht="16.5" customHeight="1" x14ac:dyDescent="0.2">
      <c r="A38" s="19"/>
      <c r="B38" s="25"/>
      <c r="C38" s="50" t="s">
        <v>61</v>
      </c>
      <c r="D38" s="175"/>
      <c r="E38" s="57" t="s">
        <v>58</v>
      </c>
      <c r="F38" s="57" t="s">
        <v>10</v>
      </c>
      <c r="G38" s="103" t="s">
        <v>55</v>
      </c>
      <c r="H38" s="59">
        <v>45748</v>
      </c>
      <c r="I38" s="59">
        <v>45961</v>
      </c>
      <c r="J38" s="59"/>
      <c r="K38" s="59"/>
      <c r="L38" s="44"/>
      <c r="M38" s="44"/>
      <c r="N38" s="44">
        <v>1</v>
      </c>
      <c r="O38" s="44">
        <v>1</v>
      </c>
      <c r="P38" s="44">
        <v>1</v>
      </c>
      <c r="Q38" s="44">
        <v>1</v>
      </c>
      <c r="R38" s="44">
        <v>1</v>
      </c>
      <c r="S38" s="44">
        <v>1</v>
      </c>
      <c r="T38" s="44">
        <v>1</v>
      </c>
      <c r="U38" s="81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f t="shared" si="6"/>
        <v>7</v>
      </c>
      <c r="AJ38" s="26"/>
      <c r="AK38" s="19"/>
    </row>
    <row r="39" spans="1:37" ht="16.5" hidden="1" customHeight="1" x14ac:dyDescent="0.2">
      <c r="A39" s="19"/>
      <c r="B39" s="25"/>
      <c r="C39" s="50" t="s">
        <v>61</v>
      </c>
      <c r="D39" s="176"/>
      <c r="E39" s="57" t="s">
        <v>50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 x14ac:dyDescent="0.2">
      <c r="A40" s="19"/>
      <c r="B40" s="25"/>
      <c r="C40" s="50" t="s">
        <v>61</v>
      </c>
      <c r="D40" s="174"/>
      <c r="E40" s="57" t="s">
        <v>56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 x14ac:dyDescent="0.2">
      <c r="A41" s="19"/>
      <c r="B41" s="25"/>
      <c r="C41" s="50" t="s">
        <v>61</v>
      </c>
      <c r="D41" s="175"/>
      <c r="E41" s="57" t="s">
        <v>58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 x14ac:dyDescent="0.2">
      <c r="A42" s="19"/>
      <c r="B42" s="25"/>
      <c r="C42" s="50" t="s">
        <v>61</v>
      </c>
      <c r="D42" s="176"/>
      <c r="E42" s="57" t="s">
        <v>50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hidden="1" customHeight="1" x14ac:dyDescent="0.2">
      <c r="A43" s="19"/>
      <c r="B43" s="25"/>
      <c r="C43" s="50" t="s">
        <v>61</v>
      </c>
      <c r="D43" s="174"/>
      <c r="E43" s="57" t="s">
        <v>56</v>
      </c>
      <c r="F43" s="57"/>
      <c r="G43" s="60"/>
      <c r="H43" s="59"/>
      <c r="I43" s="59"/>
      <c r="J43" s="59"/>
      <c r="K43" s="59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5">
        <v>0</v>
      </c>
      <c r="AJ43" s="26"/>
      <c r="AK43" s="19"/>
    </row>
    <row r="44" spans="1:37" ht="16.5" hidden="1" customHeight="1" x14ac:dyDescent="0.2">
      <c r="A44" s="19"/>
      <c r="B44" s="25"/>
      <c r="C44" s="50" t="s">
        <v>61</v>
      </c>
      <c r="D44" s="175"/>
      <c r="E44" s="57" t="s">
        <v>58</v>
      </c>
      <c r="F44" s="57"/>
      <c r="G44" s="60"/>
      <c r="H44" s="59"/>
      <c r="I44" s="59"/>
      <c r="J44" s="59"/>
      <c r="K44" s="59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5">
        <v>0</v>
      </c>
      <c r="AJ44" s="26"/>
      <c r="AK44" s="19"/>
    </row>
    <row r="45" spans="1:37" ht="16.5" hidden="1" customHeight="1" x14ac:dyDescent="0.2">
      <c r="A45" s="19"/>
      <c r="B45" s="25"/>
      <c r="C45" s="50" t="s">
        <v>61</v>
      </c>
      <c r="D45" s="177" t="s">
        <v>63</v>
      </c>
      <c r="E45" s="57" t="s">
        <v>50</v>
      </c>
      <c r="F45" s="57"/>
      <c r="G45" s="60"/>
      <c r="H45" s="59"/>
      <c r="I45" s="59"/>
      <c r="J45" s="59"/>
      <c r="K45" s="59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5">
        <v>0</v>
      </c>
      <c r="AJ45" s="26"/>
      <c r="AK45" s="19"/>
    </row>
    <row r="46" spans="1:37" ht="16.5" hidden="1" customHeight="1" x14ac:dyDescent="0.2">
      <c r="A46" s="19"/>
      <c r="B46" s="25"/>
      <c r="C46" s="50" t="s">
        <v>61</v>
      </c>
      <c r="D46" s="174"/>
      <c r="E46" s="57" t="s">
        <v>56</v>
      </c>
      <c r="F46" s="57"/>
      <c r="G46" s="60"/>
      <c r="H46" s="59"/>
      <c r="I46" s="59"/>
      <c r="J46" s="59"/>
      <c r="K46" s="59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5">
        <v>0</v>
      </c>
      <c r="AJ46" s="26"/>
      <c r="AK46" s="19"/>
    </row>
    <row r="47" spans="1:37" ht="16.5" hidden="1" customHeight="1" x14ac:dyDescent="0.2">
      <c r="A47" s="19"/>
      <c r="B47" s="25"/>
      <c r="C47" s="50" t="s">
        <v>61</v>
      </c>
      <c r="D47" s="175"/>
      <c r="E47" s="57" t="s">
        <v>58</v>
      </c>
      <c r="F47" s="57"/>
      <c r="G47" s="60"/>
      <c r="H47" s="59"/>
      <c r="I47" s="59"/>
      <c r="J47" s="59"/>
      <c r="K47" s="59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5">
        <v>0</v>
      </c>
      <c r="AJ47" s="26"/>
      <c r="AK47" s="19"/>
    </row>
    <row r="48" spans="1:37" ht="16.5" customHeight="1" x14ac:dyDescent="0.2">
      <c r="A48" s="19"/>
      <c r="B48" s="25"/>
      <c r="C48" s="61" t="s">
        <v>61</v>
      </c>
      <c r="D48" s="104" t="s">
        <v>59</v>
      </c>
      <c r="E48" s="66"/>
      <c r="F48" s="66"/>
      <c r="G48" s="66" t="s">
        <v>76</v>
      </c>
      <c r="H48" s="66"/>
      <c r="I48" s="66" t="s">
        <v>60</v>
      </c>
      <c r="J48" s="67"/>
      <c r="K48" s="67"/>
      <c r="L48" s="68">
        <f t="shared" ref="L48:Z48" si="7">SUM(L30:L47)</f>
        <v>0</v>
      </c>
      <c r="M48" s="68">
        <f t="shared" si="7"/>
        <v>3</v>
      </c>
      <c r="N48" s="68">
        <f t="shared" si="7"/>
        <v>7</v>
      </c>
      <c r="O48" s="68">
        <f t="shared" si="7"/>
        <v>7</v>
      </c>
      <c r="P48" s="68">
        <f t="shared" si="7"/>
        <v>9</v>
      </c>
      <c r="Q48" s="68">
        <f t="shared" si="7"/>
        <v>9</v>
      </c>
      <c r="R48" s="68">
        <f t="shared" si="7"/>
        <v>9</v>
      </c>
      <c r="S48" s="68">
        <f t="shared" si="7"/>
        <v>9</v>
      </c>
      <c r="T48" s="68">
        <f t="shared" si="7"/>
        <v>7</v>
      </c>
      <c r="U48" s="68">
        <f t="shared" si="7"/>
        <v>5</v>
      </c>
      <c r="V48" s="68">
        <f t="shared" si="7"/>
        <v>3</v>
      </c>
      <c r="W48" s="68">
        <f t="shared" si="7"/>
        <v>3</v>
      </c>
      <c r="X48" s="68">
        <f t="shared" si="7"/>
        <v>3</v>
      </c>
      <c r="Y48" s="68">
        <f t="shared" si="7"/>
        <v>2.5</v>
      </c>
      <c r="Z48" s="68">
        <f t="shared" si="7"/>
        <v>1</v>
      </c>
      <c r="AA48" s="68"/>
      <c r="AB48" s="68"/>
      <c r="AC48" s="68"/>
      <c r="AD48" s="68"/>
      <c r="AE48" s="68"/>
      <c r="AF48" s="68"/>
      <c r="AG48" s="68"/>
      <c r="AH48" s="68"/>
      <c r="AI48" s="69">
        <f>SUM(AI30:AI47)</f>
        <v>77.5</v>
      </c>
      <c r="AJ48" s="26"/>
      <c r="AK48" s="19"/>
    </row>
    <row r="49" spans="1:37" ht="4.5" customHeight="1" x14ac:dyDescent="0.2">
      <c r="A49" s="70"/>
      <c r="B49" s="71"/>
      <c r="C49" s="72"/>
      <c r="D49" s="73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8"/>
      <c r="AK49" s="70"/>
    </row>
    <row r="50" spans="1:37" ht="16.5" customHeight="1" x14ac:dyDescent="0.2">
      <c r="A50" s="19"/>
      <c r="B50" s="25"/>
      <c r="C50" s="178" t="s">
        <v>59</v>
      </c>
      <c r="D50" s="179"/>
      <c r="E50" s="180"/>
      <c r="F50" s="84"/>
      <c r="G50" s="85"/>
      <c r="H50" s="85"/>
      <c r="I50" s="85" t="s">
        <v>64</v>
      </c>
      <c r="J50" s="86"/>
      <c r="K50" s="86"/>
      <c r="L50" s="68">
        <f t="shared" ref="L50:Z50" si="8">L28+L48</f>
        <v>6.5</v>
      </c>
      <c r="M50" s="68">
        <f t="shared" si="8"/>
        <v>12.5</v>
      </c>
      <c r="N50" s="68">
        <f t="shared" si="8"/>
        <v>19</v>
      </c>
      <c r="O50" s="68">
        <f t="shared" si="8"/>
        <v>19</v>
      </c>
      <c r="P50" s="68">
        <f t="shared" si="8"/>
        <v>21.95</v>
      </c>
      <c r="Q50" s="68">
        <f t="shared" si="8"/>
        <v>22</v>
      </c>
      <c r="R50" s="68">
        <f t="shared" si="8"/>
        <v>22</v>
      </c>
      <c r="S50" s="68">
        <f t="shared" si="8"/>
        <v>20</v>
      </c>
      <c r="T50" s="68">
        <f t="shared" si="8"/>
        <v>15</v>
      </c>
      <c r="U50" s="68">
        <f t="shared" si="8"/>
        <v>11</v>
      </c>
      <c r="V50" s="68">
        <f t="shared" si="8"/>
        <v>8</v>
      </c>
      <c r="W50" s="68">
        <f t="shared" si="8"/>
        <v>6</v>
      </c>
      <c r="X50" s="68">
        <f t="shared" si="8"/>
        <v>6</v>
      </c>
      <c r="Y50" s="68">
        <f t="shared" si="8"/>
        <v>5.5</v>
      </c>
      <c r="Z50" s="68">
        <f t="shared" si="8"/>
        <v>1.5</v>
      </c>
      <c r="AA50" s="68"/>
      <c r="AB50" s="68"/>
      <c r="AC50" s="68"/>
      <c r="AD50" s="68"/>
      <c r="AE50" s="68"/>
      <c r="AF50" s="68"/>
      <c r="AG50" s="68"/>
      <c r="AH50" s="68"/>
      <c r="AI50" s="69">
        <f>AI28+AI48</f>
        <v>195.95</v>
      </c>
      <c r="AJ50" s="26"/>
      <c r="AK50" s="19"/>
    </row>
    <row r="51" spans="1:37" ht="16.5" customHeight="1" thickBot="1" x14ac:dyDescent="0.25">
      <c r="A51" s="19"/>
      <c r="B51" s="87"/>
      <c r="C51" s="88"/>
      <c r="D51" s="88"/>
      <c r="E51" s="89"/>
      <c r="F51" s="89"/>
      <c r="G51" s="89"/>
      <c r="H51" s="89"/>
      <c r="I51" s="88"/>
      <c r="J51" s="88"/>
      <c r="K51" s="90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91"/>
      <c r="AK51" s="19"/>
    </row>
    <row r="52" spans="1:37" ht="16.5" customHeight="1" x14ac:dyDescent="0.2">
      <c r="C52" s="106"/>
    </row>
    <row r="53" spans="1:37" ht="27.75" customHeight="1" x14ac:dyDescent="0.2">
      <c r="A53" s="19"/>
      <c r="B53" s="19"/>
      <c r="C53" s="19"/>
      <c r="D53" s="19"/>
      <c r="E53" s="2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0"/>
      <c r="R53" s="20"/>
      <c r="S53" s="92" t="s">
        <v>65</v>
      </c>
      <c r="X53" s="92" t="s">
        <v>66</v>
      </c>
      <c r="AJ53" s="19"/>
      <c r="AK53" s="19"/>
    </row>
    <row r="54" spans="1:37" ht="16.5" customHeight="1" x14ac:dyDescent="0.2">
      <c r="A54" s="19"/>
      <c r="B54" s="1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0"/>
      <c r="R54" s="20"/>
      <c r="S54" s="93" t="s">
        <v>67</v>
      </c>
      <c r="T54" s="94" t="s">
        <v>68</v>
      </c>
      <c r="U54" s="93" t="s">
        <v>69</v>
      </c>
      <c r="V54" s="93" t="s">
        <v>59</v>
      </c>
      <c r="W54" s="107" t="s">
        <v>79</v>
      </c>
      <c r="X54" s="190" t="s">
        <v>70</v>
      </c>
      <c r="Y54" s="172"/>
      <c r="Z54" s="95">
        <v>172</v>
      </c>
      <c r="AA54" s="108"/>
      <c r="AB54" s="108"/>
      <c r="AC54" s="108"/>
      <c r="AD54" s="108"/>
      <c r="AE54" s="108"/>
      <c r="AF54" s="108"/>
      <c r="AG54" s="108"/>
      <c r="AH54" s="108"/>
      <c r="AJ54" s="19"/>
      <c r="AK54" s="19"/>
    </row>
    <row r="55" spans="1:37" ht="16.5" customHeight="1" x14ac:dyDescent="0.2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166" t="s">
        <v>52</v>
      </c>
      <c r="T55" s="96" t="s">
        <v>50</v>
      </c>
      <c r="U55" s="95">
        <f>SUMIF($E$7:$E$24,"고급",$AI$7:$AI$24)</f>
        <v>73.45</v>
      </c>
      <c r="V55" s="169">
        <f>SUM(U55:U57)</f>
        <v>118.45</v>
      </c>
      <c r="W55" s="107">
        <f>'250117 (제출본-최초)'!$U$46-U55</f>
        <v>-18.450000000000003</v>
      </c>
      <c r="X55" s="189" t="s">
        <v>80</v>
      </c>
      <c r="Y55" s="172"/>
      <c r="Z55" s="95">
        <f>204.5-Z54</f>
        <v>32.5</v>
      </c>
      <c r="AA55" s="109"/>
      <c r="AB55" s="109"/>
      <c r="AC55" s="109"/>
      <c r="AD55" s="109"/>
      <c r="AE55" s="109"/>
      <c r="AF55" s="109"/>
      <c r="AG55" s="109"/>
      <c r="AH55" s="109"/>
    </row>
    <row r="56" spans="1:37" ht="16.5" customHeight="1" x14ac:dyDescent="0.2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S56" s="167"/>
      <c r="T56" s="96" t="s">
        <v>56</v>
      </c>
      <c r="U56" s="95">
        <f>SUMIF($E$7:$E$24,"중급",$AI$7:$AI$24)</f>
        <v>29</v>
      </c>
      <c r="V56" s="167"/>
      <c r="W56" s="107">
        <f>'250117 (제출본-최초)'!$U$47-U56</f>
        <v>-4</v>
      </c>
      <c r="X56" s="189" t="s">
        <v>72</v>
      </c>
      <c r="Y56" s="172"/>
      <c r="Z56" s="95">
        <v>204.5</v>
      </c>
      <c r="AA56" s="109"/>
      <c r="AB56" s="109"/>
      <c r="AC56" s="109"/>
      <c r="AD56" s="109"/>
      <c r="AE56" s="109"/>
      <c r="AF56" s="109"/>
      <c r="AG56" s="109"/>
      <c r="AH56" s="109"/>
    </row>
    <row r="57" spans="1:37" ht="16.5" customHeight="1" x14ac:dyDescent="0.2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S57" s="168"/>
      <c r="T57" s="96" t="s">
        <v>58</v>
      </c>
      <c r="U57" s="95">
        <f>SUMIF($E$7:$E$24,"초급",$AI$7:$AI$24)</f>
        <v>16</v>
      </c>
      <c r="V57" s="168"/>
      <c r="W57" s="107">
        <f>'250117 (제출본-최초)'!$U$48-U57</f>
        <v>3</v>
      </c>
      <c r="AA57" s="109"/>
      <c r="AB57" s="109"/>
      <c r="AC57" s="109"/>
      <c r="AD57" s="109"/>
      <c r="AE57" s="109"/>
      <c r="AF57" s="109"/>
      <c r="AG57" s="109"/>
      <c r="AH57" s="109"/>
    </row>
    <row r="58" spans="1:37" ht="16.5" customHeight="1" x14ac:dyDescent="0.2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S58" s="166" t="s">
        <v>61</v>
      </c>
      <c r="T58" s="96" t="s">
        <v>50</v>
      </c>
      <c r="U58" s="95">
        <f>SUMIF($E$28:$E$38,"고급",$AI$28:$AI$38)</f>
        <v>0</v>
      </c>
      <c r="V58" s="169">
        <f>SUM(U58:U60)</f>
        <v>77.5</v>
      </c>
      <c r="W58" s="107">
        <f>'250117 (제출본-최초)'!$U$49-U58</f>
        <v>0</v>
      </c>
    </row>
    <row r="59" spans="1:37" ht="16.5" customHeight="1" x14ac:dyDescent="0.2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S59" s="167"/>
      <c r="T59" s="96" t="s">
        <v>56</v>
      </c>
      <c r="U59" s="95">
        <f>SUMIF($E$28:$E$38,"중급",$AI$28:$AI$38)</f>
        <v>34.5</v>
      </c>
      <c r="V59" s="167"/>
      <c r="W59" s="107">
        <f>'250117 (제출본-최초)'!$U$50-U59</f>
        <v>2.5</v>
      </c>
    </row>
    <row r="60" spans="1:37" ht="16.5" customHeight="1" x14ac:dyDescent="0.2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S60" s="168"/>
      <c r="T60" s="96" t="s">
        <v>58</v>
      </c>
      <c r="U60" s="95">
        <f>SUMIF($E$28:$E$38,"초급",$AI$28:$AI$38)</f>
        <v>43</v>
      </c>
      <c r="V60" s="168"/>
      <c r="W60" s="107">
        <f>'250117 (제출본-최초)'!$U$51-U60</f>
        <v>-7</v>
      </c>
    </row>
    <row r="61" spans="1:37" ht="16.5" customHeight="1" x14ac:dyDescent="0.2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S61" s="170" t="s">
        <v>73</v>
      </c>
      <c r="T61" s="171"/>
      <c r="U61" s="172"/>
      <c r="V61" s="97">
        <f t="shared" ref="V61:W61" si="9">SUM(V55:V60)</f>
        <v>195.95</v>
      </c>
      <c r="W61" s="107">
        <f t="shared" si="9"/>
        <v>-23.950000000000003</v>
      </c>
    </row>
    <row r="62" spans="1:37" ht="16.5" customHeight="1" x14ac:dyDescent="0.2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S62" s="170" t="s">
        <v>81</v>
      </c>
      <c r="T62" s="171"/>
      <c r="U62" s="172"/>
      <c r="V62" s="97">
        <f>Z56-V61</f>
        <v>8.5500000000000114</v>
      </c>
    </row>
    <row r="63" spans="1:37" ht="16.5" customHeight="1" x14ac:dyDescent="0.2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37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  <row r="1001" ht="16.5" customHeight="1" x14ac:dyDescent="0.2"/>
    <row r="1002" ht="16.5" customHeight="1" x14ac:dyDescent="0.2"/>
    <row r="1003" ht="16.5" customHeight="1" x14ac:dyDescent="0.2"/>
    <row r="1004" ht="16.5" customHeight="1" x14ac:dyDescent="0.2"/>
  </sheetData>
  <mergeCells count="20">
    <mergeCell ref="S61:U61"/>
    <mergeCell ref="S62:U62"/>
    <mergeCell ref="C7:C8"/>
    <mergeCell ref="S55:S57"/>
    <mergeCell ref="V55:V57"/>
    <mergeCell ref="X55:Y55"/>
    <mergeCell ref="X56:Y56"/>
    <mergeCell ref="S58:S60"/>
    <mergeCell ref="V58:V60"/>
    <mergeCell ref="D31:D38"/>
    <mergeCell ref="D39:D41"/>
    <mergeCell ref="D42:D44"/>
    <mergeCell ref="D45:D47"/>
    <mergeCell ref="C50:E50"/>
    <mergeCell ref="X54:Y54"/>
    <mergeCell ref="C3:AI3"/>
    <mergeCell ref="C4:D4"/>
    <mergeCell ref="L5:M5"/>
    <mergeCell ref="N5:W5"/>
    <mergeCell ref="D25:D27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0469-3EED-F94D-A3A5-F22A47B567E2}">
  <dimension ref="A1:AO1006"/>
  <sheetViews>
    <sheetView showGridLines="0" tabSelected="1" topLeftCell="D5" zoomScale="80" zoomScaleNormal="80" workbookViewId="0">
      <selection activeCell="AQ12" sqref="AQ12"/>
    </sheetView>
  </sheetViews>
  <sheetFormatPr baseColWidth="10" defaultColWidth="14.5" defaultRowHeight="15" customHeight="1" x14ac:dyDescent="0.2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  <col min="40" max="40" width="61.33203125" customWidth="1"/>
    <col min="41" max="41" width="21.83203125" customWidth="1"/>
  </cols>
  <sheetData>
    <row r="1" spans="1:41" ht="16.5" customHeight="1" thickBot="1" x14ac:dyDescent="0.25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41" ht="16.5" customHeight="1" x14ac:dyDescent="0.2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41" ht="33" thickBot="1" x14ac:dyDescent="0.25">
      <c r="A3" s="19"/>
      <c r="B3" s="25"/>
      <c r="C3" s="183" t="s">
        <v>22</v>
      </c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5"/>
      <c r="AJ3" s="26"/>
      <c r="AK3" s="19"/>
    </row>
    <row r="4" spans="1:41" ht="80.25" customHeight="1" x14ac:dyDescent="0.2">
      <c r="A4" s="19"/>
      <c r="B4" s="25"/>
      <c r="C4" s="191">
        <v>45842</v>
      </c>
      <c r="D4" s="15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41" ht="16.5" customHeight="1" x14ac:dyDescent="0.2">
      <c r="A5" s="19"/>
      <c r="B5" s="25"/>
      <c r="C5" s="29" t="s">
        <v>74</v>
      </c>
      <c r="D5" s="29"/>
      <c r="E5" s="30"/>
      <c r="F5" s="30"/>
      <c r="G5" s="30"/>
      <c r="H5" s="30"/>
      <c r="I5" s="30"/>
      <c r="J5" s="30"/>
      <c r="K5" s="31"/>
      <c r="L5" s="187"/>
      <c r="M5" s="188"/>
      <c r="N5" s="187"/>
      <c r="O5" s="188"/>
      <c r="P5" s="188"/>
      <c r="Q5" s="188"/>
      <c r="R5" s="188"/>
      <c r="S5" s="188"/>
      <c r="T5" s="188"/>
      <c r="U5" s="188"/>
      <c r="V5" s="188"/>
      <c r="W5" s="188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41" ht="30" x14ac:dyDescent="0.2">
      <c r="A6" s="19"/>
      <c r="B6" s="25"/>
      <c r="C6" s="98" t="s">
        <v>23</v>
      </c>
      <c r="D6" s="98" t="s">
        <v>24</v>
      </c>
      <c r="E6" s="99" t="s">
        <v>25</v>
      </c>
      <c r="F6" s="99" t="s">
        <v>26</v>
      </c>
      <c r="G6" s="99" t="s">
        <v>27</v>
      </c>
      <c r="H6" s="99" t="s">
        <v>28</v>
      </c>
      <c r="I6" s="99" t="s">
        <v>29</v>
      </c>
      <c r="J6" s="99" t="s">
        <v>30</v>
      </c>
      <c r="K6" s="99" t="s">
        <v>31</v>
      </c>
      <c r="L6" s="100" t="s">
        <v>32</v>
      </c>
      <c r="M6" s="100" t="s">
        <v>33</v>
      </c>
      <c r="N6" s="100" t="s">
        <v>34</v>
      </c>
      <c r="O6" s="100" t="s">
        <v>35</v>
      </c>
      <c r="P6" s="100" t="s">
        <v>36</v>
      </c>
      <c r="Q6" s="100" t="s">
        <v>37</v>
      </c>
      <c r="R6" s="100" t="s">
        <v>38</v>
      </c>
      <c r="S6" s="100" t="s">
        <v>39</v>
      </c>
      <c r="T6" s="100" t="s">
        <v>40</v>
      </c>
      <c r="U6" s="100" t="s">
        <v>41</v>
      </c>
      <c r="V6" s="100" t="s">
        <v>42</v>
      </c>
      <c r="W6" s="100" t="s">
        <v>43</v>
      </c>
      <c r="X6" s="100" t="s">
        <v>44</v>
      </c>
      <c r="Y6" s="100" t="s">
        <v>45</v>
      </c>
      <c r="Z6" s="100" t="s">
        <v>46</v>
      </c>
      <c r="AA6" s="100"/>
      <c r="AB6" s="100"/>
      <c r="AC6" s="100"/>
      <c r="AD6" s="100"/>
      <c r="AE6" s="100"/>
      <c r="AF6" s="100"/>
      <c r="AG6" s="100"/>
      <c r="AH6" s="100"/>
      <c r="AI6" s="101" t="s">
        <v>47</v>
      </c>
      <c r="AJ6" s="26"/>
      <c r="AK6" s="19"/>
    </row>
    <row r="7" spans="1:41" ht="16.5" customHeight="1" x14ac:dyDescent="0.2">
      <c r="A7" s="19"/>
      <c r="B7" s="25"/>
      <c r="C7" s="193" t="s">
        <v>48</v>
      </c>
      <c r="D7" s="39" t="s">
        <v>49</v>
      </c>
      <c r="E7" s="127" t="s">
        <v>50</v>
      </c>
      <c r="F7" s="127" t="s">
        <v>4</v>
      </c>
      <c r="G7" s="127" t="s">
        <v>51</v>
      </c>
      <c r="H7" s="128">
        <v>45691</v>
      </c>
      <c r="I7" s="128">
        <v>45838</v>
      </c>
      <c r="J7" s="128"/>
      <c r="K7" s="128"/>
      <c r="L7" s="129">
        <v>1</v>
      </c>
      <c r="M7" s="129">
        <v>1</v>
      </c>
      <c r="N7" s="129">
        <v>1</v>
      </c>
      <c r="O7" s="129">
        <v>1</v>
      </c>
      <c r="P7" s="129">
        <v>0.75</v>
      </c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44"/>
      <c r="AB7" s="44"/>
      <c r="AC7" s="44"/>
      <c r="AD7" s="44"/>
      <c r="AE7" s="44"/>
      <c r="AF7" s="44"/>
      <c r="AG7" s="44"/>
      <c r="AH7" s="44"/>
      <c r="AI7" s="45">
        <f t="shared" ref="AI7:AI20" si="0">SUM(L7:AH7)</f>
        <v>4.75</v>
      </c>
      <c r="AJ7" s="26"/>
      <c r="AK7" s="19"/>
      <c r="AM7" s="195" t="s">
        <v>96</v>
      </c>
    </row>
    <row r="8" spans="1:41" ht="16.5" customHeight="1" x14ac:dyDescent="0.2">
      <c r="A8" s="19"/>
      <c r="B8" s="25"/>
      <c r="C8" s="194"/>
      <c r="D8" s="39" t="s">
        <v>49</v>
      </c>
      <c r="E8" s="127" t="s">
        <v>50</v>
      </c>
      <c r="F8" s="127" t="s">
        <v>3</v>
      </c>
      <c r="G8" s="127" t="s">
        <v>51</v>
      </c>
      <c r="H8" s="128">
        <v>45705</v>
      </c>
      <c r="I8" s="128">
        <v>46127</v>
      </c>
      <c r="J8" s="128"/>
      <c r="K8" s="128"/>
      <c r="L8" s="129">
        <v>0.5</v>
      </c>
      <c r="M8" s="129">
        <v>1</v>
      </c>
      <c r="N8" s="129">
        <v>1</v>
      </c>
      <c r="O8" s="129">
        <v>1</v>
      </c>
      <c r="P8" s="129">
        <v>1</v>
      </c>
      <c r="Q8" s="129">
        <v>1</v>
      </c>
      <c r="R8" s="129">
        <v>1</v>
      </c>
      <c r="S8" s="129">
        <v>1</v>
      </c>
      <c r="T8" s="129">
        <v>1</v>
      </c>
      <c r="U8" s="129">
        <v>1</v>
      </c>
      <c r="V8" s="129">
        <v>1</v>
      </c>
      <c r="W8" s="129">
        <v>1</v>
      </c>
      <c r="X8" s="129">
        <v>1</v>
      </c>
      <c r="Y8" s="129">
        <v>1</v>
      </c>
      <c r="Z8" s="129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  <c r="AM8" s="196" t="s">
        <v>97</v>
      </c>
      <c r="AN8" s="197" t="s">
        <v>98</v>
      </c>
      <c r="AO8" s="197" t="s">
        <v>99</v>
      </c>
    </row>
    <row r="9" spans="1:41" ht="16.5" customHeight="1" x14ac:dyDescent="0.2">
      <c r="A9" s="19"/>
      <c r="B9" s="25"/>
      <c r="C9" s="38" t="s">
        <v>52</v>
      </c>
      <c r="D9" s="39" t="s">
        <v>90</v>
      </c>
      <c r="E9" s="127" t="s">
        <v>50</v>
      </c>
      <c r="F9" s="127" t="s">
        <v>20</v>
      </c>
      <c r="G9" s="130" t="s">
        <v>50</v>
      </c>
      <c r="H9" s="128">
        <v>45733</v>
      </c>
      <c r="I9" s="128">
        <v>46127</v>
      </c>
      <c r="J9" s="128"/>
      <c r="K9" s="128"/>
      <c r="L9" s="129"/>
      <c r="M9" s="129">
        <v>0.5</v>
      </c>
      <c r="N9" s="129">
        <v>1</v>
      </c>
      <c r="O9" s="129">
        <v>1</v>
      </c>
      <c r="P9" s="129">
        <v>1</v>
      </c>
      <c r="Q9" s="129">
        <v>1</v>
      </c>
      <c r="R9" s="129">
        <v>1</v>
      </c>
      <c r="S9" s="131">
        <v>1</v>
      </c>
      <c r="T9" s="129">
        <v>1</v>
      </c>
      <c r="U9" s="129">
        <v>1</v>
      </c>
      <c r="V9" s="129">
        <v>1</v>
      </c>
      <c r="W9" s="129">
        <v>1</v>
      </c>
      <c r="X9" s="129">
        <v>1</v>
      </c>
      <c r="Y9" s="129">
        <v>1</v>
      </c>
      <c r="Z9" s="145"/>
      <c r="AA9" s="44"/>
      <c r="AB9" s="44"/>
      <c r="AC9" s="44"/>
      <c r="AD9" s="44"/>
      <c r="AE9" s="44"/>
      <c r="AF9" s="44"/>
      <c r="AG9" s="44"/>
      <c r="AH9" s="44"/>
      <c r="AI9" s="45">
        <f>SUM(L9:AH9)</f>
        <v>12.5</v>
      </c>
      <c r="AJ9" s="26"/>
      <c r="AK9" s="19"/>
      <c r="AM9" s="198"/>
      <c r="AN9" s="197" t="s">
        <v>100</v>
      </c>
      <c r="AO9" s="197"/>
    </row>
    <row r="10" spans="1:41" ht="16.5" customHeight="1" x14ac:dyDescent="0.2">
      <c r="A10" s="19"/>
      <c r="B10" s="25"/>
      <c r="C10" s="50" t="s">
        <v>48</v>
      </c>
      <c r="D10" s="39" t="s">
        <v>90</v>
      </c>
      <c r="E10" s="127" t="s">
        <v>50</v>
      </c>
      <c r="F10" s="127" t="s">
        <v>14</v>
      </c>
      <c r="G10" s="130" t="s">
        <v>51</v>
      </c>
      <c r="H10" s="128">
        <v>45748</v>
      </c>
      <c r="I10" s="128">
        <v>46127</v>
      </c>
      <c r="J10" s="128"/>
      <c r="K10" s="128"/>
      <c r="L10" s="129"/>
      <c r="M10" s="129"/>
      <c r="N10" s="129">
        <v>1</v>
      </c>
      <c r="O10" s="129">
        <v>1</v>
      </c>
      <c r="P10" s="129">
        <v>1</v>
      </c>
      <c r="Q10" s="129">
        <v>1</v>
      </c>
      <c r="R10" s="129">
        <v>1</v>
      </c>
      <c r="S10" s="129">
        <v>1</v>
      </c>
      <c r="T10" s="131">
        <v>1</v>
      </c>
      <c r="U10" s="129">
        <v>1</v>
      </c>
      <c r="V10" s="129">
        <v>1</v>
      </c>
      <c r="W10" s="129">
        <v>1</v>
      </c>
      <c r="X10" s="129">
        <v>1</v>
      </c>
      <c r="Y10" s="129">
        <v>1</v>
      </c>
      <c r="Z10" s="145"/>
      <c r="AA10" s="44"/>
      <c r="AB10" s="44"/>
      <c r="AC10" s="44"/>
      <c r="AD10" s="44"/>
      <c r="AE10" s="44"/>
      <c r="AF10" s="44"/>
      <c r="AG10" s="44"/>
      <c r="AH10" s="44"/>
      <c r="AI10" s="45">
        <f>SUM(L10:AH10)</f>
        <v>12</v>
      </c>
      <c r="AJ10" s="26"/>
      <c r="AK10" s="19"/>
      <c r="AM10" s="198"/>
      <c r="AN10" s="197" t="s">
        <v>101</v>
      </c>
      <c r="AO10" s="197"/>
    </row>
    <row r="11" spans="1:41" ht="16.5" customHeight="1" x14ac:dyDescent="0.2">
      <c r="A11" s="19"/>
      <c r="B11" s="25"/>
      <c r="C11" s="47"/>
      <c r="D11" s="39" t="s">
        <v>88</v>
      </c>
      <c r="E11" s="127" t="s">
        <v>50</v>
      </c>
      <c r="F11" s="127" t="s">
        <v>7</v>
      </c>
      <c r="G11" s="130" t="s">
        <v>51</v>
      </c>
      <c r="H11" s="128">
        <v>45691</v>
      </c>
      <c r="I11" s="128">
        <v>45991</v>
      </c>
      <c r="J11" s="128"/>
      <c r="K11" s="128"/>
      <c r="L11" s="129">
        <v>1</v>
      </c>
      <c r="M11" s="129">
        <v>1</v>
      </c>
      <c r="N11" s="129">
        <v>1</v>
      </c>
      <c r="O11" s="129">
        <v>1</v>
      </c>
      <c r="P11" s="129">
        <v>1</v>
      </c>
      <c r="Q11" s="129">
        <v>1</v>
      </c>
      <c r="R11" s="129">
        <v>1</v>
      </c>
      <c r="S11" s="129">
        <v>1</v>
      </c>
      <c r="T11" s="129">
        <v>1</v>
      </c>
      <c r="U11" s="131">
        <v>1</v>
      </c>
      <c r="V11" s="145"/>
      <c r="W11" s="145"/>
      <c r="X11" s="145"/>
      <c r="Y11" s="145"/>
      <c r="Z11" s="145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10</v>
      </c>
      <c r="AJ11" s="26"/>
      <c r="AK11" s="19"/>
      <c r="AM11" s="199"/>
      <c r="AN11" s="197" t="s">
        <v>102</v>
      </c>
      <c r="AO11" s="197"/>
    </row>
    <row r="12" spans="1:41" ht="16.5" customHeight="1" x14ac:dyDescent="0.2">
      <c r="A12" s="19"/>
      <c r="B12" s="25"/>
      <c r="C12" s="47"/>
      <c r="D12" s="39"/>
      <c r="E12" s="127" t="s">
        <v>50</v>
      </c>
      <c r="F12" s="127" t="s">
        <v>91</v>
      </c>
      <c r="G12" s="130" t="s">
        <v>51</v>
      </c>
      <c r="H12" s="128">
        <v>45691</v>
      </c>
      <c r="I12" s="128">
        <v>45930</v>
      </c>
      <c r="J12" s="128"/>
      <c r="K12" s="128"/>
      <c r="L12" s="129">
        <v>1</v>
      </c>
      <c r="M12" s="129">
        <v>1</v>
      </c>
      <c r="N12" s="129">
        <v>1</v>
      </c>
      <c r="O12" s="129">
        <v>1</v>
      </c>
      <c r="P12" s="129">
        <v>1</v>
      </c>
      <c r="Q12" s="129">
        <v>1</v>
      </c>
      <c r="R12" s="129">
        <v>1</v>
      </c>
      <c r="S12" s="122"/>
      <c r="T12" s="145"/>
      <c r="U12" s="145"/>
      <c r="V12" s="145"/>
      <c r="W12" s="145"/>
      <c r="X12" s="145"/>
      <c r="Y12" s="145"/>
      <c r="Z12" s="145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7</v>
      </c>
      <c r="AJ12" s="26"/>
      <c r="AK12" s="19"/>
      <c r="AM12" s="196" t="s">
        <v>103</v>
      </c>
      <c r="AN12" s="197" t="s">
        <v>100</v>
      </c>
      <c r="AO12" s="197"/>
    </row>
    <row r="13" spans="1:41" ht="16.5" customHeight="1" x14ac:dyDescent="0.2">
      <c r="A13" s="19"/>
      <c r="B13" s="25"/>
      <c r="C13" s="50" t="s">
        <v>48</v>
      </c>
      <c r="D13" s="39"/>
      <c r="E13" s="127" t="s">
        <v>50</v>
      </c>
      <c r="F13" s="127" t="s">
        <v>82</v>
      </c>
      <c r="G13" s="130" t="s">
        <v>51</v>
      </c>
      <c r="H13" s="128">
        <v>45810</v>
      </c>
      <c r="I13" s="128">
        <v>45813</v>
      </c>
      <c r="J13" s="128"/>
      <c r="K13" s="128"/>
      <c r="L13" s="129"/>
      <c r="M13" s="129"/>
      <c r="N13" s="129"/>
      <c r="O13" s="129"/>
      <c r="P13" s="129">
        <v>0.25</v>
      </c>
      <c r="Q13" s="129"/>
      <c r="R13" s="129"/>
      <c r="S13" s="129"/>
      <c r="T13" s="129"/>
      <c r="U13" s="129"/>
      <c r="V13" s="129"/>
      <c r="W13" s="129"/>
      <c r="X13" s="132"/>
      <c r="Y13" s="132"/>
      <c r="Z13" s="132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0.25</v>
      </c>
      <c r="AJ13" s="26"/>
      <c r="AK13" s="19"/>
      <c r="AM13" s="199"/>
      <c r="AN13" s="197" t="s">
        <v>101</v>
      </c>
      <c r="AO13" s="197"/>
    </row>
    <row r="14" spans="1:41" ht="16.5" customHeight="1" x14ac:dyDescent="0.2">
      <c r="A14" s="19"/>
      <c r="B14" s="25"/>
      <c r="C14" s="50" t="s">
        <v>48</v>
      </c>
      <c r="D14" s="39"/>
      <c r="E14" s="127" t="s">
        <v>50</v>
      </c>
      <c r="F14" s="127" t="s">
        <v>87</v>
      </c>
      <c r="G14" s="130" t="s">
        <v>89</v>
      </c>
      <c r="H14" s="128">
        <v>45824</v>
      </c>
      <c r="I14" s="128">
        <v>45900</v>
      </c>
      <c r="J14" s="128"/>
      <c r="K14" s="128"/>
      <c r="L14" s="129"/>
      <c r="M14" s="129"/>
      <c r="N14" s="129"/>
      <c r="O14" s="129"/>
      <c r="P14" s="129">
        <v>0.5</v>
      </c>
      <c r="Q14" s="129">
        <v>1</v>
      </c>
      <c r="R14" s="129">
        <v>1</v>
      </c>
      <c r="S14" s="145"/>
      <c r="T14" s="145"/>
      <c r="U14" s="145"/>
      <c r="V14" s="145"/>
      <c r="W14" s="145"/>
      <c r="X14" s="146"/>
      <c r="Y14" s="146"/>
      <c r="Z14" s="146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2.5</v>
      </c>
      <c r="AJ14" s="26"/>
      <c r="AK14" s="19"/>
      <c r="AM14" s="196" t="s">
        <v>104</v>
      </c>
      <c r="AN14" s="197" t="s">
        <v>105</v>
      </c>
      <c r="AO14" s="197"/>
    </row>
    <row r="15" spans="1:41" ht="16.5" customHeight="1" x14ac:dyDescent="0.2">
      <c r="A15" s="19"/>
      <c r="B15" s="25"/>
      <c r="C15" s="50" t="s">
        <v>48</v>
      </c>
      <c r="D15" s="39"/>
      <c r="E15" s="127" t="s">
        <v>50</v>
      </c>
      <c r="F15" s="127" t="s">
        <v>86</v>
      </c>
      <c r="G15" s="130" t="s">
        <v>89</v>
      </c>
      <c r="H15" s="128">
        <v>45824</v>
      </c>
      <c r="I15" s="128">
        <v>45900</v>
      </c>
      <c r="J15" s="128"/>
      <c r="K15" s="128"/>
      <c r="L15" s="129"/>
      <c r="M15" s="129"/>
      <c r="N15" s="129"/>
      <c r="O15" s="129"/>
      <c r="P15" s="129">
        <v>0.5</v>
      </c>
      <c r="Q15" s="129">
        <v>1</v>
      </c>
      <c r="R15" s="129">
        <v>1</v>
      </c>
      <c r="S15" s="118">
        <v>1</v>
      </c>
      <c r="T15" s="113">
        <v>1</v>
      </c>
      <c r="U15" s="113">
        <v>1</v>
      </c>
      <c r="V15" s="113">
        <v>1</v>
      </c>
      <c r="W15" s="145"/>
      <c r="X15" s="146"/>
      <c r="Y15" s="146"/>
      <c r="Z15" s="146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6.5</v>
      </c>
      <c r="AJ15" s="26"/>
      <c r="AK15" s="19"/>
      <c r="AM15" s="199"/>
      <c r="AN15" s="197" t="s">
        <v>100</v>
      </c>
      <c r="AO15" s="197"/>
    </row>
    <row r="16" spans="1:41" ht="16.5" customHeight="1" x14ac:dyDescent="0.2">
      <c r="A16" s="19"/>
      <c r="B16" s="25"/>
      <c r="C16" s="50" t="s">
        <v>48</v>
      </c>
      <c r="D16" s="39"/>
      <c r="E16" s="40" t="s">
        <v>50</v>
      </c>
      <c r="F16" s="40" t="s">
        <v>18</v>
      </c>
      <c r="G16" s="102" t="s">
        <v>51</v>
      </c>
      <c r="H16" s="42">
        <v>45748</v>
      </c>
      <c r="I16" s="42">
        <v>45961</v>
      </c>
      <c r="J16" s="42"/>
      <c r="K16" s="42"/>
      <c r="L16" s="43"/>
      <c r="M16" s="43"/>
      <c r="N16" s="43">
        <v>1</v>
      </c>
      <c r="O16" s="43">
        <v>1</v>
      </c>
      <c r="P16" s="43">
        <v>1</v>
      </c>
      <c r="Q16" s="43">
        <v>1</v>
      </c>
      <c r="R16" s="43">
        <v>1</v>
      </c>
      <c r="S16" s="43">
        <v>1</v>
      </c>
      <c r="T16" s="43">
        <v>1</v>
      </c>
      <c r="U16" s="113">
        <v>1</v>
      </c>
      <c r="V16" s="113">
        <v>1</v>
      </c>
      <c r="W16" s="145"/>
      <c r="X16" s="146"/>
      <c r="Y16" s="146"/>
      <c r="Z16" s="146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9</v>
      </c>
      <c r="AJ16" s="26"/>
      <c r="AK16" s="19"/>
    </row>
    <row r="17" spans="1:40" ht="16.5" customHeight="1" x14ac:dyDescent="0.2">
      <c r="A17" s="19"/>
      <c r="B17" s="25"/>
      <c r="C17" s="50" t="s">
        <v>48</v>
      </c>
      <c r="D17" s="39"/>
      <c r="E17" s="51" t="s">
        <v>56</v>
      </c>
      <c r="F17" s="51" t="s">
        <v>11</v>
      </c>
      <c r="G17" s="51" t="s">
        <v>50</v>
      </c>
      <c r="H17" s="53">
        <v>45691</v>
      </c>
      <c r="I17" s="53">
        <v>45961</v>
      </c>
      <c r="J17" s="53"/>
      <c r="K17" s="53"/>
      <c r="L17" s="55">
        <v>1</v>
      </c>
      <c r="M17" s="55">
        <v>1</v>
      </c>
      <c r="N17" s="55">
        <v>1</v>
      </c>
      <c r="O17" s="55">
        <v>1</v>
      </c>
      <c r="P17" s="55">
        <v>1</v>
      </c>
      <c r="Q17" s="55">
        <v>1</v>
      </c>
      <c r="R17" s="55">
        <v>1</v>
      </c>
      <c r="S17" s="55">
        <v>1</v>
      </c>
      <c r="T17" s="149"/>
      <c r="U17" s="147"/>
      <c r="V17" s="147"/>
      <c r="W17" s="147"/>
      <c r="X17" s="147"/>
      <c r="Y17" s="147"/>
      <c r="Z17" s="147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8</v>
      </c>
      <c r="AJ17" s="26"/>
      <c r="AK17" s="19"/>
      <c r="AM17" s="200"/>
      <c r="AN17" s="200"/>
    </row>
    <row r="18" spans="1:40" ht="16.5" customHeight="1" x14ac:dyDescent="0.2">
      <c r="A18" s="19"/>
      <c r="B18" s="25"/>
      <c r="C18" s="50" t="s">
        <v>48</v>
      </c>
      <c r="D18" s="39"/>
      <c r="E18" s="51" t="s">
        <v>56</v>
      </c>
      <c r="F18" s="51" t="s">
        <v>15</v>
      </c>
      <c r="G18" s="51" t="s">
        <v>50</v>
      </c>
      <c r="H18" s="53">
        <v>45720</v>
      </c>
      <c r="I18" s="53">
        <v>46022</v>
      </c>
      <c r="J18" s="53"/>
      <c r="K18" s="53"/>
      <c r="L18" s="55"/>
      <c r="M18" s="55">
        <v>1</v>
      </c>
      <c r="N18" s="55">
        <v>1</v>
      </c>
      <c r="O18" s="55">
        <v>1</v>
      </c>
      <c r="P18" s="55">
        <v>1</v>
      </c>
      <c r="Q18" s="55">
        <v>1</v>
      </c>
      <c r="R18" s="55">
        <v>1</v>
      </c>
      <c r="S18" s="149"/>
      <c r="T18" s="149"/>
      <c r="U18" s="149"/>
      <c r="V18" s="149"/>
      <c r="W18" s="147"/>
      <c r="X18" s="147"/>
      <c r="Y18" s="147"/>
      <c r="Z18" s="147"/>
      <c r="AA18" s="44"/>
      <c r="AB18" s="44"/>
      <c r="AC18" s="44"/>
      <c r="AD18" s="44"/>
      <c r="AE18" s="44"/>
      <c r="AF18" s="44"/>
      <c r="AG18" s="44"/>
      <c r="AH18" s="44"/>
      <c r="AI18" s="45">
        <f t="shared" si="0"/>
        <v>6</v>
      </c>
      <c r="AJ18" s="26"/>
      <c r="AK18" s="19"/>
      <c r="AM18" s="200"/>
      <c r="AN18" s="201"/>
    </row>
    <row r="19" spans="1:40" ht="16.5" customHeight="1" x14ac:dyDescent="0.2">
      <c r="A19" s="19"/>
      <c r="B19" s="25"/>
      <c r="C19" s="50" t="s">
        <v>48</v>
      </c>
      <c r="D19" s="39"/>
      <c r="E19" s="51" t="s">
        <v>56</v>
      </c>
      <c r="F19" s="51" t="s">
        <v>19</v>
      </c>
      <c r="G19" s="51" t="s">
        <v>50</v>
      </c>
      <c r="H19" s="53">
        <v>45720</v>
      </c>
      <c r="I19" s="53">
        <v>46022</v>
      </c>
      <c r="J19" s="53"/>
      <c r="K19" s="53"/>
      <c r="L19" s="55"/>
      <c r="M19" s="55">
        <v>1</v>
      </c>
      <c r="N19" s="55">
        <v>1</v>
      </c>
      <c r="O19" s="55">
        <v>1</v>
      </c>
      <c r="P19" s="55">
        <v>1</v>
      </c>
      <c r="Q19" s="55">
        <v>1</v>
      </c>
      <c r="R19" s="55">
        <v>1</v>
      </c>
      <c r="S19" s="55">
        <v>1</v>
      </c>
      <c r="T19" s="55">
        <v>1</v>
      </c>
      <c r="U19" s="55">
        <v>1</v>
      </c>
      <c r="V19" s="123">
        <v>1</v>
      </c>
      <c r="W19" s="147"/>
      <c r="X19" s="147"/>
      <c r="Y19" s="147"/>
      <c r="Z19" s="147"/>
      <c r="AA19" s="44"/>
      <c r="AB19" s="44"/>
      <c r="AC19" s="44"/>
      <c r="AD19" s="44"/>
      <c r="AE19" s="44"/>
      <c r="AF19" s="44"/>
      <c r="AG19" s="44"/>
      <c r="AH19" s="44"/>
      <c r="AI19" s="45">
        <f t="shared" si="0"/>
        <v>10</v>
      </c>
      <c r="AJ19" s="26"/>
      <c r="AK19" s="19"/>
      <c r="AL19" s="19"/>
      <c r="AM19" s="200"/>
      <c r="AN19" s="201"/>
    </row>
    <row r="20" spans="1:40" ht="16.5" customHeight="1" x14ac:dyDescent="0.2">
      <c r="A20" s="19"/>
      <c r="B20" s="25"/>
      <c r="C20" s="50" t="s">
        <v>48</v>
      </c>
      <c r="D20" s="39"/>
      <c r="E20" s="57" t="s">
        <v>58</v>
      </c>
      <c r="F20" s="57" t="s">
        <v>12</v>
      </c>
      <c r="G20" s="57" t="s">
        <v>58</v>
      </c>
      <c r="H20" s="59">
        <v>45691</v>
      </c>
      <c r="I20" s="59">
        <v>45930</v>
      </c>
      <c r="J20" s="59"/>
      <c r="K20" s="59"/>
      <c r="L20" s="44">
        <v>1</v>
      </c>
      <c r="M20" s="44">
        <v>1</v>
      </c>
      <c r="N20" s="44">
        <v>1</v>
      </c>
      <c r="O20" s="44">
        <v>1</v>
      </c>
      <c r="P20" s="44">
        <v>1</v>
      </c>
      <c r="Q20" s="44">
        <v>1</v>
      </c>
      <c r="R20" s="44">
        <v>1</v>
      </c>
      <c r="S20" s="44">
        <v>1</v>
      </c>
      <c r="T20" s="150"/>
      <c r="U20" s="150"/>
      <c r="V20" s="148"/>
      <c r="W20" s="148"/>
      <c r="X20" s="148"/>
      <c r="Y20" s="148"/>
      <c r="Z20" s="148"/>
      <c r="AA20" s="44"/>
      <c r="AB20" s="44"/>
      <c r="AC20" s="44"/>
      <c r="AD20" s="44"/>
      <c r="AE20" s="44"/>
      <c r="AF20" s="44"/>
      <c r="AG20" s="44"/>
      <c r="AH20" s="44"/>
      <c r="AI20" s="45">
        <f t="shared" si="0"/>
        <v>8</v>
      </c>
      <c r="AJ20" s="26"/>
      <c r="AK20" s="19"/>
      <c r="AL20" s="19"/>
      <c r="AM20" s="200"/>
      <c r="AN20" s="201"/>
    </row>
    <row r="21" spans="1:40" ht="16.5" customHeight="1" x14ac:dyDescent="0.2">
      <c r="A21" s="19"/>
      <c r="B21" s="25"/>
      <c r="C21" s="50" t="s">
        <v>48</v>
      </c>
      <c r="D21" s="39"/>
      <c r="E21" s="57" t="s">
        <v>58</v>
      </c>
      <c r="F21" s="57" t="s">
        <v>16</v>
      </c>
      <c r="G21" s="103" t="s">
        <v>58</v>
      </c>
      <c r="H21" s="59">
        <v>45691</v>
      </c>
      <c r="I21" s="59">
        <v>45930</v>
      </c>
      <c r="J21" s="59"/>
      <c r="K21" s="59"/>
      <c r="L21" s="44">
        <v>1</v>
      </c>
      <c r="M21" s="44">
        <v>1</v>
      </c>
      <c r="N21" s="44">
        <v>1</v>
      </c>
      <c r="O21" s="44">
        <v>1</v>
      </c>
      <c r="P21" s="44">
        <v>1</v>
      </c>
      <c r="Q21" s="44">
        <v>1</v>
      </c>
      <c r="R21" s="44">
        <v>1</v>
      </c>
      <c r="S21" s="44">
        <v>1</v>
      </c>
      <c r="T21" s="118">
        <v>1</v>
      </c>
      <c r="U21" s="150">
        <v>1</v>
      </c>
      <c r="V21" s="150">
        <v>1</v>
      </c>
      <c r="W21" s="148"/>
      <c r="X21" s="148"/>
      <c r="Y21" s="148"/>
      <c r="Z21" s="148"/>
      <c r="AA21" s="44"/>
      <c r="AB21" s="44"/>
      <c r="AC21" s="44"/>
      <c r="AD21" s="44"/>
      <c r="AE21" s="44"/>
      <c r="AF21" s="44"/>
      <c r="AG21" s="44"/>
      <c r="AH21" s="44"/>
      <c r="AI21" s="45">
        <f t="shared" ref="AI21:AI22" si="1">SUM(L21:Z21)</f>
        <v>11</v>
      </c>
      <c r="AJ21" s="26"/>
      <c r="AK21" s="19"/>
      <c r="AL21" s="19"/>
      <c r="AM21" s="200"/>
      <c r="AN21" s="201"/>
    </row>
    <row r="22" spans="1:40" ht="16.5" hidden="1" customHeight="1" x14ac:dyDescent="0.2">
      <c r="A22" s="19"/>
      <c r="B22" s="25"/>
      <c r="C22" s="50" t="s">
        <v>48</v>
      </c>
      <c r="D22" s="119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1"/>
        <v>0</v>
      </c>
      <c r="AJ22" s="26"/>
      <c r="AK22" s="19"/>
      <c r="AL22" s="19"/>
      <c r="AM22" s="200"/>
      <c r="AN22" s="201"/>
    </row>
    <row r="23" spans="1:40" ht="16.5" hidden="1" customHeight="1" x14ac:dyDescent="0.2">
      <c r="A23" s="19"/>
      <c r="B23" s="25"/>
      <c r="C23" s="50" t="s">
        <v>48</v>
      </c>
      <c r="D23" s="119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ref="AI23:AI27" si="2">SUM(L23:AH23)</f>
        <v>0</v>
      </c>
      <c r="AJ23" s="26"/>
      <c r="AK23" s="19"/>
      <c r="AL23" s="19"/>
      <c r="AM23" s="202"/>
      <c r="AN23" s="197"/>
    </row>
    <row r="24" spans="1:40" ht="16.5" hidden="1" customHeight="1" x14ac:dyDescent="0.2">
      <c r="A24" s="19"/>
      <c r="B24" s="25"/>
      <c r="C24" s="50" t="s">
        <v>48</v>
      </c>
      <c r="D24" s="120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0</v>
      </c>
      <c r="AJ24" s="26"/>
      <c r="AK24" s="19"/>
      <c r="AL24" s="19"/>
      <c r="AM24" s="200"/>
      <c r="AN24" s="201"/>
    </row>
    <row r="25" spans="1:40" ht="16.5" hidden="1" customHeight="1" x14ac:dyDescent="0.2">
      <c r="A25" s="19"/>
      <c r="B25" s="25"/>
      <c r="C25" s="50" t="s">
        <v>48</v>
      </c>
      <c r="D25" s="176"/>
      <c r="E25" s="57"/>
      <c r="F25" s="57"/>
      <c r="G25" s="57"/>
      <c r="H25" s="59"/>
      <c r="I25" s="59"/>
      <c r="J25" s="59"/>
      <c r="K25" s="59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5">
        <f t="shared" si="2"/>
        <v>0</v>
      </c>
      <c r="AJ25" s="26"/>
      <c r="AK25" s="19"/>
      <c r="AM25" s="200"/>
      <c r="AN25" s="201"/>
    </row>
    <row r="26" spans="1:40" ht="16.5" hidden="1" customHeight="1" x14ac:dyDescent="0.2">
      <c r="A26" s="19"/>
      <c r="B26" s="25"/>
      <c r="C26" s="50" t="s">
        <v>48</v>
      </c>
      <c r="D26" s="174"/>
      <c r="E26" s="57"/>
      <c r="F26" s="57"/>
      <c r="G26" s="57"/>
      <c r="H26" s="59"/>
      <c r="I26" s="59"/>
      <c r="J26" s="59"/>
      <c r="K26" s="59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5">
        <f t="shared" si="2"/>
        <v>0</v>
      </c>
      <c r="AJ26" s="26"/>
      <c r="AK26" s="19"/>
    </row>
    <row r="27" spans="1:40" ht="16.5" hidden="1" customHeight="1" x14ac:dyDescent="0.2">
      <c r="A27" s="19"/>
      <c r="B27" s="25"/>
      <c r="C27" s="50" t="s">
        <v>48</v>
      </c>
      <c r="D27" s="175"/>
      <c r="E27" s="57"/>
      <c r="F27" s="57"/>
      <c r="G27" s="57"/>
      <c r="H27" s="59"/>
      <c r="I27" s="59"/>
      <c r="J27" s="59"/>
      <c r="K27" s="59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5">
        <f t="shared" si="2"/>
        <v>0</v>
      </c>
      <c r="AJ27" s="26"/>
      <c r="AK27" s="19"/>
    </row>
    <row r="28" spans="1:40" ht="16.5" customHeight="1" x14ac:dyDescent="0.2">
      <c r="A28" s="19"/>
      <c r="B28" s="25"/>
      <c r="C28" s="61" t="s">
        <v>48</v>
      </c>
      <c r="D28" s="104" t="s">
        <v>59</v>
      </c>
      <c r="E28" s="66"/>
      <c r="F28" s="66"/>
      <c r="G28" s="66"/>
      <c r="H28" s="66"/>
      <c r="I28" s="66" t="s">
        <v>60</v>
      </c>
      <c r="J28" s="67"/>
      <c r="K28" s="67"/>
      <c r="L28" s="68">
        <f t="shared" ref="L28:Z28" si="3">SUM(L7:L27)</f>
        <v>6.5</v>
      </c>
      <c r="M28" s="68">
        <f t="shared" si="3"/>
        <v>9.5</v>
      </c>
      <c r="N28" s="68">
        <f t="shared" si="3"/>
        <v>12</v>
      </c>
      <c r="O28" s="68">
        <f t="shared" si="3"/>
        <v>12</v>
      </c>
      <c r="P28" s="68">
        <f t="shared" si="3"/>
        <v>13</v>
      </c>
      <c r="Q28" s="68">
        <f t="shared" si="3"/>
        <v>13</v>
      </c>
      <c r="R28" s="68">
        <f t="shared" si="3"/>
        <v>13</v>
      </c>
      <c r="S28" s="68">
        <f t="shared" si="3"/>
        <v>10</v>
      </c>
      <c r="T28" s="68">
        <f t="shared" si="3"/>
        <v>8</v>
      </c>
      <c r="U28" s="68">
        <f t="shared" si="3"/>
        <v>8</v>
      </c>
      <c r="V28" s="68">
        <f t="shared" si="3"/>
        <v>7</v>
      </c>
      <c r="W28" s="68">
        <f t="shared" si="3"/>
        <v>3</v>
      </c>
      <c r="X28" s="68">
        <f t="shared" si="3"/>
        <v>3</v>
      </c>
      <c r="Y28" s="68">
        <f t="shared" si="3"/>
        <v>3</v>
      </c>
      <c r="Z28" s="68">
        <f t="shared" si="3"/>
        <v>0.5</v>
      </c>
      <c r="AA28" s="68"/>
      <c r="AB28" s="68"/>
      <c r="AC28" s="68"/>
      <c r="AD28" s="68"/>
      <c r="AE28" s="68"/>
      <c r="AF28" s="68"/>
      <c r="AG28" s="68"/>
      <c r="AH28" s="68"/>
      <c r="AI28" s="69">
        <f>SUM(AI7:AI27)</f>
        <v>121.5</v>
      </c>
      <c r="AJ28" s="26"/>
      <c r="AK28" s="19"/>
    </row>
    <row r="29" spans="1:40" ht="4.5" customHeight="1" x14ac:dyDescent="0.2">
      <c r="A29" s="70"/>
      <c r="B29" s="71"/>
      <c r="C29" s="72"/>
      <c r="D29" s="73"/>
      <c r="E29" s="74"/>
      <c r="F29" s="74"/>
      <c r="G29" s="74"/>
      <c r="H29" s="76"/>
      <c r="I29" s="76"/>
      <c r="J29" s="76"/>
      <c r="K29" s="76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8"/>
      <c r="AK29" s="70"/>
    </row>
    <row r="30" spans="1:40" ht="16.5" customHeight="1" x14ac:dyDescent="0.2">
      <c r="A30" s="19"/>
      <c r="B30" s="25"/>
      <c r="C30" s="38" t="s">
        <v>61</v>
      </c>
      <c r="D30" s="79" t="s">
        <v>53</v>
      </c>
      <c r="E30" s="51" t="s">
        <v>56</v>
      </c>
      <c r="F30" s="51" t="s">
        <v>5</v>
      </c>
      <c r="G30" s="105" t="s">
        <v>55</v>
      </c>
      <c r="H30" s="53">
        <v>45726</v>
      </c>
      <c r="I30" s="53">
        <v>46127</v>
      </c>
      <c r="J30" s="53"/>
      <c r="K30" s="53"/>
      <c r="L30" s="55"/>
      <c r="M30" s="55">
        <v>0.75</v>
      </c>
      <c r="N30" s="55">
        <v>1</v>
      </c>
      <c r="O30" s="55">
        <v>1</v>
      </c>
      <c r="P30" s="55">
        <v>1</v>
      </c>
      <c r="Q30" s="55">
        <v>1</v>
      </c>
      <c r="R30" s="55">
        <v>1</v>
      </c>
      <c r="S30" s="55">
        <v>1</v>
      </c>
      <c r="T30" s="55">
        <v>1</v>
      </c>
      <c r="U30" s="55">
        <v>1</v>
      </c>
      <c r="V30" s="55">
        <v>1</v>
      </c>
      <c r="W30" s="55">
        <v>1</v>
      </c>
      <c r="X30" s="55">
        <v>1</v>
      </c>
      <c r="Y30" s="55">
        <v>1</v>
      </c>
      <c r="Z30" s="55">
        <v>0.5</v>
      </c>
      <c r="AA30" s="44"/>
      <c r="AB30" s="44"/>
      <c r="AC30" s="44"/>
      <c r="AD30" s="44"/>
      <c r="AE30" s="44"/>
      <c r="AF30" s="44"/>
      <c r="AG30" s="44"/>
      <c r="AH30" s="44"/>
      <c r="AI30" s="45">
        <f t="shared" ref="AI30:AI40" si="4">SUM(L30:AH30)</f>
        <v>13.25</v>
      </c>
      <c r="AJ30" s="26"/>
      <c r="AK30" s="19"/>
    </row>
    <row r="31" spans="1:40" ht="16.5" customHeight="1" x14ac:dyDescent="0.2">
      <c r="A31" s="19"/>
      <c r="B31" s="25"/>
      <c r="C31" s="47"/>
      <c r="D31" s="173" t="s">
        <v>62</v>
      </c>
      <c r="E31" s="51" t="s">
        <v>56</v>
      </c>
      <c r="F31" s="51" t="s">
        <v>9</v>
      </c>
      <c r="G31" s="105" t="s">
        <v>55</v>
      </c>
      <c r="H31" s="53">
        <v>45726</v>
      </c>
      <c r="I31" s="53">
        <v>46127</v>
      </c>
      <c r="J31" s="53"/>
      <c r="K31" s="53"/>
      <c r="L31" s="55"/>
      <c r="M31" s="55">
        <v>0.75</v>
      </c>
      <c r="N31" s="55">
        <v>1</v>
      </c>
      <c r="O31" s="55">
        <v>1</v>
      </c>
      <c r="P31" s="55">
        <v>1</v>
      </c>
      <c r="Q31" s="55">
        <v>1</v>
      </c>
      <c r="R31" s="55">
        <v>1</v>
      </c>
      <c r="S31" s="55">
        <v>1</v>
      </c>
      <c r="T31" s="55">
        <v>1</v>
      </c>
      <c r="U31" s="55">
        <v>1</v>
      </c>
      <c r="V31" s="55">
        <v>1</v>
      </c>
      <c r="W31" s="55">
        <v>1</v>
      </c>
      <c r="X31" s="55">
        <v>1</v>
      </c>
      <c r="Y31" s="55">
        <v>1</v>
      </c>
      <c r="Z31" s="55">
        <v>0.5</v>
      </c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13.25</v>
      </c>
      <c r="AJ31" s="26"/>
      <c r="AK31" s="19"/>
      <c r="AM31" s="195" t="s">
        <v>106</v>
      </c>
    </row>
    <row r="32" spans="1:40" ht="16.5" customHeight="1" x14ac:dyDescent="0.2">
      <c r="A32" s="19"/>
      <c r="B32" s="25"/>
      <c r="C32" s="47"/>
      <c r="D32" s="174"/>
      <c r="E32" s="51" t="s">
        <v>56</v>
      </c>
      <c r="F32" s="51" t="s">
        <v>21</v>
      </c>
      <c r="G32" s="51" t="s">
        <v>50</v>
      </c>
      <c r="H32" s="53">
        <v>45748</v>
      </c>
      <c r="I32" s="53"/>
      <c r="J32" s="53"/>
      <c r="K32" s="53"/>
      <c r="L32" s="55"/>
      <c r="M32" s="55"/>
      <c r="N32" s="55">
        <v>1</v>
      </c>
      <c r="O32" s="55">
        <v>1</v>
      </c>
      <c r="P32" s="55">
        <v>1</v>
      </c>
      <c r="Q32" s="55">
        <v>1</v>
      </c>
      <c r="R32" s="137">
        <v>0.25</v>
      </c>
      <c r="S32" s="55"/>
      <c r="T32" s="55"/>
      <c r="U32" s="55"/>
      <c r="V32" s="55"/>
      <c r="W32" s="55"/>
      <c r="X32" s="55"/>
      <c r="Y32" s="55"/>
      <c r="Z32" s="55"/>
      <c r="AA32" s="44"/>
      <c r="AB32" s="44"/>
      <c r="AC32" s="44"/>
      <c r="AD32" s="44"/>
      <c r="AE32" s="44"/>
      <c r="AF32" s="44"/>
      <c r="AG32" s="44"/>
      <c r="AH32" s="44"/>
      <c r="AI32" s="45">
        <f t="shared" si="4"/>
        <v>4.25</v>
      </c>
      <c r="AJ32" s="26"/>
      <c r="AK32" s="19"/>
      <c r="AM32" s="202" t="s">
        <v>14</v>
      </c>
      <c r="AN32" s="197" t="s">
        <v>107</v>
      </c>
    </row>
    <row r="33" spans="1:40" ht="16.5" customHeight="1" x14ac:dyDescent="0.2">
      <c r="A33" s="19"/>
      <c r="B33" s="25"/>
      <c r="C33" s="50" t="s">
        <v>61</v>
      </c>
      <c r="D33" s="174"/>
      <c r="E33" s="141" t="s">
        <v>93</v>
      </c>
      <c r="F33" s="141" t="s">
        <v>94</v>
      </c>
      <c r="G33" s="142" t="s">
        <v>95</v>
      </c>
      <c r="H33" s="143"/>
      <c r="I33" s="143"/>
      <c r="J33" s="143"/>
      <c r="K33" s="143"/>
      <c r="L33" s="144"/>
      <c r="M33" s="144"/>
      <c r="N33" s="144"/>
      <c r="O33" s="144"/>
      <c r="P33" s="144"/>
      <c r="Q33" s="144"/>
      <c r="R33" s="118">
        <v>0.75</v>
      </c>
      <c r="S33" s="118">
        <v>1</v>
      </c>
      <c r="T33" s="144"/>
      <c r="U33" s="144"/>
      <c r="V33" s="144"/>
      <c r="W33" s="144"/>
      <c r="X33" s="144"/>
      <c r="Y33" s="144"/>
      <c r="Z33" s="144"/>
      <c r="AA33" s="44"/>
      <c r="AB33" s="44"/>
      <c r="AC33" s="44"/>
      <c r="AD33" s="44"/>
      <c r="AE33" s="44"/>
      <c r="AF33" s="44"/>
      <c r="AG33" s="44"/>
      <c r="AH33" s="44"/>
      <c r="AI33" s="45">
        <f t="shared" ref="AI33" si="5">SUM(L33:AH33)</f>
        <v>1.75</v>
      </c>
      <c r="AJ33" s="26"/>
      <c r="AK33" s="19"/>
      <c r="AM33" s="200" t="s">
        <v>7</v>
      </c>
      <c r="AN33" s="201" t="s">
        <v>108</v>
      </c>
    </row>
    <row r="34" spans="1:40" ht="16.5" customHeight="1" x14ac:dyDescent="0.2">
      <c r="A34" s="19"/>
      <c r="B34" s="25"/>
      <c r="C34" s="50" t="s">
        <v>61</v>
      </c>
      <c r="D34" s="174"/>
      <c r="E34" s="138" t="s">
        <v>58</v>
      </c>
      <c r="F34" s="138" t="s">
        <v>84</v>
      </c>
      <c r="G34" s="139" t="s">
        <v>55</v>
      </c>
      <c r="H34" s="140">
        <v>45810</v>
      </c>
      <c r="I34" s="140">
        <v>45991</v>
      </c>
      <c r="J34" s="140"/>
      <c r="K34" s="140"/>
      <c r="L34" s="126"/>
      <c r="M34" s="126"/>
      <c r="N34" s="126"/>
      <c r="O34" s="126"/>
      <c r="P34" s="126">
        <v>1</v>
      </c>
      <c r="Q34" s="126">
        <v>1</v>
      </c>
      <c r="R34" s="126">
        <v>1</v>
      </c>
      <c r="S34" s="126">
        <v>1</v>
      </c>
      <c r="T34" s="118">
        <v>1</v>
      </c>
      <c r="U34" s="118">
        <v>1</v>
      </c>
      <c r="V34" s="126"/>
      <c r="W34" s="126"/>
      <c r="X34" s="126"/>
      <c r="Y34" s="126"/>
      <c r="Z34" s="126"/>
      <c r="AA34" s="44"/>
      <c r="AB34" s="44"/>
      <c r="AC34" s="44"/>
      <c r="AD34" s="44"/>
      <c r="AE34" s="44"/>
      <c r="AF34" s="44"/>
      <c r="AG34" s="44"/>
      <c r="AH34" s="44"/>
      <c r="AI34" s="45">
        <f t="shared" si="4"/>
        <v>6</v>
      </c>
      <c r="AJ34" s="26"/>
      <c r="AK34" s="19"/>
      <c r="AM34" s="200" t="s">
        <v>19</v>
      </c>
      <c r="AN34" s="201" t="s">
        <v>109</v>
      </c>
    </row>
    <row r="35" spans="1:40" ht="16.5" customHeight="1" x14ac:dyDescent="0.2">
      <c r="A35" s="19"/>
      <c r="B35" s="25"/>
      <c r="C35" s="50" t="s">
        <v>61</v>
      </c>
      <c r="D35" s="174"/>
      <c r="E35" s="138" t="s">
        <v>58</v>
      </c>
      <c r="F35" s="138" t="s">
        <v>83</v>
      </c>
      <c r="G35" s="139" t="s">
        <v>55</v>
      </c>
      <c r="H35" s="140">
        <v>45810</v>
      </c>
      <c r="I35" s="140">
        <v>45991</v>
      </c>
      <c r="J35" s="140"/>
      <c r="K35" s="140"/>
      <c r="L35" s="126"/>
      <c r="M35" s="126"/>
      <c r="N35" s="126"/>
      <c r="O35" s="126"/>
      <c r="P35" s="126">
        <v>1</v>
      </c>
      <c r="Q35" s="126">
        <v>1</v>
      </c>
      <c r="R35" s="126">
        <v>1</v>
      </c>
      <c r="S35" s="126">
        <v>1</v>
      </c>
      <c r="T35" s="126">
        <v>1</v>
      </c>
      <c r="U35" s="126">
        <v>1</v>
      </c>
      <c r="V35" s="126"/>
      <c r="W35" s="126"/>
      <c r="X35" s="126"/>
      <c r="Y35" s="126"/>
      <c r="Z35" s="126"/>
      <c r="AA35" s="44"/>
      <c r="AB35" s="44"/>
      <c r="AC35" s="44"/>
      <c r="AD35" s="44"/>
      <c r="AE35" s="44"/>
      <c r="AF35" s="44"/>
      <c r="AG35" s="44"/>
      <c r="AH35" s="44"/>
      <c r="AI35" s="45">
        <f t="shared" si="4"/>
        <v>6</v>
      </c>
      <c r="AJ35" s="26"/>
      <c r="AK35" s="19"/>
      <c r="AM35" s="200" t="s">
        <v>18</v>
      </c>
      <c r="AN35" s="201" t="s">
        <v>110</v>
      </c>
    </row>
    <row r="36" spans="1:40" ht="16.5" customHeight="1" x14ac:dyDescent="0.2">
      <c r="A36" s="19"/>
      <c r="B36" s="25"/>
      <c r="C36" s="50" t="s">
        <v>61</v>
      </c>
      <c r="D36" s="174"/>
      <c r="E36" s="138" t="s">
        <v>58</v>
      </c>
      <c r="F36" s="138" t="s">
        <v>13</v>
      </c>
      <c r="G36" s="139" t="s">
        <v>55</v>
      </c>
      <c r="H36" s="140">
        <v>45726</v>
      </c>
      <c r="I36" s="140"/>
      <c r="J36" s="140"/>
      <c r="K36" s="140"/>
      <c r="L36" s="126"/>
      <c r="M36" s="126">
        <v>0.75</v>
      </c>
      <c r="N36" s="126">
        <v>1</v>
      </c>
      <c r="O36" s="126">
        <v>1</v>
      </c>
      <c r="P36" s="126">
        <v>1</v>
      </c>
      <c r="Q36" s="126">
        <v>1</v>
      </c>
      <c r="R36" s="118">
        <v>0.25</v>
      </c>
      <c r="S36" s="126"/>
      <c r="T36" s="126"/>
      <c r="U36" s="126"/>
      <c r="V36" s="126"/>
      <c r="W36" s="126"/>
      <c r="X36" s="126"/>
      <c r="Y36" s="126"/>
      <c r="Z36" s="126"/>
      <c r="AA36" s="44"/>
      <c r="AB36" s="44"/>
      <c r="AC36" s="44"/>
      <c r="AD36" s="44"/>
      <c r="AE36" s="44"/>
      <c r="AF36" s="44"/>
      <c r="AG36" s="44"/>
      <c r="AH36" s="44"/>
      <c r="AI36" s="45">
        <f t="shared" si="4"/>
        <v>5</v>
      </c>
      <c r="AJ36" s="26"/>
      <c r="AK36" s="19"/>
      <c r="AM36" s="200" t="s">
        <v>111</v>
      </c>
      <c r="AN36" s="201" t="s">
        <v>112</v>
      </c>
    </row>
    <row r="37" spans="1:40" ht="16.5" customHeight="1" x14ac:dyDescent="0.2">
      <c r="A37" s="19"/>
      <c r="B37" s="25"/>
      <c r="C37" s="50" t="s">
        <v>61</v>
      </c>
      <c r="D37" s="174"/>
      <c r="E37" s="138" t="s">
        <v>58</v>
      </c>
      <c r="F37" s="138" t="s">
        <v>94</v>
      </c>
      <c r="G37" s="139" t="s">
        <v>55</v>
      </c>
      <c r="H37" s="140"/>
      <c r="I37" s="140">
        <v>45930</v>
      </c>
      <c r="J37" s="140"/>
      <c r="K37" s="140"/>
      <c r="L37" s="126"/>
      <c r="M37" s="126"/>
      <c r="N37" s="126"/>
      <c r="O37" s="126"/>
      <c r="P37" s="126"/>
      <c r="Q37" s="126"/>
      <c r="R37" s="118">
        <v>0.75</v>
      </c>
      <c r="S37" s="118">
        <v>1</v>
      </c>
      <c r="T37" s="126"/>
      <c r="U37" s="126"/>
      <c r="V37" s="126"/>
      <c r="W37" s="126"/>
      <c r="X37" s="126"/>
      <c r="Y37" s="126"/>
      <c r="Z37" s="126"/>
      <c r="AA37" s="44"/>
      <c r="AB37" s="44"/>
      <c r="AC37" s="44"/>
      <c r="AD37" s="44"/>
      <c r="AE37" s="44"/>
      <c r="AF37" s="44"/>
      <c r="AG37" s="44"/>
      <c r="AH37" s="44"/>
      <c r="AI37" s="45">
        <f t="shared" ref="AI37" si="6">SUM(L37:AH37)</f>
        <v>1.75</v>
      </c>
      <c r="AJ37" s="26"/>
      <c r="AK37" s="19"/>
      <c r="AM37" s="200" t="s">
        <v>113</v>
      </c>
      <c r="AN37" s="201" t="s">
        <v>114</v>
      </c>
    </row>
    <row r="38" spans="1:40" ht="16.5" customHeight="1" x14ac:dyDescent="0.2">
      <c r="A38" s="19"/>
      <c r="B38" s="25"/>
      <c r="C38" s="50" t="s">
        <v>61</v>
      </c>
      <c r="D38" s="174"/>
      <c r="E38" s="57" t="s">
        <v>58</v>
      </c>
      <c r="F38" s="57" t="s">
        <v>6</v>
      </c>
      <c r="G38" s="103" t="s">
        <v>55</v>
      </c>
      <c r="H38" s="59">
        <v>45748</v>
      </c>
      <c r="I38" s="59">
        <v>45961</v>
      </c>
      <c r="J38" s="59"/>
      <c r="K38" s="59"/>
      <c r="L38" s="44"/>
      <c r="M38" s="44"/>
      <c r="N38" s="44">
        <v>1</v>
      </c>
      <c r="O38" s="44">
        <v>1</v>
      </c>
      <c r="P38" s="44">
        <v>1</v>
      </c>
      <c r="Q38" s="44">
        <v>1</v>
      </c>
      <c r="R38" s="44">
        <v>1</v>
      </c>
      <c r="S38" s="44">
        <v>1</v>
      </c>
      <c r="T38" s="44">
        <v>1</v>
      </c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f t="shared" si="4"/>
        <v>7</v>
      </c>
      <c r="AJ38" s="26"/>
      <c r="AK38" s="19"/>
      <c r="AM38" s="202" t="s">
        <v>20</v>
      </c>
      <c r="AN38" s="197" t="s">
        <v>115</v>
      </c>
    </row>
    <row r="39" spans="1:40" ht="16.5" customHeight="1" x14ac:dyDescent="0.2">
      <c r="A39" s="19"/>
      <c r="B39" s="25"/>
      <c r="C39" s="50" t="s">
        <v>61</v>
      </c>
      <c r="D39" s="174"/>
      <c r="E39" s="57" t="s">
        <v>58</v>
      </c>
      <c r="F39" s="57" t="s">
        <v>17</v>
      </c>
      <c r="G39" s="103" t="s">
        <v>55</v>
      </c>
      <c r="H39" s="59">
        <v>45726</v>
      </c>
      <c r="I39" s="59">
        <v>46094</v>
      </c>
      <c r="J39" s="59"/>
      <c r="K39" s="59"/>
      <c r="L39" s="44"/>
      <c r="M39" s="44">
        <v>0.75</v>
      </c>
      <c r="N39" s="44">
        <v>1</v>
      </c>
      <c r="O39" s="44">
        <v>1</v>
      </c>
      <c r="P39" s="44">
        <v>1</v>
      </c>
      <c r="Q39" s="44">
        <v>1</v>
      </c>
      <c r="R39" s="44">
        <v>1</v>
      </c>
      <c r="S39" s="44">
        <v>1</v>
      </c>
      <c r="T39" s="44">
        <v>1</v>
      </c>
      <c r="U39" s="44">
        <v>1</v>
      </c>
      <c r="V39" s="118">
        <v>1</v>
      </c>
      <c r="W39" s="118">
        <v>1</v>
      </c>
      <c r="X39" s="118">
        <v>1</v>
      </c>
      <c r="Y39" s="118">
        <v>0.5</v>
      </c>
      <c r="Z39" s="44"/>
      <c r="AA39" s="44"/>
      <c r="AB39" s="44"/>
      <c r="AC39" s="44"/>
      <c r="AD39" s="44"/>
      <c r="AE39" s="44"/>
      <c r="AF39" s="44"/>
      <c r="AG39" s="44"/>
      <c r="AH39" s="44"/>
      <c r="AI39" s="45">
        <f t="shared" si="4"/>
        <v>12.25</v>
      </c>
      <c r="AJ39" s="26"/>
      <c r="AK39" s="19"/>
      <c r="AM39" s="200" t="s">
        <v>12</v>
      </c>
      <c r="AN39" s="201" t="s">
        <v>116</v>
      </c>
    </row>
    <row r="40" spans="1:40" ht="16.5" customHeight="1" x14ac:dyDescent="0.2">
      <c r="A40" s="19"/>
      <c r="B40" s="25"/>
      <c r="C40" s="50" t="s">
        <v>61</v>
      </c>
      <c r="D40" s="175"/>
      <c r="E40" s="57" t="s">
        <v>58</v>
      </c>
      <c r="F40" s="57" t="s">
        <v>10</v>
      </c>
      <c r="G40" s="103" t="s">
        <v>55</v>
      </c>
      <c r="H40" s="59">
        <v>45748</v>
      </c>
      <c r="I40" s="59">
        <v>45961</v>
      </c>
      <c r="J40" s="59"/>
      <c r="K40" s="59"/>
      <c r="L40" s="44"/>
      <c r="M40" s="44"/>
      <c r="N40" s="44">
        <v>1</v>
      </c>
      <c r="O40" s="44">
        <v>1</v>
      </c>
      <c r="P40" s="44">
        <v>1</v>
      </c>
      <c r="Q40" s="44">
        <v>1</v>
      </c>
      <c r="R40" s="44">
        <v>1</v>
      </c>
      <c r="S40" s="44">
        <v>1</v>
      </c>
      <c r="T40" s="44">
        <v>1</v>
      </c>
      <c r="U40" s="81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f t="shared" si="4"/>
        <v>7</v>
      </c>
      <c r="AJ40" s="26"/>
      <c r="AK40" s="19"/>
      <c r="AM40" s="200" t="s">
        <v>16</v>
      </c>
      <c r="AN40" s="201" t="s">
        <v>117</v>
      </c>
    </row>
    <row r="41" spans="1:40" ht="16.5" hidden="1" customHeight="1" x14ac:dyDescent="0.2">
      <c r="A41" s="19"/>
      <c r="B41" s="25"/>
      <c r="C41" s="50" t="s">
        <v>61</v>
      </c>
      <c r="D41" s="176"/>
      <c r="E41" s="57" t="s">
        <v>50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40" ht="16.5" hidden="1" customHeight="1" x14ac:dyDescent="0.2">
      <c r="A42" s="19"/>
      <c r="B42" s="25"/>
      <c r="C42" s="50" t="s">
        <v>61</v>
      </c>
      <c r="D42" s="174"/>
      <c r="E42" s="57" t="s">
        <v>56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40" ht="16.5" hidden="1" customHeight="1" x14ac:dyDescent="0.2">
      <c r="A43" s="19"/>
      <c r="B43" s="25"/>
      <c r="C43" s="50" t="s">
        <v>61</v>
      </c>
      <c r="D43" s="175"/>
      <c r="E43" s="57" t="s">
        <v>58</v>
      </c>
      <c r="F43" s="57"/>
      <c r="G43" s="60"/>
      <c r="H43" s="59"/>
      <c r="I43" s="59"/>
      <c r="J43" s="59"/>
      <c r="K43" s="59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5">
        <v>0</v>
      </c>
      <c r="AJ43" s="26"/>
      <c r="AK43" s="19"/>
    </row>
    <row r="44" spans="1:40" ht="16.5" hidden="1" customHeight="1" x14ac:dyDescent="0.2">
      <c r="A44" s="19"/>
      <c r="B44" s="25"/>
      <c r="C44" s="50" t="s">
        <v>61</v>
      </c>
      <c r="D44" s="176"/>
      <c r="E44" s="57" t="s">
        <v>50</v>
      </c>
      <c r="F44" s="57"/>
      <c r="G44" s="60"/>
      <c r="H44" s="59"/>
      <c r="I44" s="59"/>
      <c r="J44" s="59"/>
      <c r="K44" s="59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5">
        <v>0</v>
      </c>
      <c r="AJ44" s="26"/>
      <c r="AK44" s="19"/>
    </row>
    <row r="45" spans="1:40" ht="16.5" hidden="1" customHeight="1" x14ac:dyDescent="0.2">
      <c r="A45" s="19"/>
      <c r="B45" s="25"/>
      <c r="C45" s="50" t="s">
        <v>61</v>
      </c>
      <c r="D45" s="174"/>
      <c r="E45" s="57" t="s">
        <v>56</v>
      </c>
      <c r="F45" s="57"/>
      <c r="G45" s="60"/>
      <c r="H45" s="59"/>
      <c r="I45" s="59"/>
      <c r="J45" s="59"/>
      <c r="K45" s="59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5">
        <v>0</v>
      </c>
      <c r="AJ45" s="26"/>
      <c r="AK45" s="19"/>
    </row>
    <row r="46" spans="1:40" ht="16.5" hidden="1" customHeight="1" x14ac:dyDescent="0.2">
      <c r="A46" s="19"/>
      <c r="B46" s="25"/>
      <c r="C46" s="50" t="s">
        <v>61</v>
      </c>
      <c r="D46" s="175"/>
      <c r="E46" s="57" t="s">
        <v>58</v>
      </c>
      <c r="F46" s="57"/>
      <c r="G46" s="60"/>
      <c r="H46" s="59"/>
      <c r="I46" s="59"/>
      <c r="J46" s="59"/>
      <c r="K46" s="59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5">
        <v>0</v>
      </c>
      <c r="AJ46" s="26"/>
      <c r="AK46" s="19"/>
    </row>
    <row r="47" spans="1:40" ht="16.5" hidden="1" customHeight="1" x14ac:dyDescent="0.2">
      <c r="A47" s="19"/>
      <c r="B47" s="25"/>
      <c r="C47" s="50" t="s">
        <v>61</v>
      </c>
      <c r="D47" s="177" t="s">
        <v>63</v>
      </c>
      <c r="E47" s="57" t="s">
        <v>50</v>
      </c>
      <c r="F47" s="57"/>
      <c r="G47" s="60"/>
      <c r="H47" s="59"/>
      <c r="I47" s="59"/>
      <c r="J47" s="59"/>
      <c r="K47" s="59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5">
        <v>0</v>
      </c>
      <c r="AJ47" s="26"/>
      <c r="AK47" s="19"/>
    </row>
    <row r="48" spans="1:40" ht="16.5" hidden="1" customHeight="1" x14ac:dyDescent="0.2">
      <c r="A48" s="19"/>
      <c r="B48" s="25"/>
      <c r="C48" s="50" t="s">
        <v>61</v>
      </c>
      <c r="D48" s="174"/>
      <c r="E48" s="57" t="s">
        <v>56</v>
      </c>
      <c r="F48" s="57"/>
      <c r="G48" s="60"/>
      <c r="H48" s="59"/>
      <c r="I48" s="59"/>
      <c r="J48" s="59"/>
      <c r="K48" s="59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5">
        <v>0</v>
      </c>
      <c r="AJ48" s="26"/>
      <c r="AK48" s="19"/>
    </row>
    <row r="49" spans="1:37" ht="16.5" hidden="1" customHeight="1" x14ac:dyDescent="0.2">
      <c r="A49" s="19"/>
      <c r="B49" s="25"/>
      <c r="C49" s="50" t="s">
        <v>61</v>
      </c>
      <c r="D49" s="175"/>
      <c r="E49" s="57" t="s">
        <v>58</v>
      </c>
      <c r="F49" s="57"/>
      <c r="G49" s="60"/>
      <c r="H49" s="59"/>
      <c r="I49" s="59"/>
      <c r="J49" s="59"/>
      <c r="K49" s="59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5">
        <v>0</v>
      </c>
      <c r="AJ49" s="26"/>
      <c r="AK49" s="19"/>
    </row>
    <row r="50" spans="1:37" ht="16.5" customHeight="1" x14ac:dyDescent="0.2">
      <c r="A50" s="19"/>
      <c r="B50" s="25"/>
      <c r="C50" s="61" t="s">
        <v>61</v>
      </c>
      <c r="D50" s="104" t="s">
        <v>59</v>
      </c>
      <c r="E50" s="66"/>
      <c r="F50" s="66"/>
      <c r="G50" s="66" t="s">
        <v>76</v>
      </c>
      <c r="H50" s="66"/>
      <c r="I50" s="66" t="s">
        <v>60</v>
      </c>
      <c r="J50" s="67"/>
      <c r="K50" s="67"/>
      <c r="L50" s="68">
        <f t="shared" ref="L50:Z50" si="7">SUM(L30:L49)</f>
        <v>0</v>
      </c>
      <c r="M50" s="68">
        <f t="shared" si="7"/>
        <v>3</v>
      </c>
      <c r="N50" s="68">
        <f t="shared" si="7"/>
        <v>7</v>
      </c>
      <c r="O50" s="68">
        <f t="shared" si="7"/>
        <v>7</v>
      </c>
      <c r="P50" s="68">
        <f t="shared" si="7"/>
        <v>9</v>
      </c>
      <c r="Q50" s="68">
        <f t="shared" si="7"/>
        <v>9</v>
      </c>
      <c r="R50" s="68">
        <f t="shared" si="7"/>
        <v>9</v>
      </c>
      <c r="S50" s="68">
        <f t="shared" si="7"/>
        <v>9</v>
      </c>
      <c r="T50" s="68">
        <f t="shared" si="7"/>
        <v>7</v>
      </c>
      <c r="U50" s="68">
        <f t="shared" si="7"/>
        <v>5</v>
      </c>
      <c r="V50" s="68">
        <f t="shared" si="7"/>
        <v>3</v>
      </c>
      <c r="W50" s="68">
        <f t="shared" si="7"/>
        <v>3</v>
      </c>
      <c r="X50" s="68">
        <f t="shared" si="7"/>
        <v>3</v>
      </c>
      <c r="Y50" s="68">
        <f t="shared" si="7"/>
        <v>2.5</v>
      </c>
      <c r="Z50" s="68">
        <f t="shared" si="7"/>
        <v>1</v>
      </c>
      <c r="AA50" s="68"/>
      <c r="AB50" s="68"/>
      <c r="AC50" s="68"/>
      <c r="AD50" s="68"/>
      <c r="AE50" s="68"/>
      <c r="AF50" s="68"/>
      <c r="AG50" s="68"/>
      <c r="AH50" s="68"/>
      <c r="AI50" s="69">
        <f>SUM(AI30:AI49)</f>
        <v>77.5</v>
      </c>
      <c r="AJ50" s="26"/>
      <c r="AK50" s="19"/>
    </row>
    <row r="51" spans="1:37" ht="4.5" customHeight="1" x14ac:dyDescent="0.2">
      <c r="A51" s="70"/>
      <c r="B51" s="71"/>
      <c r="C51" s="72"/>
      <c r="D51" s="73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8"/>
      <c r="AK51" s="70"/>
    </row>
    <row r="52" spans="1:37" ht="16.5" customHeight="1" x14ac:dyDescent="0.2">
      <c r="A52" s="19"/>
      <c r="B52" s="25"/>
      <c r="C52" s="178" t="s">
        <v>59</v>
      </c>
      <c r="D52" s="179"/>
      <c r="E52" s="180"/>
      <c r="F52" s="84"/>
      <c r="G52" s="85"/>
      <c r="H52" s="85"/>
      <c r="I52" s="85" t="s">
        <v>64</v>
      </c>
      <c r="J52" s="86"/>
      <c r="K52" s="86"/>
      <c r="L52" s="68">
        <f t="shared" ref="L52:Z52" si="8">L28+L50</f>
        <v>6.5</v>
      </c>
      <c r="M52" s="68">
        <f t="shared" si="8"/>
        <v>12.5</v>
      </c>
      <c r="N52" s="68">
        <f t="shared" si="8"/>
        <v>19</v>
      </c>
      <c r="O52" s="68">
        <f t="shared" si="8"/>
        <v>19</v>
      </c>
      <c r="P52" s="68">
        <f t="shared" si="8"/>
        <v>22</v>
      </c>
      <c r="Q52" s="68">
        <f t="shared" si="8"/>
        <v>22</v>
      </c>
      <c r="R52" s="68">
        <f t="shared" si="8"/>
        <v>22</v>
      </c>
      <c r="S52" s="68">
        <f t="shared" si="8"/>
        <v>19</v>
      </c>
      <c r="T52" s="68">
        <f t="shared" si="8"/>
        <v>15</v>
      </c>
      <c r="U52" s="68">
        <f t="shared" si="8"/>
        <v>13</v>
      </c>
      <c r="V52" s="68">
        <f t="shared" si="8"/>
        <v>10</v>
      </c>
      <c r="W52" s="68">
        <f t="shared" si="8"/>
        <v>6</v>
      </c>
      <c r="X52" s="68">
        <f t="shared" si="8"/>
        <v>6</v>
      </c>
      <c r="Y52" s="68">
        <f t="shared" si="8"/>
        <v>5.5</v>
      </c>
      <c r="Z52" s="68">
        <f t="shared" si="8"/>
        <v>1.5</v>
      </c>
      <c r="AA52" s="68"/>
      <c r="AB52" s="68"/>
      <c r="AC52" s="68"/>
      <c r="AD52" s="68"/>
      <c r="AE52" s="68"/>
      <c r="AF52" s="68"/>
      <c r="AG52" s="68"/>
      <c r="AH52" s="68"/>
      <c r="AI52" s="69">
        <f>AI28+AI50</f>
        <v>199</v>
      </c>
      <c r="AJ52" s="26"/>
      <c r="AK52" s="19"/>
    </row>
    <row r="53" spans="1:37" ht="16.5" customHeight="1" thickBot="1" x14ac:dyDescent="0.25">
      <c r="A53" s="19"/>
      <c r="B53" s="87"/>
      <c r="C53" s="88"/>
      <c r="D53" s="88"/>
      <c r="E53" s="89"/>
      <c r="F53" s="89"/>
      <c r="G53" s="89"/>
      <c r="H53" s="89"/>
      <c r="I53" s="88"/>
      <c r="J53" s="88"/>
      <c r="K53" s="90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91"/>
      <c r="AK53" s="19"/>
    </row>
    <row r="54" spans="1:37" ht="16.5" customHeight="1" x14ac:dyDescent="0.2">
      <c r="C54" s="106"/>
    </row>
    <row r="55" spans="1:37" ht="27.75" customHeight="1" x14ac:dyDescent="0.2">
      <c r="A55" s="19"/>
      <c r="B55" s="19"/>
      <c r="C55" s="19"/>
      <c r="D55" s="19"/>
      <c r="E55" s="2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0"/>
      <c r="R55" s="20"/>
      <c r="S55" s="92" t="s">
        <v>65</v>
      </c>
      <c r="X55" s="92" t="s">
        <v>66</v>
      </c>
      <c r="AJ55" s="19"/>
      <c r="AK55" s="19"/>
    </row>
    <row r="56" spans="1:37" ht="16.5" customHeight="1" x14ac:dyDescent="0.2">
      <c r="A56" s="19"/>
      <c r="B56" s="1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0"/>
      <c r="R56" s="20"/>
      <c r="S56" s="93" t="s">
        <v>67</v>
      </c>
      <c r="T56" s="94" t="s">
        <v>68</v>
      </c>
      <c r="U56" s="93" t="s">
        <v>69</v>
      </c>
      <c r="V56" s="93" t="s">
        <v>59</v>
      </c>
      <c r="W56" s="107" t="s">
        <v>79</v>
      </c>
      <c r="X56" s="190" t="s">
        <v>70</v>
      </c>
      <c r="Y56" s="172"/>
      <c r="Z56" s="95">
        <v>172</v>
      </c>
      <c r="AA56" s="108"/>
      <c r="AB56" s="108"/>
      <c r="AC56" s="108"/>
      <c r="AD56" s="108"/>
      <c r="AE56" s="108"/>
      <c r="AF56" s="108"/>
      <c r="AG56" s="108"/>
      <c r="AH56" s="108"/>
      <c r="AJ56" s="19"/>
      <c r="AK56" s="19"/>
    </row>
    <row r="57" spans="1:37" ht="16.5" customHeight="1" x14ac:dyDescent="0.2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S57" s="166" t="s">
        <v>52</v>
      </c>
      <c r="T57" s="96" t="s">
        <v>50</v>
      </c>
      <c r="U57" s="95">
        <f>SUMIF($E$7:$E$24,"고급",$AI$7:$AI$24)</f>
        <v>78.5</v>
      </c>
      <c r="V57" s="169">
        <f>SUM(U57:U59)</f>
        <v>121.5</v>
      </c>
      <c r="W57" s="107">
        <f>'250117 (제출본-최초)'!$U$46-U57</f>
        <v>-23.5</v>
      </c>
      <c r="X57" s="189" t="s">
        <v>80</v>
      </c>
      <c r="Y57" s="172"/>
      <c r="Z57" s="95">
        <f>204.5-Z56</f>
        <v>32.5</v>
      </c>
      <c r="AA57" s="109"/>
      <c r="AB57" s="109"/>
      <c r="AC57" s="109"/>
      <c r="AD57" s="109"/>
      <c r="AE57" s="109"/>
      <c r="AF57" s="109"/>
      <c r="AG57" s="109"/>
      <c r="AH57" s="109"/>
    </row>
    <row r="58" spans="1:37" ht="16.5" customHeight="1" x14ac:dyDescent="0.2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S58" s="167"/>
      <c r="T58" s="96" t="s">
        <v>56</v>
      </c>
      <c r="U58" s="95">
        <f>SUMIF($E$7:$E$24,"중급",$AI$7:$AI$24)</f>
        <v>24</v>
      </c>
      <c r="V58" s="167"/>
      <c r="W58" s="107">
        <f>'250117 (제출본-최초)'!$U$47-U58</f>
        <v>1</v>
      </c>
      <c r="X58" s="189" t="s">
        <v>72</v>
      </c>
      <c r="Y58" s="172"/>
      <c r="Z58" s="95">
        <v>204.5</v>
      </c>
      <c r="AA58" s="109"/>
      <c r="AB58" s="109"/>
      <c r="AC58" s="109"/>
      <c r="AD58" s="109"/>
      <c r="AE58" s="109"/>
      <c r="AF58" s="109"/>
      <c r="AG58" s="109"/>
      <c r="AH58" s="109"/>
    </row>
    <row r="59" spans="1:37" ht="16.5" customHeight="1" x14ac:dyDescent="0.2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S59" s="168"/>
      <c r="T59" s="96" t="s">
        <v>58</v>
      </c>
      <c r="U59" s="95">
        <f>SUMIF($E$7:$E$24,"초급",$AI$7:$AI$24)</f>
        <v>19</v>
      </c>
      <c r="V59" s="168"/>
      <c r="W59" s="107">
        <f>'250117 (제출본-최초)'!$U$48-U59</f>
        <v>0</v>
      </c>
      <c r="AA59" s="109"/>
      <c r="AB59" s="109"/>
      <c r="AC59" s="109"/>
      <c r="AD59" s="109"/>
      <c r="AE59" s="109"/>
      <c r="AF59" s="109"/>
      <c r="AG59" s="109"/>
      <c r="AH59" s="109"/>
    </row>
    <row r="60" spans="1:37" ht="16.5" customHeight="1" x14ac:dyDescent="0.2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S60" s="166" t="s">
        <v>61</v>
      </c>
      <c r="T60" s="96" t="s">
        <v>50</v>
      </c>
      <c r="U60" s="95">
        <f>SUMIF($E$30:$E$40,"고급",$AI$30:$AI$40)</f>
        <v>0</v>
      </c>
      <c r="V60" s="169">
        <f>SUM(U60:U62)</f>
        <v>77.5</v>
      </c>
      <c r="W60" s="107">
        <f>'250117 (제출본-최초)'!$U$49-U60</f>
        <v>0</v>
      </c>
    </row>
    <row r="61" spans="1:37" ht="16.5" customHeight="1" x14ac:dyDescent="0.2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S61" s="167"/>
      <c r="T61" s="96" t="s">
        <v>56</v>
      </c>
      <c r="U61" s="95">
        <f>SUMIF($E$30:$E$40,"중급",$AI$30:$AI$40)</f>
        <v>32.5</v>
      </c>
      <c r="V61" s="167"/>
      <c r="W61" s="107">
        <f>'250117 (제출본-최초)'!$U$50-U61</f>
        <v>4.5</v>
      </c>
    </row>
    <row r="62" spans="1:37" ht="16.5" customHeight="1" x14ac:dyDescent="0.2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S62" s="168"/>
      <c r="T62" s="96" t="s">
        <v>58</v>
      </c>
      <c r="U62" s="95">
        <f>SUMIF($E$30:$E$40,"초급",$AI$30:$AI$40)</f>
        <v>45</v>
      </c>
      <c r="V62" s="168"/>
      <c r="W62" s="107">
        <f>'250117 (제출본-최초)'!$U$51-U62</f>
        <v>-9</v>
      </c>
    </row>
    <row r="63" spans="1:37" ht="16.5" customHeight="1" x14ac:dyDescent="0.2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S63" s="170" t="s">
        <v>73</v>
      </c>
      <c r="T63" s="171"/>
      <c r="U63" s="172"/>
      <c r="V63" s="97">
        <f t="shared" ref="V63:W63" si="9">SUM(V57:V62)</f>
        <v>199</v>
      </c>
      <c r="W63" s="107">
        <f t="shared" si="9"/>
        <v>-27</v>
      </c>
    </row>
    <row r="64" spans="1:37" ht="16.5" customHeight="1" x14ac:dyDescent="0.2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S64" s="170" t="s">
        <v>81</v>
      </c>
      <c r="T64" s="171"/>
      <c r="U64" s="172"/>
      <c r="V64" s="97">
        <f>Z58-V63</f>
        <v>5.5</v>
      </c>
    </row>
    <row r="65" spans="6:16" ht="16.5" customHeight="1" x14ac:dyDescent="0.2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6:16" ht="16.5" customHeight="1" x14ac:dyDescent="0.2"/>
    <row r="67" spans="6:16" ht="16.5" customHeight="1" x14ac:dyDescent="0.2"/>
    <row r="68" spans="6:16" ht="16.5" customHeight="1" x14ac:dyDescent="0.2"/>
    <row r="69" spans="6:16" ht="16.5" customHeight="1" x14ac:dyDescent="0.2"/>
    <row r="70" spans="6:16" ht="16.5" customHeight="1" x14ac:dyDescent="0.2"/>
    <row r="71" spans="6:16" ht="16.5" customHeight="1" x14ac:dyDescent="0.2"/>
    <row r="72" spans="6:16" ht="16.5" customHeight="1" x14ac:dyDescent="0.2"/>
    <row r="73" spans="6:16" ht="16.5" customHeight="1" x14ac:dyDescent="0.2"/>
    <row r="74" spans="6:16" ht="16.5" customHeight="1" x14ac:dyDescent="0.2"/>
    <row r="75" spans="6:16" ht="16.5" customHeight="1" x14ac:dyDescent="0.2"/>
    <row r="76" spans="6:16" ht="16.5" customHeight="1" x14ac:dyDescent="0.2"/>
    <row r="77" spans="6:16" ht="16.5" customHeight="1" x14ac:dyDescent="0.2"/>
    <row r="78" spans="6:16" ht="16.5" customHeight="1" x14ac:dyDescent="0.2"/>
    <row r="79" spans="6:16" ht="16.5" customHeight="1" x14ac:dyDescent="0.2"/>
    <row r="80" spans="6:16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  <row r="1001" ht="16.5" customHeight="1" x14ac:dyDescent="0.2"/>
    <row r="1002" ht="16.5" customHeight="1" x14ac:dyDescent="0.2"/>
    <row r="1003" ht="16.5" customHeight="1" x14ac:dyDescent="0.2"/>
    <row r="1004" ht="16.5" customHeight="1" x14ac:dyDescent="0.2"/>
    <row r="1005" ht="16.5" customHeight="1" x14ac:dyDescent="0.2"/>
    <row r="1006" ht="16.5" customHeight="1" x14ac:dyDescent="0.2"/>
  </sheetData>
  <mergeCells count="23">
    <mergeCell ref="AM8:AM11"/>
    <mergeCell ref="AM12:AM13"/>
    <mergeCell ref="AM14:AM15"/>
    <mergeCell ref="S63:U63"/>
    <mergeCell ref="S64:U64"/>
    <mergeCell ref="S57:S59"/>
    <mergeCell ref="V57:V59"/>
    <mergeCell ref="X57:Y57"/>
    <mergeCell ref="X58:Y58"/>
    <mergeCell ref="S60:S62"/>
    <mergeCell ref="V60:V62"/>
    <mergeCell ref="X56:Y56"/>
    <mergeCell ref="C3:AI3"/>
    <mergeCell ref="C4:D4"/>
    <mergeCell ref="L5:M5"/>
    <mergeCell ref="N5:W5"/>
    <mergeCell ref="C7:C8"/>
    <mergeCell ref="D25:D27"/>
    <mergeCell ref="D31:D40"/>
    <mergeCell ref="D41:D43"/>
    <mergeCell ref="D44:D46"/>
    <mergeCell ref="D47:D49"/>
    <mergeCell ref="C52:E52"/>
  </mergeCells>
  <phoneticPr fontId="22" type="noConversion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자리배치도</vt:lpstr>
      <vt:lpstr>250117 (제출본-최초)</vt:lpstr>
      <vt:lpstr>250217 (제출본-최종)</vt:lpstr>
      <vt:lpstr>250305</vt:lpstr>
      <vt:lpstr>250326</vt:lpstr>
      <vt:lpstr>250411</vt:lpstr>
      <vt:lpstr>250602</vt:lpstr>
      <vt:lpstr>250704(기본)</vt:lpstr>
      <vt:lpstr>250710(기획 실질 - 디자인 2번방향)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user</cp:lastModifiedBy>
  <dcterms:created xsi:type="dcterms:W3CDTF">2025-01-15T10:03:09Z</dcterms:created>
  <dcterms:modified xsi:type="dcterms:W3CDTF">2025-07-15T07:38:54Z</dcterms:modified>
</cp:coreProperties>
</file>