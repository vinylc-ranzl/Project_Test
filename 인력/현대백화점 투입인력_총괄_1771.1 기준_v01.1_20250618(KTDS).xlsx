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user/Downloads/인력/"/>
    </mc:Choice>
  </mc:AlternateContent>
  <xr:revisionPtr revIDLastSave="0" documentId="13_ncr:1_{B4224636-4F87-9649-B2B2-6FA86D3C57CF}" xr6:coauthVersionLast="47" xr6:coauthVersionMax="47" xr10:uidLastSave="{00000000-0000-0000-0000-000000000000}"/>
  <bookViews>
    <workbookView minimized="1" xWindow="0" yWindow="780" windowWidth="34200" windowHeight="19660" tabRatio="670" activeTab="4" xr2:uid="{00000000-000D-0000-FFFF-FFFF00000000}"/>
  </bookViews>
  <sheets>
    <sheet name="견적대비실투입(월별)" sheetId="48" state="hidden" r:id="rId1"/>
    <sheet name="견적대비실투입(등급)" sheetId="47" state="hidden" r:id="rId2"/>
    <sheet name="견적기준통합" sheetId="46" state="hidden" r:id="rId3"/>
    <sheet name="협력사등급별MM" sheetId="41" r:id="rId4"/>
    <sheet name="인력관리" sheetId="42" r:id="rId5"/>
    <sheet name="Sheet2" sheetId="54" r:id="rId6"/>
    <sheet name="투입날짜 계산" sheetId="51" r:id="rId7"/>
    <sheet name="견적기준" sheetId="45" state="hidden" r:id="rId8"/>
    <sheet name="holidays" sheetId="44" r:id="rId9"/>
    <sheet name="인력관리_인력비가득 확인용" sheetId="52" r:id="rId10"/>
    <sheet name="Sheet1" sheetId="53" r:id="rId11"/>
  </sheets>
  <definedNames>
    <definedName name="_xlnm._FilterDatabase" localSheetId="7" hidden="1">견적기준!$A$5:$AV$201</definedName>
    <definedName name="_xlnm._FilterDatabase" localSheetId="4" hidden="1">인력관리!$A$5:$AW$259</definedName>
    <definedName name="_xlnm._FilterDatabase" localSheetId="9" hidden="1">'인력관리_인력비가득 확인용'!$A$5:$AS$243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2" i="42" l="1"/>
  <c r="T19" i="42"/>
  <c r="AO10" i="42"/>
  <c r="T9" i="42"/>
  <c r="T10" i="42"/>
  <c r="AP10" i="42" s="1"/>
  <c r="AQ10" i="42" l="1"/>
  <c r="T81" i="42"/>
  <c r="T80" i="42"/>
  <c r="AO80" i="42"/>
  <c r="AO68" i="42"/>
  <c r="T68" i="42"/>
  <c r="AP68" i="42" s="1"/>
  <c r="AQ68" i="42" l="1"/>
  <c r="AP41" i="41"/>
  <c r="AO41" i="41"/>
  <c r="AN41" i="41"/>
  <c r="AM41" i="41"/>
  <c r="AL41" i="41"/>
  <c r="AK41" i="41"/>
  <c r="AJ41" i="41"/>
  <c r="AI41" i="41"/>
  <c r="AH41" i="41"/>
  <c r="AG41" i="41"/>
  <c r="AF41" i="41"/>
  <c r="AE41" i="41"/>
  <c r="AD41" i="41"/>
  <c r="AC41" i="41"/>
  <c r="AB41" i="41"/>
  <c r="AA41" i="41"/>
  <c r="Z41" i="41"/>
  <c r="Y41" i="41"/>
  <c r="X41" i="41"/>
  <c r="W41" i="41"/>
  <c r="V41" i="41"/>
  <c r="U41" i="41"/>
  <c r="T41" i="41"/>
  <c r="S41" i="41"/>
  <c r="R41" i="41"/>
  <c r="Q41" i="41"/>
  <c r="P41" i="41"/>
  <c r="O41" i="41"/>
  <c r="N41" i="41"/>
  <c r="M41" i="41"/>
  <c r="N40" i="41"/>
  <c r="O40" i="41"/>
  <c r="P40" i="41"/>
  <c r="Q40" i="41"/>
  <c r="R40" i="41"/>
  <c r="S40" i="41"/>
  <c r="T40" i="41"/>
  <c r="U40" i="41"/>
  <c r="W40" i="41"/>
  <c r="X40" i="41"/>
  <c r="Y40" i="41"/>
  <c r="Z40" i="41"/>
  <c r="AA40" i="41"/>
  <c r="AB40" i="41"/>
  <c r="AC40" i="41"/>
  <c r="AD40" i="41"/>
  <c r="AE40" i="41"/>
  <c r="AF40" i="41"/>
  <c r="AG40" i="41"/>
  <c r="AH40" i="41"/>
  <c r="AI40" i="41"/>
  <c r="AJ40" i="41"/>
  <c r="AK40" i="41"/>
  <c r="AL40" i="41"/>
  <c r="AM40" i="41"/>
  <c r="AN40" i="41"/>
  <c r="AO40" i="41"/>
  <c r="AP40" i="41"/>
  <c r="AP20" i="41"/>
  <c r="AP63" i="41" s="1"/>
  <c r="AO20" i="41"/>
  <c r="AO63" i="41" s="1"/>
  <c r="AN20" i="41"/>
  <c r="AN63" i="41" s="1"/>
  <c r="AM20" i="41"/>
  <c r="AM63" i="41" s="1"/>
  <c r="AL20" i="41"/>
  <c r="AL63" i="41" s="1"/>
  <c r="AK20" i="41"/>
  <c r="AK63" i="41" s="1"/>
  <c r="AJ20" i="41"/>
  <c r="AJ63" i="41" s="1"/>
  <c r="AI20" i="41"/>
  <c r="AI63" i="41" s="1"/>
  <c r="AH20" i="41"/>
  <c r="AH63" i="41" s="1"/>
  <c r="AG20" i="41"/>
  <c r="AG63" i="41" s="1"/>
  <c r="AF20" i="41"/>
  <c r="AF63" i="41" s="1"/>
  <c r="AE20" i="41"/>
  <c r="AE63" i="41" s="1"/>
  <c r="AD20" i="41"/>
  <c r="AD63" i="41" s="1"/>
  <c r="AC20" i="41"/>
  <c r="AC63" i="41" s="1"/>
  <c r="AB20" i="41"/>
  <c r="AB63" i="41" s="1"/>
  <c r="AA20" i="41"/>
  <c r="AA63" i="41" s="1"/>
  <c r="Z20" i="41"/>
  <c r="Z63" i="41" s="1"/>
  <c r="Y20" i="41"/>
  <c r="Y63" i="41" s="1"/>
  <c r="X20" i="41"/>
  <c r="X63" i="41" s="1"/>
  <c r="W20" i="41"/>
  <c r="W63" i="41" s="1"/>
  <c r="V20" i="41"/>
  <c r="V63" i="41" s="1"/>
  <c r="U20" i="41"/>
  <c r="U63" i="41" s="1"/>
  <c r="T20" i="41"/>
  <c r="T63" i="41" s="1"/>
  <c r="S20" i="41"/>
  <c r="S63" i="41" s="1"/>
  <c r="R20" i="41"/>
  <c r="R63" i="41" s="1"/>
  <c r="Q20" i="41"/>
  <c r="Q63" i="41" s="1"/>
  <c r="P20" i="41"/>
  <c r="P63" i="41" s="1"/>
  <c r="O20" i="41"/>
  <c r="O63" i="41" s="1"/>
  <c r="N20" i="41"/>
  <c r="N63" i="41" s="1"/>
  <c r="M20" i="41"/>
  <c r="M63" i="41" s="1"/>
  <c r="G20" i="41"/>
  <c r="F20" i="41"/>
  <c r="E20" i="41"/>
  <c r="AV22" i="41"/>
  <c r="AV21" i="41"/>
  <c r="AO169" i="42"/>
  <c r="AQ63" i="41" l="1"/>
  <c r="AR63" i="41"/>
  <c r="AQ41" i="41"/>
  <c r="AR41" i="41"/>
  <c r="AR20" i="41"/>
  <c r="AQ20" i="41"/>
  <c r="T195" i="42"/>
  <c r="T163" i="42"/>
  <c r="T162" i="42"/>
  <c r="T161" i="42"/>
  <c r="T160" i="42"/>
  <c r="AS63" i="41" l="1"/>
  <c r="AS41" i="41"/>
  <c r="AS20" i="41"/>
  <c r="AW21" i="41"/>
  <c r="T106" i="42" l="1"/>
  <c r="R169" i="42"/>
  <c r="T159" i="42" l="1"/>
  <c r="V40" i="41" s="1"/>
  <c r="AP163" i="42" l="1"/>
  <c r="AO163" i="42"/>
  <c r="AP162" i="42"/>
  <c r="AO162" i="42"/>
  <c r="AP161" i="42"/>
  <c r="AO161" i="42"/>
  <c r="AP160" i="42"/>
  <c r="AO160" i="42"/>
  <c r="AP159" i="42"/>
  <c r="AO159" i="42"/>
  <c r="AO91" i="42"/>
  <c r="AO90" i="42"/>
  <c r="AO79" i="42"/>
  <c r="AQ163" i="42" l="1"/>
  <c r="AQ162" i="42"/>
  <c r="AQ161" i="42"/>
  <c r="AQ160" i="42"/>
  <c r="AQ159" i="42"/>
  <c r="AW19" i="41" l="1"/>
  <c r="AW18" i="41"/>
  <c r="AW17" i="41"/>
  <c r="AW16" i="41"/>
  <c r="AW15" i="41"/>
  <c r="AW14" i="41"/>
  <c r="AW13" i="41"/>
  <c r="AW12" i="41"/>
  <c r="AW11" i="41"/>
  <c r="AW10" i="41"/>
  <c r="AW9" i="41"/>
  <c r="AW8" i="41"/>
  <c r="AW7" i="41"/>
  <c r="AW6" i="41"/>
  <c r="AW5" i="41"/>
  <c r="M40" i="41"/>
  <c r="AP19" i="41"/>
  <c r="AP62" i="41" s="1"/>
  <c r="AO19" i="41"/>
  <c r="AO62" i="41" s="1"/>
  <c r="AN19" i="41"/>
  <c r="AN62" i="41" s="1"/>
  <c r="AM19" i="41"/>
  <c r="AM62" i="41" s="1"/>
  <c r="AL19" i="41"/>
  <c r="AL62" i="41" s="1"/>
  <c r="AK19" i="41"/>
  <c r="AK62" i="41" s="1"/>
  <c r="AJ19" i="41"/>
  <c r="AJ62" i="41" s="1"/>
  <c r="AI19" i="41"/>
  <c r="AI62" i="41" s="1"/>
  <c r="AH19" i="41"/>
  <c r="AH62" i="41" s="1"/>
  <c r="AG19" i="41"/>
  <c r="AG62" i="41" s="1"/>
  <c r="AF19" i="41"/>
  <c r="AF62" i="41" s="1"/>
  <c r="AE19" i="41"/>
  <c r="AE62" i="41" s="1"/>
  <c r="AD19" i="41"/>
  <c r="AD62" i="41" s="1"/>
  <c r="AC19" i="41"/>
  <c r="AC62" i="41" s="1"/>
  <c r="AB19" i="41"/>
  <c r="AB62" i="41" s="1"/>
  <c r="AA19" i="41"/>
  <c r="AA62" i="41" s="1"/>
  <c r="Z19" i="41"/>
  <c r="Z62" i="41" s="1"/>
  <c r="Y19" i="41"/>
  <c r="Y62" i="41" s="1"/>
  <c r="X19" i="41"/>
  <c r="X62" i="41" s="1"/>
  <c r="W19" i="41"/>
  <c r="W62" i="41" s="1"/>
  <c r="V19" i="41"/>
  <c r="V62" i="41" s="1"/>
  <c r="U19" i="41"/>
  <c r="U62" i="41" s="1"/>
  <c r="T19" i="41"/>
  <c r="T62" i="41" s="1"/>
  <c r="S19" i="41"/>
  <c r="S62" i="41" s="1"/>
  <c r="R19" i="41"/>
  <c r="R62" i="41" s="1"/>
  <c r="Q19" i="41"/>
  <c r="Q62" i="41" s="1"/>
  <c r="P19" i="41"/>
  <c r="P62" i="41" s="1"/>
  <c r="O19" i="41"/>
  <c r="O62" i="41" s="1"/>
  <c r="N19" i="41"/>
  <c r="N62" i="41" s="1"/>
  <c r="M19" i="41"/>
  <c r="G19" i="41"/>
  <c r="F19" i="41"/>
  <c r="E19" i="41"/>
  <c r="D19" i="41"/>
  <c r="AP176" i="42"/>
  <c r="AO176" i="42"/>
  <c r="AP175" i="42"/>
  <c r="AO175" i="42"/>
  <c r="AP174" i="42"/>
  <c r="AO174" i="42"/>
  <c r="AP173" i="42"/>
  <c r="AO173" i="42"/>
  <c r="AO172" i="42"/>
  <c r="AO171" i="42"/>
  <c r="AO170" i="42"/>
  <c r="T172" i="42"/>
  <c r="AP172" i="42" s="1"/>
  <c r="T157" i="42"/>
  <c r="R157" i="42"/>
  <c r="AQ176" i="42" l="1"/>
  <c r="H19" i="41"/>
  <c r="M62" i="41"/>
  <c r="AQ62" i="41" s="1"/>
  <c r="AQ19" i="41"/>
  <c r="AQ175" i="42"/>
  <c r="AQ174" i="42"/>
  <c r="AQ173" i="42"/>
  <c r="AQ172" i="42"/>
  <c r="AR62" i="41"/>
  <c r="AQ40" i="41"/>
  <c r="AR40" i="41"/>
  <c r="AR19" i="41"/>
  <c r="AP157" i="42"/>
  <c r="T238" i="42"/>
  <c r="T223" i="42"/>
  <c r="T215" i="42"/>
  <c r="R243" i="42"/>
  <c r="R170" i="42"/>
  <c r="AT19" i="41" l="1"/>
  <c r="AS40" i="41"/>
  <c r="AS19" i="41"/>
  <c r="AS62" i="41"/>
  <c r="AO157" i="42"/>
  <c r="AQ157" i="42" s="1"/>
  <c r="R122" i="42"/>
  <c r="R249" i="42"/>
  <c r="T249" i="42"/>
  <c r="T228" i="42"/>
  <c r="T239" i="42"/>
  <c r="T213" i="42"/>
  <c r="T203" i="42"/>
  <c r="T202" i="42"/>
  <c r="T196" i="42"/>
  <c r="T91" i="42"/>
  <c r="AP91" i="42" s="1"/>
  <c r="AQ91" i="42" s="1"/>
  <c r="T90" i="42"/>
  <c r="AP90" i="42" s="1"/>
  <c r="AQ90" i="42" s="1"/>
  <c r="T82" i="42"/>
  <c r="AP79" i="42"/>
  <c r="AQ79" i="42" s="1"/>
  <c r="T78" i="42"/>
  <c r="T35" i="42"/>
  <c r="T25" i="42"/>
  <c r="T24" i="42"/>
  <c r="T243" i="42"/>
  <c r="T236" i="42"/>
  <c r="T235" i="42"/>
  <c r="T233" i="42"/>
  <c r="T231" i="42"/>
  <c r="T230" i="42"/>
  <c r="T229" i="42"/>
  <c r="T212" i="42"/>
  <c r="T211" i="42"/>
  <c r="T210" i="42"/>
  <c r="T209" i="42"/>
  <c r="T208" i="42"/>
  <c r="T207" i="42"/>
  <c r="T205" i="42"/>
  <c r="T194" i="42"/>
  <c r="T191" i="42"/>
  <c r="T190" i="42"/>
  <c r="T189" i="42"/>
  <c r="T188" i="42"/>
  <c r="T184" i="42"/>
  <c r="T183" i="42"/>
  <c r="T182" i="42"/>
  <c r="T179" i="42"/>
  <c r="T178" i="42"/>
  <c r="T171" i="42"/>
  <c r="AP171" i="42" s="1"/>
  <c r="AQ171" i="42" s="1"/>
  <c r="T170" i="42"/>
  <c r="AP170" i="42" s="1"/>
  <c r="AQ170" i="42" s="1"/>
  <c r="T168" i="42"/>
  <c r="T167" i="42"/>
  <c r="T166" i="42"/>
  <c r="T165" i="42"/>
  <c r="T158" i="42"/>
  <c r="T156" i="42"/>
  <c r="T154" i="42"/>
  <c r="T153" i="42"/>
  <c r="T151" i="42"/>
  <c r="T149" i="42"/>
  <c r="T148" i="42"/>
  <c r="T146" i="42"/>
  <c r="T145" i="42"/>
  <c r="T143" i="42"/>
  <c r="T141" i="42"/>
  <c r="T140" i="42"/>
  <c r="T138" i="42"/>
  <c r="T137" i="42"/>
  <c r="T134" i="42"/>
  <c r="T133" i="42"/>
  <c r="T129" i="42"/>
  <c r="T128" i="42"/>
  <c r="T127" i="42"/>
  <c r="T126" i="42"/>
  <c r="T125" i="42"/>
  <c r="T123" i="42"/>
  <c r="T121" i="42"/>
  <c r="T120" i="42"/>
  <c r="T119" i="42"/>
  <c r="T118" i="42"/>
  <c r="T117" i="42"/>
  <c r="T116" i="42"/>
  <c r="T115" i="42"/>
  <c r="T114" i="42"/>
  <c r="T113" i="42"/>
  <c r="T112" i="42"/>
  <c r="T111" i="42"/>
  <c r="T110" i="42"/>
  <c r="T109" i="42"/>
  <c r="T108" i="42"/>
  <c r="T107" i="42"/>
  <c r="T105" i="42"/>
  <c r="T104" i="42"/>
  <c r="T102" i="42"/>
  <c r="T101" i="42"/>
  <c r="T100" i="42"/>
  <c r="T98" i="42"/>
  <c r="T96" i="42"/>
  <c r="T93" i="42"/>
  <c r="T92" i="42"/>
  <c r="T89" i="42"/>
  <c r="T88" i="42"/>
  <c r="T87" i="42"/>
  <c r="T86" i="42"/>
  <c r="T85" i="42"/>
  <c r="T84" i="42"/>
  <c r="T83" i="42"/>
  <c r="T77" i="42"/>
  <c r="T76" i="42"/>
  <c r="T75" i="42"/>
  <c r="T74" i="42"/>
  <c r="T73" i="42"/>
  <c r="T72" i="42"/>
  <c r="T71" i="42"/>
  <c r="T70" i="42"/>
  <c r="T69" i="42"/>
  <c r="T67" i="42"/>
  <c r="T64" i="42"/>
  <c r="T62" i="42"/>
  <c r="T61" i="42"/>
  <c r="T60" i="42"/>
  <c r="T59" i="42"/>
  <c r="T58" i="42"/>
  <c r="T54" i="42"/>
  <c r="T53" i="42"/>
  <c r="T51" i="42"/>
  <c r="T50" i="42"/>
  <c r="T48" i="42"/>
  <c r="T47" i="42"/>
  <c r="T45" i="42"/>
  <c r="T44" i="42"/>
  <c r="T42" i="42"/>
  <c r="T41" i="42"/>
  <c r="T40" i="42"/>
  <c r="T39" i="42"/>
  <c r="T38" i="42"/>
  <c r="T34" i="42"/>
  <c r="T33" i="42"/>
  <c r="T31" i="42"/>
  <c r="T23" i="42"/>
  <c r="T22" i="42"/>
  <c r="T18" i="42"/>
  <c r="T17" i="42"/>
  <c r="T16" i="42"/>
  <c r="T15" i="42"/>
  <c r="T12" i="42"/>
  <c r="T8" i="42"/>
  <c r="T6" i="42"/>
  <c r="T30" i="42" l="1"/>
  <c r="T214" i="42"/>
  <c r="T56" i="42"/>
  <c r="T20" i="42"/>
  <c r="T99" i="42"/>
  <c r="T46" i="42"/>
  <c r="T204" i="42"/>
  <c r="T245" i="42"/>
  <c r="T122" i="42"/>
  <c r="T66" i="42"/>
  <c r="AP146" i="42"/>
  <c r="AO146" i="42"/>
  <c r="P145" i="42"/>
  <c r="L145" i="42"/>
  <c r="R126" i="42"/>
  <c r="P126" i="42"/>
  <c r="N126" i="42"/>
  <c r="R134" i="42"/>
  <c r="R133" i="42"/>
  <c r="P133" i="42"/>
  <c r="R132" i="42"/>
  <c r="P132" i="42"/>
  <c r="N132" i="42"/>
  <c r="L132" i="42"/>
  <c r="R131" i="42"/>
  <c r="P131" i="42"/>
  <c r="N131" i="42"/>
  <c r="L131" i="42"/>
  <c r="R130" i="42"/>
  <c r="P130" i="42"/>
  <c r="N130" i="42"/>
  <c r="L130" i="42"/>
  <c r="R129" i="42"/>
  <c r="P129" i="42"/>
  <c r="N129" i="42"/>
  <c r="L129" i="42"/>
  <c r="R128" i="42"/>
  <c r="P128" i="42"/>
  <c r="N128" i="42"/>
  <c r="L128" i="42"/>
  <c r="R127" i="42"/>
  <c r="P127" i="42"/>
  <c r="N127" i="42"/>
  <c r="P125" i="42"/>
  <c r="L125" i="42"/>
  <c r="T250" i="42" l="1"/>
  <c r="AQ146" i="42"/>
  <c r="AT146" i="42"/>
  <c r="AP25" i="42" l="1"/>
  <c r="AO25" i="42"/>
  <c r="AQ25" i="42" l="1"/>
  <c r="AO19" i="42"/>
  <c r="AP19" i="42"/>
  <c r="AS253" i="42"/>
  <c r="L21" i="42"/>
  <c r="N21" i="42"/>
  <c r="AO22" i="42"/>
  <c r="AO247" i="42"/>
  <c r="AP32" i="42"/>
  <c r="AO238" i="42"/>
  <c r="AQ238" i="42" s="1"/>
  <c r="AO11" i="42"/>
  <c r="AQ19" i="42" l="1"/>
  <c r="AO165" i="42" l="1"/>
  <c r="R165" i="42"/>
  <c r="AP165" i="42" s="1"/>
  <c r="AQ165" i="42" l="1"/>
  <c r="Y73" i="53"/>
  <c r="X73" i="53"/>
  <c r="W73" i="53"/>
  <c r="V73" i="53"/>
  <c r="U73" i="53"/>
  <c r="T73" i="53"/>
  <c r="S73" i="53"/>
  <c r="R73" i="53"/>
  <c r="Q73" i="53"/>
  <c r="P73" i="53"/>
  <c r="O73" i="53"/>
  <c r="N73" i="53"/>
  <c r="M73" i="53"/>
  <c r="L73" i="53"/>
  <c r="K73" i="53"/>
  <c r="J73" i="53"/>
  <c r="Y72" i="53"/>
  <c r="X72" i="53"/>
  <c r="W72" i="53"/>
  <c r="V72" i="53"/>
  <c r="U72" i="53"/>
  <c r="T72" i="53"/>
  <c r="S72" i="53"/>
  <c r="R72" i="53"/>
  <c r="Q72" i="53"/>
  <c r="P72" i="53"/>
  <c r="O72" i="53"/>
  <c r="N72" i="53"/>
  <c r="M72" i="53"/>
  <c r="L72" i="53"/>
  <c r="K72" i="53"/>
  <c r="J72" i="53"/>
  <c r="Y71" i="53"/>
  <c r="X71" i="53"/>
  <c r="W71" i="53"/>
  <c r="V71" i="53"/>
  <c r="U71" i="53"/>
  <c r="T71" i="53"/>
  <c r="S71" i="53"/>
  <c r="R71" i="53"/>
  <c r="Q71" i="53"/>
  <c r="P71" i="53"/>
  <c r="O71" i="53"/>
  <c r="N71" i="53"/>
  <c r="M71" i="53"/>
  <c r="L71" i="53"/>
  <c r="K71" i="53"/>
  <c r="J71" i="53"/>
  <c r="Y70" i="53"/>
  <c r="Y74" i="53" s="1"/>
  <c r="X70" i="53"/>
  <c r="X74" i="53" s="1"/>
  <c r="W70" i="53"/>
  <c r="W74" i="53" s="1"/>
  <c r="V70" i="53"/>
  <c r="V74" i="53" s="1"/>
  <c r="U70" i="53"/>
  <c r="U74" i="53" s="1"/>
  <c r="T70" i="53"/>
  <c r="T74" i="53" s="1"/>
  <c r="S70" i="53"/>
  <c r="S74" i="53" s="1"/>
  <c r="R70" i="53"/>
  <c r="R74" i="53" s="1"/>
  <c r="Q70" i="53"/>
  <c r="Q74" i="53" s="1"/>
  <c r="P70" i="53"/>
  <c r="P74" i="53" s="1"/>
  <c r="O70" i="53"/>
  <c r="O74" i="53" s="1"/>
  <c r="N70" i="53"/>
  <c r="N74" i="53" s="1"/>
  <c r="M70" i="53"/>
  <c r="M74" i="53" s="1"/>
  <c r="L70" i="53"/>
  <c r="L74" i="53" s="1"/>
  <c r="K70" i="53"/>
  <c r="J70" i="53"/>
  <c r="J74" i="53" s="1"/>
  <c r="W67" i="53"/>
  <c r="AB66" i="53"/>
  <c r="Y64" i="53"/>
  <c r="Y67" i="53" s="1"/>
  <c r="X64" i="53"/>
  <c r="X67" i="53" s="1"/>
  <c r="W64" i="53"/>
  <c r="V64" i="53"/>
  <c r="V67" i="53" s="1"/>
  <c r="U64" i="53"/>
  <c r="U67" i="53" s="1"/>
  <c r="T64" i="53"/>
  <c r="T67" i="53" s="1"/>
  <c r="S64" i="53"/>
  <c r="S67" i="53" s="1"/>
  <c r="R64" i="53"/>
  <c r="R67" i="53" s="1"/>
  <c r="Q64" i="53"/>
  <c r="Q67" i="53" s="1"/>
  <c r="P64" i="53"/>
  <c r="P67" i="53" s="1"/>
  <c r="O64" i="53"/>
  <c r="O67" i="53" s="1"/>
  <c r="N64" i="53"/>
  <c r="N67" i="53" s="1"/>
  <c r="M64" i="53"/>
  <c r="M67" i="53" s="1"/>
  <c r="L64" i="53"/>
  <c r="L67" i="53" s="1"/>
  <c r="K64" i="53"/>
  <c r="K67" i="53" s="1"/>
  <c r="J64" i="53"/>
  <c r="Y62" i="53"/>
  <c r="Y63" i="53" s="1"/>
  <c r="X62" i="53"/>
  <c r="W62" i="53"/>
  <c r="V62" i="53"/>
  <c r="V63" i="53" s="1"/>
  <c r="U62" i="53"/>
  <c r="T62" i="53"/>
  <c r="T63" i="53" s="1"/>
  <c r="S62" i="53"/>
  <c r="S63" i="53" s="1"/>
  <c r="R62" i="53"/>
  <c r="R63" i="53" s="1"/>
  <c r="Q62" i="53"/>
  <c r="Q63" i="53" s="1"/>
  <c r="P62" i="53"/>
  <c r="O62" i="53"/>
  <c r="N62" i="53"/>
  <c r="N63" i="53" s="1"/>
  <c r="M62" i="53"/>
  <c r="M65" i="53" s="1"/>
  <c r="L62" i="53"/>
  <c r="L63" i="53" s="1"/>
  <c r="K62" i="53"/>
  <c r="K63" i="53" s="1"/>
  <c r="J62" i="53"/>
  <c r="Z61" i="53"/>
  <c r="Z60" i="53"/>
  <c r="Z59" i="53"/>
  <c r="Z58" i="53"/>
  <c r="Z57" i="53"/>
  <c r="Z56" i="53"/>
  <c r="Z55" i="53"/>
  <c r="Z54" i="53"/>
  <c r="Z53" i="53"/>
  <c r="Z52" i="53"/>
  <c r="Z51" i="53"/>
  <c r="Z50" i="53"/>
  <c r="Z49" i="53"/>
  <c r="Z48" i="53"/>
  <c r="Z47" i="53"/>
  <c r="Z46" i="53"/>
  <c r="Z45" i="53"/>
  <c r="Z44" i="53"/>
  <c r="Z43" i="53"/>
  <c r="Z42" i="53"/>
  <c r="Z41" i="53"/>
  <c r="Z40" i="53"/>
  <c r="Z39" i="53"/>
  <c r="Z38" i="53"/>
  <c r="Z37" i="53"/>
  <c r="Z36" i="53"/>
  <c r="Z35" i="53"/>
  <c r="Z34" i="53"/>
  <c r="Z33" i="53"/>
  <c r="Z32" i="53"/>
  <c r="Z31" i="53"/>
  <c r="Z30" i="53"/>
  <c r="Z29" i="53"/>
  <c r="Z28" i="53"/>
  <c r="Y27" i="53"/>
  <c r="X27" i="53"/>
  <c r="W27" i="53"/>
  <c r="V27" i="53"/>
  <c r="U27" i="53"/>
  <c r="T27" i="53"/>
  <c r="S27" i="53"/>
  <c r="S65" i="53" s="1"/>
  <c r="R27" i="53"/>
  <c r="Q27" i="53"/>
  <c r="P27" i="53"/>
  <c r="O27" i="53"/>
  <c r="N27" i="53"/>
  <c r="M27" i="53"/>
  <c r="L27" i="53"/>
  <c r="K27" i="53"/>
  <c r="J27" i="53"/>
  <c r="Z26" i="53"/>
  <c r="Z25" i="53"/>
  <c r="Z24" i="53"/>
  <c r="Z23" i="53"/>
  <c r="Z22" i="53"/>
  <c r="Z21" i="53"/>
  <c r="Z20" i="53"/>
  <c r="Z19" i="53"/>
  <c r="Z18" i="53"/>
  <c r="Z17" i="53"/>
  <c r="Z16" i="53"/>
  <c r="Z15" i="53"/>
  <c r="Z14" i="53"/>
  <c r="Z13" i="53"/>
  <c r="Z12" i="53"/>
  <c r="Z11" i="53"/>
  <c r="Z10" i="53"/>
  <c r="Z9" i="53"/>
  <c r="Z8" i="53"/>
  <c r="Z7" i="53"/>
  <c r="Z6" i="53"/>
  <c r="Z5" i="53"/>
  <c r="J65" i="53" l="1"/>
  <c r="R65" i="53"/>
  <c r="Z70" i="53"/>
  <c r="Z71" i="53"/>
  <c r="Z72" i="53"/>
  <c r="Z73" i="53"/>
  <c r="Q66" i="53"/>
  <c r="Y66" i="53"/>
  <c r="N65" i="53"/>
  <c r="V65" i="53"/>
  <c r="L66" i="53"/>
  <c r="T66" i="53"/>
  <c r="U65" i="53"/>
  <c r="S66" i="53"/>
  <c r="Q65" i="53"/>
  <c r="N66" i="53"/>
  <c r="V66" i="53"/>
  <c r="J66" i="53"/>
  <c r="Y65" i="53"/>
  <c r="O65" i="53"/>
  <c r="W65" i="53"/>
  <c r="Z27" i="53"/>
  <c r="Z62" i="53"/>
  <c r="P65" i="53"/>
  <c r="X65" i="53"/>
  <c r="K74" i="53"/>
  <c r="R66" i="53"/>
  <c r="Z64" i="53"/>
  <c r="K65" i="53"/>
  <c r="Z65" i="53" s="1"/>
  <c r="K66" i="53"/>
  <c r="L65" i="53"/>
  <c r="T65" i="53"/>
  <c r="M63" i="53"/>
  <c r="M66" i="53" s="1"/>
  <c r="U63" i="53"/>
  <c r="U66" i="53" s="1"/>
  <c r="O63" i="53"/>
  <c r="O66" i="53" s="1"/>
  <c r="W63" i="53"/>
  <c r="W66" i="53" s="1"/>
  <c r="J67" i="53"/>
  <c r="Z67" i="53" s="1"/>
  <c r="P63" i="53"/>
  <c r="P66" i="53" s="1"/>
  <c r="X63" i="53"/>
  <c r="X66" i="53" s="1"/>
  <c r="G249" i="52"/>
  <c r="AK247" i="52"/>
  <c r="AM240" i="52"/>
  <c r="AK240" i="52"/>
  <c r="AI240" i="52"/>
  <c r="AG240" i="52"/>
  <c r="AE240" i="52"/>
  <c r="AC240" i="52"/>
  <c r="AA240" i="52"/>
  <c r="Y240" i="52"/>
  <c r="W240" i="52"/>
  <c r="U240" i="52"/>
  <c r="S240" i="52"/>
  <c r="Q240" i="52"/>
  <c r="P240" i="52"/>
  <c r="O240" i="52"/>
  <c r="N240" i="52"/>
  <c r="M240" i="52"/>
  <c r="L240" i="52"/>
  <c r="K240" i="52"/>
  <c r="J240" i="52"/>
  <c r="AP239" i="52"/>
  <c r="AO239" i="52"/>
  <c r="AP238" i="52"/>
  <c r="AO238" i="52"/>
  <c r="AQ238" i="52" s="1"/>
  <c r="AP237" i="52"/>
  <c r="AO237" i="52"/>
  <c r="AO240" i="52" s="1"/>
  <c r="AM236" i="52"/>
  <c r="AK236" i="52"/>
  <c r="AI236" i="52"/>
  <c r="AG236" i="52"/>
  <c r="AE236" i="52"/>
  <c r="AC236" i="52"/>
  <c r="AA236" i="52"/>
  <c r="Y236" i="52"/>
  <c r="W236" i="52"/>
  <c r="U236" i="52"/>
  <c r="S236" i="52"/>
  <c r="Q236" i="52"/>
  <c r="O236" i="52"/>
  <c r="M236" i="52"/>
  <c r="K236" i="52"/>
  <c r="J236" i="52"/>
  <c r="AP235" i="52"/>
  <c r="AO235" i="52"/>
  <c r="AQ235" i="52" s="1"/>
  <c r="AP234" i="52"/>
  <c r="AQ234" i="52" s="1"/>
  <c r="AO234" i="52"/>
  <c r="AO233" i="52"/>
  <c r="R233" i="52"/>
  <c r="P233" i="52"/>
  <c r="AP232" i="52"/>
  <c r="AO232" i="52"/>
  <c r="AQ232" i="52" s="1"/>
  <c r="AP231" i="52"/>
  <c r="AO231" i="52"/>
  <c r="AQ231" i="52" s="1"/>
  <c r="AP230" i="52"/>
  <c r="AO230" i="52"/>
  <c r="AQ230" i="52" s="1"/>
  <c r="AO229" i="52"/>
  <c r="AQ229" i="52" s="1"/>
  <c r="AP228" i="52"/>
  <c r="AO228" i="52"/>
  <c r="AQ228" i="52" s="1"/>
  <c r="AO227" i="52"/>
  <c r="R227" i="52"/>
  <c r="P227" i="52"/>
  <c r="AO226" i="52"/>
  <c r="R226" i="52"/>
  <c r="P226" i="52"/>
  <c r="N226" i="52"/>
  <c r="L226" i="52"/>
  <c r="AO225" i="52"/>
  <c r="R225" i="52"/>
  <c r="P225" i="52"/>
  <c r="AP224" i="52"/>
  <c r="AO224" i="52"/>
  <c r="AO223" i="52"/>
  <c r="N223" i="52"/>
  <c r="AP223" i="52" s="1"/>
  <c r="AO222" i="52"/>
  <c r="R222" i="52"/>
  <c r="P222" i="52"/>
  <c r="N222" i="52"/>
  <c r="AO221" i="52"/>
  <c r="R221" i="52"/>
  <c r="P221" i="52"/>
  <c r="N221" i="52"/>
  <c r="L221" i="52"/>
  <c r="L236" i="52" s="1"/>
  <c r="AP220" i="52"/>
  <c r="AO220" i="52"/>
  <c r="AQ220" i="52" s="1"/>
  <c r="AM219" i="52"/>
  <c r="AK219" i="52"/>
  <c r="AI219" i="52"/>
  <c r="AG219" i="52"/>
  <c r="AE219" i="52"/>
  <c r="AC219" i="52"/>
  <c r="AA219" i="52"/>
  <c r="Y219" i="52"/>
  <c r="W219" i="52"/>
  <c r="U219" i="52"/>
  <c r="S219" i="52"/>
  <c r="Q219" i="52"/>
  <c r="O219" i="52"/>
  <c r="M219" i="52"/>
  <c r="L219" i="52"/>
  <c r="K219" i="52"/>
  <c r="J219" i="52"/>
  <c r="AP218" i="52"/>
  <c r="AO218" i="52"/>
  <c r="AQ218" i="52" s="1"/>
  <c r="AP217" i="52"/>
  <c r="AO217" i="52"/>
  <c r="AQ217" i="52" s="1"/>
  <c r="AP216" i="52"/>
  <c r="AO216" i="52"/>
  <c r="AP215" i="52"/>
  <c r="AO215" i="52"/>
  <c r="AQ215" i="52" s="1"/>
  <c r="AO214" i="52"/>
  <c r="R214" i="52"/>
  <c r="P214" i="52"/>
  <c r="N214" i="52"/>
  <c r="AP213" i="52"/>
  <c r="AQ213" i="52" s="1"/>
  <c r="AO213" i="52"/>
  <c r="AP212" i="52"/>
  <c r="AO212" i="52"/>
  <c r="AQ212" i="52" s="1"/>
  <c r="AP211" i="52"/>
  <c r="AO211" i="52"/>
  <c r="AQ211" i="52" s="1"/>
  <c r="AP210" i="52"/>
  <c r="AO210" i="52"/>
  <c r="AP209" i="52"/>
  <c r="AO209" i="52"/>
  <c r="AP208" i="52"/>
  <c r="AO208" i="52"/>
  <c r="AQ208" i="52" s="1"/>
  <c r="AP207" i="52"/>
  <c r="AO207" i="52"/>
  <c r="AO206" i="52"/>
  <c r="R206" i="52"/>
  <c r="AP206" i="52" s="1"/>
  <c r="P206" i="52"/>
  <c r="P219" i="52" s="1"/>
  <c r="N206" i="52"/>
  <c r="AM205" i="52"/>
  <c r="AK205" i="52"/>
  <c r="AI205" i="52"/>
  <c r="AG205" i="52"/>
  <c r="AE205" i="52"/>
  <c r="AC205" i="52"/>
  <c r="AA205" i="52"/>
  <c r="Y205" i="52"/>
  <c r="W205" i="52"/>
  <c r="U205" i="52"/>
  <c r="S205" i="52"/>
  <c r="Q205" i="52"/>
  <c r="O205" i="52"/>
  <c r="M205" i="52"/>
  <c r="K205" i="52"/>
  <c r="J205" i="52"/>
  <c r="AP204" i="52"/>
  <c r="AO204" i="52"/>
  <c r="AQ204" i="52" s="1"/>
  <c r="AP203" i="52"/>
  <c r="AO203" i="52"/>
  <c r="AO202" i="52"/>
  <c r="R202" i="52"/>
  <c r="P202" i="52"/>
  <c r="N202" i="52"/>
  <c r="L202" i="52"/>
  <c r="AP202" i="52" s="1"/>
  <c r="AO201" i="52"/>
  <c r="R201" i="52"/>
  <c r="P201" i="52"/>
  <c r="AP201" i="52" s="1"/>
  <c r="N201" i="52"/>
  <c r="L201" i="52"/>
  <c r="AO200" i="52"/>
  <c r="R200" i="52"/>
  <c r="P200" i="52"/>
  <c r="N200" i="52"/>
  <c r="AP200" i="52" s="1"/>
  <c r="AP199" i="52"/>
  <c r="AO199" i="52"/>
  <c r="AQ199" i="52" s="1"/>
  <c r="AO198" i="52"/>
  <c r="R198" i="52"/>
  <c r="AP198" i="52" s="1"/>
  <c r="AO197" i="52"/>
  <c r="N197" i="52"/>
  <c r="L197" i="52"/>
  <c r="AO196" i="52"/>
  <c r="R196" i="52"/>
  <c r="P196" i="52"/>
  <c r="N196" i="52"/>
  <c r="L196" i="52"/>
  <c r="AM195" i="52"/>
  <c r="AK195" i="52"/>
  <c r="AI195" i="52"/>
  <c r="AG195" i="52"/>
  <c r="AE195" i="52"/>
  <c r="AC195" i="52"/>
  <c r="AA195" i="52"/>
  <c r="Y195" i="52"/>
  <c r="W195" i="52"/>
  <c r="U195" i="52"/>
  <c r="S195" i="52"/>
  <c r="Q195" i="52"/>
  <c r="O195" i="52"/>
  <c r="M195" i="52"/>
  <c r="K195" i="52"/>
  <c r="J195" i="52"/>
  <c r="AP194" i="52"/>
  <c r="AO194" i="52"/>
  <c r="AQ194" i="52" s="1"/>
  <c r="AP193" i="52"/>
  <c r="AO193" i="52"/>
  <c r="AP192" i="52"/>
  <c r="AO192" i="52"/>
  <c r="AQ192" i="52" s="1"/>
  <c r="AP191" i="52"/>
  <c r="AO191" i="52"/>
  <c r="AP190" i="52"/>
  <c r="AO190" i="52"/>
  <c r="AQ190" i="52" s="1"/>
  <c r="AP189" i="52"/>
  <c r="AO189" i="52"/>
  <c r="AQ189" i="52" s="1"/>
  <c r="AP188" i="52"/>
  <c r="AO188" i="52"/>
  <c r="AQ188" i="52" s="1"/>
  <c r="AO187" i="52"/>
  <c r="R187" i="52"/>
  <c r="P187" i="52"/>
  <c r="AP187" i="52" s="1"/>
  <c r="AO186" i="52"/>
  <c r="R186" i="52"/>
  <c r="AP186" i="52" s="1"/>
  <c r="AO185" i="52"/>
  <c r="R185" i="52"/>
  <c r="AP185" i="52" s="1"/>
  <c r="AO184" i="52"/>
  <c r="P184" i="52"/>
  <c r="N184" i="52"/>
  <c r="AO183" i="52"/>
  <c r="R183" i="52"/>
  <c r="P183" i="52"/>
  <c r="N183" i="52"/>
  <c r="AO182" i="52"/>
  <c r="R182" i="52"/>
  <c r="P182" i="52"/>
  <c r="N182" i="52"/>
  <c r="AO181" i="52"/>
  <c r="R181" i="52"/>
  <c r="P181" i="52"/>
  <c r="N181" i="52"/>
  <c r="AP181" i="52" s="1"/>
  <c r="AO180" i="52"/>
  <c r="R180" i="52"/>
  <c r="P180" i="52"/>
  <c r="N180" i="52"/>
  <c r="AO179" i="52"/>
  <c r="R179" i="52"/>
  <c r="P179" i="52"/>
  <c r="N179" i="52"/>
  <c r="AP179" i="52" s="1"/>
  <c r="AQ179" i="52" s="1"/>
  <c r="AP178" i="52"/>
  <c r="AO178" i="52"/>
  <c r="AP177" i="52"/>
  <c r="AO177" i="52"/>
  <c r="AQ177" i="52" s="1"/>
  <c r="AP176" i="52"/>
  <c r="AO176" i="52"/>
  <c r="AQ176" i="52" s="1"/>
  <c r="AP175" i="52"/>
  <c r="AO175" i="52"/>
  <c r="R175" i="52"/>
  <c r="AO174" i="52"/>
  <c r="R174" i="52"/>
  <c r="P174" i="52"/>
  <c r="N174" i="52"/>
  <c r="L174" i="52"/>
  <c r="AO173" i="52"/>
  <c r="R173" i="52"/>
  <c r="P173" i="52"/>
  <c r="N173" i="52"/>
  <c r="L173" i="52"/>
  <c r="AP172" i="52"/>
  <c r="AO172" i="52"/>
  <c r="AP171" i="52"/>
  <c r="AO171" i="52"/>
  <c r="AQ171" i="52" s="1"/>
  <c r="AP170" i="52"/>
  <c r="AO170" i="52"/>
  <c r="AP169" i="52"/>
  <c r="AO169" i="52"/>
  <c r="AQ169" i="52" s="1"/>
  <c r="AO168" i="52"/>
  <c r="R168" i="52"/>
  <c r="AP168" i="52" s="1"/>
  <c r="AO167" i="52"/>
  <c r="AO166" i="52"/>
  <c r="AO165" i="52"/>
  <c r="R165" i="52"/>
  <c r="P165" i="52"/>
  <c r="N165" i="52"/>
  <c r="AP165" i="52" s="1"/>
  <c r="AO164" i="52"/>
  <c r="R164" i="52"/>
  <c r="AP164" i="52" s="1"/>
  <c r="P164" i="52"/>
  <c r="AP163" i="52"/>
  <c r="AO163" i="52"/>
  <c r="AP162" i="52"/>
  <c r="AO162" i="52"/>
  <c r="AO161" i="52"/>
  <c r="R161" i="52"/>
  <c r="P161" i="52"/>
  <c r="N161" i="52"/>
  <c r="AO160" i="52"/>
  <c r="R160" i="52"/>
  <c r="P160" i="52"/>
  <c r="N160" i="52"/>
  <c r="L160" i="52"/>
  <c r="AO158" i="52"/>
  <c r="R158" i="52"/>
  <c r="P158" i="52"/>
  <c r="N158" i="52"/>
  <c r="L158" i="52"/>
  <c r="AP157" i="52"/>
  <c r="AO157" i="52"/>
  <c r="AP156" i="52"/>
  <c r="AO156" i="52"/>
  <c r="AQ156" i="52" s="1"/>
  <c r="AP155" i="52"/>
  <c r="AO155" i="52"/>
  <c r="AQ155" i="52" s="1"/>
  <c r="AP154" i="52"/>
  <c r="AO154" i="52"/>
  <c r="AQ154" i="52" s="1"/>
  <c r="AP153" i="52"/>
  <c r="AO153" i="52"/>
  <c r="AQ153" i="52" s="1"/>
  <c r="AO152" i="52"/>
  <c r="R152" i="52"/>
  <c r="P152" i="52"/>
  <c r="N152" i="52"/>
  <c r="L152" i="52"/>
  <c r="AO151" i="52"/>
  <c r="R151" i="52"/>
  <c r="AP151" i="52" s="1"/>
  <c r="AP150" i="52"/>
  <c r="AO150" i="52"/>
  <c r="AO149" i="52"/>
  <c r="R149" i="52"/>
  <c r="P149" i="52"/>
  <c r="AP149" i="52" s="1"/>
  <c r="N149" i="52"/>
  <c r="R148" i="52"/>
  <c r="P148" i="52"/>
  <c r="N148" i="52"/>
  <c r="AP147" i="52"/>
  <c r="AQ147" i="52" s="1"/>
  <c r="AO147" i="52"/>
  <c r="AP146" i="52"/>
  <c r="AO146" i="52"/>
  <c r="AP145" i="52"/>
  <c r="AO145" i="52"/>
  <c r="AP144" i="52"/>
  <c r="AO144" i="52"/>
  <c r="AQ144" i="52" s="1"/>
  <c r="AO143" i="52"/>
  <c r="R143" i="52"/>
  <c r="AP143" i="52" s="1"/>
  <c r="AO142" i="52"/>
  <c r="R142" i="52"/>
  <c r="P142" i="52"/>
  <c r="N142" i="52"/>
  <c r="L142" i="52"/>
  <c r="AP141" i="52"/>
  <c r="AO141" i="52"/>
  <c r="AP140" i="52"/>
  <c r="AO140" i="52"/>
  <c r="AO139" i="52"/>
  <c r="R139" i="52"/>
  <c r="P139" i="52"/>
  <c r="N139" i="52"/>
  <c r="L139" i="52"/>
  <c r="AP138" i="52"/>
  <c r="AQ138" i="52" s="1"/>
  <c r="AO138" i="52"/>
  <c r="AP137" i="52"/>
  <c r="AO137" i="52"/>
  <c r="AO136" i="52"/>
  <c r="R136" i="52"/>
  <c r="P136" i="52"/>
  <c r="N136" i="52"/>
  <c r="L136" i="52"/>
  <c r="AP135" i="52"/>
  <c r="AQ135" i="52" s="1"/>
  <c r="AO135" i="52"/>
  <c r="AP134" i="52"/>
  <c r="AQ134" i="52" s="1"/>
  <c r="AO134" i="52"/>
  <c r="AO133" i="52"/>
  <c r="R133" i="52"/>
  <c r="P133" i="52"/>
  <c r="AP132" i="52"/>
  <c r="AQ132" i="52" s="1"/>
  <c r="AO132" i="52"/>
  <c r="AO131" i="52"/>
  <c r="R131" i="52"/>
  <c r="P131" i="52"/>
  <c r="N131" i="52"/>
  <c r="L131" i="52"/>
  <c r="AO130" i="52"/>
  <c r="R130" i="52"/>
  <c r="P130" i="52"/>
  <c r="N130" i="52"/>
  <c r="L130" i="52"/>
  <c r="AO129" i="52"/>
  <c r="R129" i="52"/>
  <c r="P129" i="52"/>
  <c r="N129" i="52"/>
  <c r="L129" i="52"/>
  <c r="AO128" i="52"/>
  <c r="R128" i="52"/>
  <c r="P128" i="52"/>
  <c r="N128" i="52"/>
  <c r="L128" i="52"/>
  <c r="AP128" i="52" s="1"/>
  <c r="AQ128" i="52" s="1"/>
  <c r="AO127" i="52"/>
  <c r="R127" i="52"/>
  <c r="P127" i="52"/>
  <c r="N127" i="52"/>
  <c r="L127" i="52"/>
  <c r="AO126" i="52"/>
  <c r="R126" i="52"/>
  <c r="P126" i="52"/>
  <c r="P195" i="52" s="1"/>
  <c r="N126" i="52"/>
  <c r="L126" i="52"/>
  <c r="AO125" i="52"/>
  <c r="N125" i="52"/>
  <c r="L125" i="52"/>
  <c r="AM124" i="52"/>
  <c r="AK124" i="52"/>
  <c r="AI124" i="52"/>
  <c r="AG124" i="52"/>
  <c r="AE124" i="52"/>
  <c r="AC124" i="52"/>
  <c r="AA124" i="52"/>
  <c r="Y124" i="52"/>
  <c r="W124" i="52"/>
  <c r="U124" i="52"/>
  <c r="S124" i="52"/>
  <c r="Q124" i="52"/>
  <c r="O124" i="52"/>
  <c r="M124" i="52"/>
  <c r="K124" i="52"/>
  <c r="J124" i="52"/>
  <c r="AP123" i="52"/>
  <c r="AO123" i="52"/>
  <c r="AP122" i="52"/>
  <c r="AO122" i="52"/>
  <c r="AP121" i="52"/>
  <c r="AO121" i="52"/>
  <c r="AP120" i="52"/>
  <c r="AO120" i="52"/>
  <c r="AP119" i="52"/>
  <c r="AQ119" i="52" s="1"/>
  <c r="AO119" i="52"/>
  <c r="AP118" i="52"/>
  <c r="AO118" i="52"/>
  <c r="AP117" i="52"/>
  <c r="AO117" i="52"/>
  <c r="AP116" i="52"/>
  <c r="AO116" i="52"/>
  <c r="AP115" i="52"/>
  <c r="AQ115" i="52" s="1"/>
  <c r="AO115" i="52"/>
  <c r="AP114" i="52"/>
  <c r="AO114" i="52"/>
  <c r="AP113" i="52"/>
  <c r="AO113" i="52"/>
  <c r="AO112" i="52"/>
  <c r="R112" i="52"/>
  <c r="P112" i="52"/>
  <c r="N112" i="52"/>
  <c r="AP111" i="52"/>
  <c r="AO111" i="52"/>
  <c r="AP110" i="52"/>
  <c r="AO110" i="52"/>
  <c r="AO109" i="52"/>
  <c r="R109" i="52"/>
  <c r="P109" i="52"/>
  <c r="AO108" i="52"/>
  <c r="R108" i="52"/>
  <c r="P108" i="52"/>
  <c r="AO107" i="52"/>
  <c r="R107" i="52"/>
  <c r="P107" i="52"/>
  <c r="N107" i="52"/>
  <c r="L107" i="52"/>
  <c r="AO106" i="52"/>
  <c r="R106" i="52"/>
  <c r="AP106" i="52" s="1"/>
  <c r="AO105" i="52"/>
  <c r="R105" i="52"/>
  <c r="P105" i="52"/>
  <c r="N105" i="52"/>
  <c r="AO104" i="52"/>
  <c r="R104" i="52"/>
  <c r="P104" i="52"/>
  <c r="N104" i="52"/>
  <c r="L104" i="52"/>
  <c r="AO103" i="52"/>
  <c r="R103" i="52"/>
  <c r="P103" i="52"/>
  <c r="N103" i="52"/>
  <c r="L103" i="52"/>
  <c r="AO102" i="52"/>
  <c r="R102" i="52"/>
  <c r="P102" i="52"/>
  <c r="N102" i="52"/>
  <c r="L102" i="52"/>
  <c r="AO101" i="52"/>
  <c r="R101" i="52"/>
  <c r="P101" i="52"/>
  <c r="N101" i="52"/>
  <c r="L101" i="52"/>
  <c r="AO100" i="52"/>
  <c r="R100" i="52"/>
  <c r="P100" i="52"/>
  <c r="N100" i="52"/>
  <c r="L100" i="52"/>
  <c r="AO99" i="52"/>
  <c r="R99" i="52"/>
  <c r="P99" i="52"/>
  <c r="N99" i="52"/>
  <c r="L99" i="52"/>
  <c r="AO98" i="52"/>
  <c r="P98" i="52"/>
  <c r="N98" i="52"/>
  <c r="L98" i="52"/>
  <c r="AO97" i="52"/>
  <c r="R97" i="52"/>
  <c r="P97" i="52"/>
  <c r="N97" i="52"/>
  <c r="L97" i="52"/>
  <c r="AM96" i="52"/>
  <c r="AK96" i="52"/>
  <c r="AI96" i="52"/>
  <c r="AG96" i="52"/>
  <c r="AE96" i="52"/>
  <c r="AC96" i="52"/>
  <c r="AA96" i="52"/>
  <c r="Y96" i="52"/>
  <c r="W96" i="52"/>
  <c r="U96" i="52"/>
  <c r="S96" i="52"/>
  <c r="Q96" i="52"/>
  <c r="O96" i="52"/>
  <c r="M96" i="52"/>
  <c r="K96" i="52"/>
  <c r="J96" i="52"/>
  <c r="AP95" i="52"/>
  <c r="AO95" i="52"/>
  <c r="R95" i="52"/>
  <c r="AP94" i="52"/>
  <c r="AO94" i="52"/>
  <c r="AQ94" i="52" s="1"/>
  <c r="AO93" i="52"/>
  <c r="R93" i="52"/>
  <c r="AP93" i="52" s="1"/>
  <c r="AP92" i="52"/>
  <c r="AQ92" i="52" s="1"/>
  <c r="AO92" i="52"/>
  <c r="AP91" i="52"/>
  <c r="AO91" i="52"/>
  <c r="AO90" i="52"/>
  <c r="R90" i="52"/>
  <c r="P90" i="52"/>
  <c r="N90" i="52"/>
  <c r="L90" i="52"/>
  <c r="AO89" i="52"/>
  <c r="R89" i="52"/>
  <c r="P89" i="52"/>
  <c r="N89" i="52"/>
  <c r="L89" i="52"/>
  <c r="AP88" i="52"/>
  <c r="AO88" i="52"/>
  <c r="AQ88" i="52" s="1"/>
  <c r="AP87" i="52"/>
  <c r="AO87" i="52"/>
  <c r="AQ87" i="52" s="1"/>
  <c r="AO86" i="52"/>
  <c r="R86" i="52"/>
  <c r="P86" i="52"/>
  <c r="AP86" i="52" s="1"/>
  <c r="AQ86" i="52" s="1"/>
  <c r="AO85" i="52"/>
  <c r="R85" i="52"/>
  <c r="P85" i="52"/>
  <c r="N85" i="52"/>
  <c r="AO84" i="52"/>
  <c r="R84" i="52"/>
  <c r="P84" i="52"/>
  <c r="AO83" i="52"/>
  <c r="R83" i="52"/>
  <c r="P83" i="52"/>
  <c r="N83" i="52"/>
  <c r="AP82" i="52"/>
  <c r="AO82" i="52"/>
  <c r="AQ82" i="52" s="1"/>
  <c r="R82" i="52"/>
  <c r="P82" i="52"/>
  <c r="AO81" i="52"/>
  <c r="R81" i="52"/>
  <c r="P81" i="52"/>
  <c r="N81" i="52"/>
  <c r="AO80" i="52"/>
  <c r="R80" i="52"/>
  <c r="P80" i="52"/>
  <c r="N80" i="52"/>
  <c r="AP80" i="52" s="1"/>
  <c r="AO79" i="52"/>
  <c r="R79" i="52"/>
  <c r="P79" i="52"/>
  <c r="AO77" i="52"/>
  <c r="R77" i="52"/>
  <c r="P77" i="52"/>
  <c r="AO76" i="52"/>
  <c r="R76" i="52"/>
  <c r="P76" i="52"/>
  <c r="N76" i="52"/>
  <c r="L76" i="52"/>
  <c r="AO75" i="52"/>
  <c r="R75" i="52"/>
  <c r="P75" i="52"/>
  <c r="N75" i="52"/>
  <c r="L75" i="52"/>
  <c r="AO74" i="52"/>
  <c r="R74" i="52"/>
  <c r="P74" i="52"/>
  <c r="N74" i="52"/>
  <c r="AO73" i="52"/>
  <c r="R73" i="52"/>
  <c r="P73" i="52"/>
  <c r="N73" i="52"/>
  <c r="AP73" i="52" s="1"/>
  <c r="AO72" i="52"/>
  <c r="R72" i="52"/>
  <c r="P72" i="52"/>
  <c r="N72" i="52"/>
  <c r="L72" i="52"/>
  <c r="AO71" i="52"/>
  <c r="R71" i="52"/>
  <c r="P71" i="52"/>
  <c r="N71" i="52"/>
  <c r="AO70" i="52"/>
  <c r="R70" i="52"/>
  <c r="P70" i="52"/>
  <c r="N70" i="52"/>
  <c r="L70" i="52"/>
  <c r="AO69" i="52"/>
  <c r="R69" i="52"/>
  <c r="P69" i="52"/>
  <c r="N69" i="52"/>
  <c r="L69" i="52"/>
  <c r="AO68" i="52"/>
  <c r="R68" i="52"/>
  <c r="P68" i="52"/>
  <c r="N68" i="52"/>
  <c r="L68" i="52"/>
  <c r="AO67" i="52"/>
  <c r="R67" i="52"/>
  <c r="P67" i="52"/>
  <c r="N67" i="52"/>
  <c r="L67" i="52"/>
  <c r="AM66" i="52"/>
  <c r="AK66" i="52"/>
  <c r="AI66" i="52"/>
  <c r="AG66" i="52"/>
  <c r="AE66" i="52"/>
  <c r="AC66" i="52"/>
  <c r="AA66" i="52"/>
  <c r="Y66" i="52"/>
  <c r="W66" i="52"/>
  <c r="U66" i="52"/>
  <c r="S66" i="52"/>
  <c r="Q66" i="52"/>
  <c r="O66" i="52"/>
  <c r="M66" i="52"/>
  <c r="K66" i="52"/>
  <c r="J66" i="52"/>
  <c r="AP65" i="52"/>
  <c r="AO65" i="52"/>
  <c r="AO64" i="52"/>
  <c r="R64" i="52"/>
  <c r="AP64" i="52" s="1"/>
  <c r="P64" i="52"/>
  <c r="AP63" i="52"/>
  <c r="AO63" i="52"/>
  <c r="AQ63" i="52" s="1"/>
  <c r="AO62" i="52"/>
  <c r="R62" i="52"/>
  <c r="P62" i="52"/>
  <c r="AP62" i="52" s="1"/>
  <c r="AO61" i="52"/>
  <c r="R61" i="52"/>
  <c r="P61" i="52"/>
  <c r="N61" i="52"/>
  <c r="L61" i="52"/>
  <c r="AO60" i="52"/>
  <c r="R60" i="52"/>
  <c r="P60" i="52"/>
  <c r="AP60" i="52" s="1"/>
  <c r="AO59" i="52"/>
  <c r="AQ59" i="52" s="1"/>
  <c r="R59" i="52"/>
  <c r="P59" i="52"/>
  <c r="AP59" i="52" s="1"/>
  <c r="AO58" i="52"/>
  <c r="R58" i="52"/>
  <c r="P58" i="52"/>
  <c r="N58" i="52"/>
  <c r="L58" i="52"/>
  <c r="AO57" i="52"/>
  <c r="R57" i="52"/>
  <c r="P57" i="52"/>
  <c r="N57" i="52"/>
  <c r="L57" i="52"/>
  <c r="AM56" i="52"/>
  <c r="AK56" i="52"/>
  <c r="AI56" i="52"/>
  <c r="AG56" i="52"/>
  <c r="AE56" i="52"/>
  <c r="AC56" i="52"/>
  <c r="AA56" i="52"/>
  <c r="Y56" i="52"/>
  <c r="W56" i="52"/>
  <c r="U56" i="52"/>
  <c r="S56" i="52"/>
  <c r="Q56" i="52"/>
  <c r="O56" i="52"/>
  <c r="M56" i="52"/>
  <c r="L56" i="52"/>
  <c r="K56" i="52"/>
  <c r="J56" i="52"/>
  <c r="AP55" i="52"/>
  <c r="AO55" i="52"/>
  <c r="AQ55" i="52" s="1"/>
  <c r="AP54" i="52"/>
  <c r="AO54" i="52"/>
  <c r="AP53" i="52"/>
  <c r="AO53" i="52"/>
  <c r="AQ53" i="52" s="1"/>
  <c r="AP52" i="52"/>
  <c r="AO52" i="52"/>
  <c r="AP51" i="52"/>
  <c r="AO51" i="52"/>
  <c r="AQ51" i="52" s="1"/>
  <c r="AO50" i="52"/>
  <c r="R50" i="52"/>
  <c r="AP50" i="52" s="1"/>
  <c r="AP49" i="52"/>
  <c r="AO49" i="52"/>
  <c r="AP48" i="52"/>
  <c r="AO48" i="52"/>
  <c r="AO47" i="52"/>
  <c r="R47" i="52"/>
  <c r="P47" i="52"/>
  <c r="P56" i="52" s="1"/>
  <c r="N47" i="52"/>
  <c r="N56" i="52" s="1"/>
  <c r="AM46" i="52"/>
  <c r="AK46" i="52"/>
  <c r="AI46" i="52"/>
  <c r="AG46" i="52"/>
  <c r="AE46" i="52"/>
  <c r="AC46" i="52"/>
  <c r="AA46" i="52"/>
  <c r="Y46" i="52"/>
  <c r="W46" i="52"/>
  <c r="U46" i="52"/>
  <c r="S46" i="52"/>
  <c r="Q46" i="52"/>
  <c r="O46" i="52"/>
  <c r="M46" i="52"/>
  <c r="K46" i="52"/>
  <c r="J46" i="52"/>
  <c r="AP45" i="52"/>
  <c r="AO45" i="52"/>
  <c r="AP44" i="52"/>
  <c r="AO44" i="52"/>
  <c r="AP43" i="52"/>
  <c r="AO43" i="52"/>
  <c r="R43" i="52"/>
  <c r="P43" i="52"/>
  <c r="AP42" i="52"/>
  <c r="AQ42" i="52" s="1"/>
  <c r="AO42" i="52"/>
  <c r="AO41" i="52"/>
  <c r="R41" i="52"/>
  <c r="AP41" i="52" s="1"/>
  <c r="P41" i="52"/>
  <c r="AO40" i="52"/>
  <c r="R40" i="52"/>
  <c r="P40" i="52"/>
  <c r="N40" i="52"/>
  <c r="AO39" i="52"/>
  <c r="R39" i="52"/>
  <c r="P39" i="52"/>
  <c r="N39" i="52"/>
  <c r="L39" i="52"/>
  <c r="AO38" i="52"/>
  <c r="R38" i="52"/>
  <c r="P38" i="52"/>
  <c r="N38" i="52"/>
  <c r="AP38" i="52" s="1"/>
  <c r="AP37" i="52"/>
  <c r="AO37" i="52"/>
  <c r="AO35" i="52"/>
  <c r="R35" i="52"/>
  <c r="P35" i="52"/>
  <c r="AP35" i="52" s="1"/>
  <c r="AO34" i="52"/>
  <c r="R34" i="52"/>
  <c r="P34" i="52"/>
  <c r="AO33" i="52"/>
  <c r="R33" i="52"/>
  <c r="P33" i="52"/>
  <c r="N33" i="52"/>
  <c r="L33" i="52"/>
  <c r="AO32" i="52"/>
  <c r="R32" i="52"/>
  <c r="P32" i="52"/>
  <c r="N32" i="52"/>
  <c r="L32" i="52"/>
  <c r="L46" i="52" s="1"/>
  <c r="AO31" i="52"/>
  <c r="AO30" i="52"/>
  <c r="R30" i="52"/>
  <c r="P30" i="52"/>
  <c r="N30" i="52"/>
  <c r="L30" i="52"/>
  <c r="AM29" i="52"/>
  <c r="AK29" i="52"/>
  <c r="AI29" i="52"/>
  <c r="AG29" i="52"/>
  <c r="AE29" i="52"/>
  <c r="AC29" i="52"/>
  <c r="AA29" i="52"/>
  <c r="Y29" i="52"/>
  <c r="W29" i="52"/>
  <c r="U29" i="52"/>
  <c r="S29" i="52"/>
  <c r="Q29" i="52"/>
  <c r="O29" i="52"/>
  <c r="M29" i="52"/>
  <c r="K29" i="52"/>
  <c r="J29" i="52"/>
  <c r="AO28" i="52"/>
  <c r="R28" i="52"/>
  <c r="P28" i="52"/>
  <c r="AO27" i="52"/>
  <c r="R27" i="52"/>
  <c r="N27" i="52"/>
  <c r="AO26" i="52"/>
  <c r="R26" i="52"/>
  <c r="N26" i="52"/>
  <c r="AP26" i="52" s="1"/>
  <c r="AQ26" i="52" s="1"/>
  <c r="AO25" i="52"/>
  <c r="R25" i="52"/>
  <c r="P25" i="52"/>
  <c r="N25" i="52"/>
  <c r="AP25" i="52" s="1"/>
  <c r="L25" i="52"/>
  <c r="AO24" i="52"/>
  <c r="R24" i="52"/>
  <c r="P24" i="52"/>
  <c r="AP24" i="52" s="1"/>
  <c r="AP23" i="52"/>
  <c r="AO23" i="52"/>
  <c r="AO22" i="52"/>
  <c r="R22" i="52"/>
  <c r="P22" i="52"/>
  <c r="N22" i="52"/>
  <c r="AO21" i="52"/>
  <c r="N21" i="52"/>
  <c r="L21" i="52"/>
  <c r="L29" i="52" s="1"/>
  <c r="AR20" i="52"/>
  <c r="AM20" i="52"/>
  <c r="AK20" i="52"/>
  <c r="AI20" i="52"/>
  <c r="AG20" i="52"/>
  <c r="AE20" i="52"/>
  <c r="AC20" i="52"/>
  <c r="AA20" i="52"/>
  <c r="Y20" i="52"/>
  <c r="W20" i="52"/>
  <c r="U20" i="52"/>
  <c r="S20" i="52"/>
  <c r="Q20" i="52"/>
  <c r="O20" i="52"/>
  <c r="M20" i="52"/>
  <c r="K20" i="52"/>
  <c r="J20" i="52"/>
  <c r="AP19" i="52"/>
  <c r="AO19" i="52"/>
  <c r="AP18" i="52"/>
  <c r="AO18" i="52"/>
  <c r="AO17" i="52"/>
  <c r="R17" i="52"/>
  <c r="P17" i="52"/>
  <c r="N17" i="52"/>
  <c r="L17" i="52"/>
  <c r="AO16" i="52"/>
  <c r="R16" i="52"/>
  <c r="P16" i="52"/>
  <c r="N16" i="52"/>
  <c r="L16" i="52"/>
  <c r="AO15" i="52"/>
  <c r="R15" i="52"/>
  <c r="P15" i="52"/>
  <c r="N15" i="52"/>
  <c r="L15" i="52"/>
  <c r="AP14" i="52"/>
  <c r="AO14" i="52"/>
  <c r="AQ14" i="52" s="1"/>
  <c r="AP13" i="52"/>
  <c r="AO13" i="52"/>
  <c r="AO12" i="52"/>
  <c r="L12" i="52"/>
  <c r="AP12" i="52" s="1"/>
  <c r="AO11" i="52"/>
  <c r="R11" i="52"/>
  <c r="P11" i="52"/>
  <c r="N11" i="52"/>
  <c r="R10" i="52"/>
  <c r="AO9" i="52"/>
  <c r="R9" i="52"/>
  <c r="P9" i="52"/>
  <c r="N9" i="52"/>
  <c r="L9" i="52"/>
  <c r="AO8" i="52"/>
  <c r="R8" i="52"/>
  <c r="P8" i="52"/>
  <c r="N8" i="52"/>
  <c r="AO7" i="52"/>
  <c r="L7" i="52"/>
  <c r="AP7" i="52" s="1"/>
  <c r="AO6" i="52"/>
  <c r="R6" i="52"/>
  <c r="P6" i="52"/>
  <c r="N6" i="52"/>
  <c r="L6" i="52"/>
  <c r="L20" i="52" s="1"/>
  <c r="AO20" i="52" l="1"/>
  <c r="L66" i="52"/>
  <c r="AQ95" i="52"/>
  <c r="AP100" i="52"/>
  <c r="AQ100" i="52" s="1"/>
  <c r="AQ116" i="52"/>
  <c r="AQ120" i="52"/>
  <c r="AP40" i="52"/>
  <c r="AQ40" i="52" s="1"/>
  <c r="AP105" i="52"/>
  <c r="AP160" i="52"/>
  <c r="AQ160" i="52" s="1"/>
  <c r="AQ165" i="52"/>
  <c r="AP173" i="52"/>
  <c r="AP180" i="52"/>
  <c r="AQ180" i="52" s="1"/>
  <c r="AP182" i="52"/>
  <c r="AQ182" i="52" s="1"/>
  <c r="AP184" i="52"/>
  <c r="AQ184" i="52" s="1"/>
  <c r="AQ191" i="52"/>
  <c r="L205" i="52"/>
  <c r="AQ198" i="52"/>
  <c r="AQ209" i="52"/>
  <c r="AP222" i="52"/>
  <c r="AP225" i="52"/>
  <c r="AQ225" i="52" s="1"/>
  <c r="AP227" i="52"/>
  <c r="AQ227" i="52" s="1"/>
  <c r="AQ23" i="52"/>
  <c r="P96" i="52"/>
  <c r="AP69" i="52"/>
  <c r="AQ69" i="52" s="1"/>
  <c r="AP72" i="52"/>
  <c r="AQ72" i="52" s="1"/>
  <c r="L124" i="52"/>
  <c r="AP152" i="52"/>
  <c r="AQ152" i="52" s="1"/>
  <c r="AQ157" i="52"/>
  <c r="AQ162" i="52"/>
  <c r="Z63" i="53"/>
  <c r="AQ13" i="52"/>
  <c r="AP28" i="52"/>
  <c r="AQ28" i="52" s="1"/>
  <c r="AQ43" i="52"/>
  <c r="AP81" i="52"/>
  <c r="AQ93" i="52"/>
  <c r="AQ117" i="52"/>
  <c r="AQ143" i="52"/>
  <c r="AP8" i="52"/>
  <c r="AP83" i="52"/>
  <c r="AQ83" i="52" s="1"/>
  <c r="AP97" i="52"/>
  <c r="AP108" i="52"/>
  <c r="AQ108" i="52" s="1"/>
  <c r="AQ111" i="52"/>
  <c r="AQ114" i="52"/>
  <c r="AP131" i="52"/>
  <c r="AP136" i="52"/>
  <c r="AQ136" i="52" s="1"/>
  <c r="AQ141" i="52"/>
  <c r="AQ163" i="52"/>
  <c r="AQ175" i="52"/>
  <c r="AQ193" i="52"/>
  <c r="AO205" i="52"/>
  <c r="Z74" i="53"/>
  <c r="AP22" i="52"/>
  <c r="AQ24" i="52"/>
  <c r="AP34" i="52"/>
  <c r="AQ34" i="52" s="1"/>
  <c r="AQ150" i="52"/>
  <c r="AQ186" i="52"/>
  <c r="P236" i="52"/>
  <c r="AP9" i="52"/>
  <c r="AQ9" i="52" s="1"/>
  <c r="AP15" i="52"/>
  <c r="AQ15" i="52" s="1"/>
  <c r="N46" i="52"/>
  <c r="AQ45" i="52"/>
  <c r="AQ49" i="52"/>
  <c r="AQ52" i="52"/>
  <c r="AP58" i="52"/>
  <c r="AQ58" i="52" s="1"/>
  <c r="AQ65" i="52"/>
  <c r="AP197" i="52"/>
  <c r="AQ197" i="52" s="1"/>
  <c r="AQ224" i="52"/>
  <c r="AQ187" i="52"/>
  <c r="P20" i="52"/>
  <c r="AP11" i="52"/>
  <c r="AQ11" i="52" s="1"/>
  <c r="AP16" i="52"/>
  <c r="AQ16" i="52" s="1"/>
  <c r="N29" i="52"/>
  <c r="AP57" i="52"/>
  <c r="AP66" i="52" s="1"/>
  <c r="AO66" i="52"/>
  <c r="AQ60" i="52"/>
  <c r="AO96" i="52"/>
  <c r="AP71" i="52"/>
  <c r="AQ71" i="52" s="1"/>
  <c r="AQ81" i="52"/>
  <c r="AP90" i="52"/>
  <c r="AQ90" i="52" s="1"/>
  <c r="AP104" i="52"/>
  <c r="AQ104" i="52" s="1"/>
  <c r="AQ106" i="52"/>
  <c r="AQ122" i="52"/>
  <c r="AP129" i="52"/>
  <c r="AQ129" i="52" s="1"/>
  <c r="AQ140" i="52"/>
  <c r="AQ145" i="52"/>
  <c r="AQ151" i="52"/>
  <c r="AP161" i="52"/>
  <c r="AQ170" i="52"/>
  <c r="AQ178" i="52"/>
  <c r="AO236" i="52"/>
  <c r="W241" i="52"/>
  <c r="K241" i="52"/>
  <c r="K242" i="52" s="1"/>
  <c r="U241" i="52"/>
  <c r="Z66" i="53"/>
  <c r="AQ8" i="52"/>
  <c r="AQ18" i="52"/>
  <c r="AQ25" i="52"/>
  <c r="AO46" i="52"/>
  <c r="AQ44" i="52"/>
  <c r="AO56" i="52"/>
  <c r="AQ54" i="52"/>
  <c r="AQ62" i="52"/>
  <c r="AP98" i="52"/>
  <c r="AQ98" i="52" s="1"/>
  <c r="AP101" i="52"/>
  <c r="AQ101" i="52" s="1"/>
  <c r="AP103" i="52"/>
  <c r="AP107" i="52"/>
  <c r="AP109" i="52"/>
  <c r="AQ109" i="52" s="1"/>
  <c r="AP112" i="52"/>
  <c r="AQ112" i="52" s="1"/>
  <c r="AP126" i="52"/>
  <c r="AP133" i="52"/>
  <c r="AQ146" i="52"/>
  <c r="AQ200" i="52"/>
  <c r="AQ202" i="52"/>
  <c r="AQ207" i="52"/>
  <c r="AP214" i="52"/>
  <c r="AQ214" i="52" s="1"/>
  <c r="AQ216" i="52"/>
  <c r="AP233" i="52"/>
  <c r="Y241" i="52"/>
  <c r="AP30" i="52"/>
  <c r="AQ164" i="52"/>
  <c r="AQ173" i="52"/>
  <c r="AQ181" i="52"/>
  <c r="AP183" i="52"/>
  <c r="AQ183" i="52" s="1"/>
  <c r="AQ185" i="52"/>
  <c r="AP196" i="52"/>
  <c r="AQ196" i="52" s="1"/>
  <c r="AP240" i="52"/>
  <c r="M241" i="52"/>
  <c r="M242" i="52" s="1"/>
  <c r="P29" i="52"/>
  <c r="AP33" i="52"/>
  <c r="AQ33" i="52" s="1"/>
  <c r="AQ38" i="52"/>
  <c r="AP61" i="52"/>
  <c r="AQ61" i="52" s="1"/>
  <c r="AM241" i="52"/>
  <c r="AP68" i="52"/>
  <c r="AQ68" i="52" s="1"/>
  <c r="AP70" i="52"/>
  <c r="AQ70" i="52" s="1"/>
  <c r="AP75" i="52"/>
  <c r="AQ75" i="52" s="1"/>
  <c r="AP89" i="52"/>
  <c r="AQ89" i="52" s="1"/>
  <c r="AQ105" i="52"/>
  <c r="AQ123" i="52"/>
  <c r="AP139" i="52"/>
  <c r="AQ139" i="52" s="1"/>
  <c r="AQ149" i="52"/>
  <c r="AQ222" i="52"/>
  <c r="AA241" i="52"/>
  <c r="AQ19" i="52"/>
  <c r="AQ35" i="52"/>
  <c r="AP39" i="52"/>
  <c r="AQ39" i="52" s="1"/>
  <c r="L96" i="52"/>
  <c r="AQ73" i="52"/>
  <c r="AP77" i="52"/>
  <c r="AP84" i="52"/>
  <c r="AQ84" i="52" s="1"/>
  <c r="AQ126" i="52"/>
  <c r="AP142" i="52"/>
  <c r="AQ142" i="52" s="1"/>
  <c r="AQ172" i="52"/>
  <c r="AP174" i="52"/>
  <c r="AQ174" i="52" s="1"/>
  <c r="N236" i="52"/>
  <c r="O241" i="52"/>
  <c r="AC241" i="52"/>
  <c r="AP17" i="52"/>
  <c r="AQ17" i="52" s="1"/>
  <c r="AO29" i="52"/>
  <c r="AQ37" i="52"/>
  <c r="N96" i="52"/>
  <c r="AQ80" i="52"/>
  <c r="AQ91" i="52"/>
  <c r="N124" i="52"/>
  <c r="AP99" i="52"/>
  <c r="AQ99" i="52" s="1"/>
  <c r="AP102" i="52"/>
  <c r="AQ102" i="52" s="1"/>
  <c r="AQ107" i="52"/>
  <c r="AQ110" i="52"/>
  <c r="AQ113" i="52"/>
  <c r="AP125" i="52"/>
  <c r="AP127" i="52"/>
  <c r="AP130" i="52"/>
  <c r="AQ130" i="52" s="1"/>
  <c r="N195" i="52"/>
  <c r="AP158" i="52"/>
  <c r="AQ158" i="52" s="1"/>
  <c r="AQ223" i="52"/>
  <c r="AP226" i="52"/>
  <c r="AQ226" i="52" s="1"/>
  <c r="AQ239" i="52"/>
  <c r="AE241" i="52"/>
  <c r="N205" i="52"/>
  <c r="AQ206" i="52"/>
  <c r="AQ219" i="52" s="1"/>
  <c r="Q241" i="52"/>
  <c r="AG241" i="52"/>
  <c r="N20" i="52"/>
  <c r="AP27" i="52"/>
  <c r="AQ27" i="52" s="1"/>
  <c r="P46" i="52"/>
  <c r="AQ41" i="52"/>
  <c r="AP47" i="52"/>
  <c r="AQ47" i="52" s="1"/>
  <c r="AQ50" i="52"/>
  <c r="AQ64" i="52"/>
  <c r="AP74" i="52"/>
  <c r="AQ74" i="52" s="1"/>
  <c r="AP76" i="52"/>
  <c r="AQ76" i="52" s="1"/>
  <c r="AP79" i="52"/>
  <c r="AQ79" i="52" s="1"/>
  <c r="AP85" i="52"/>
  <c r="AQ85" i="52" s="1"/>
  <c r="AQ118" i="52"/>
  <c r="AQ121" i="52"/>
  <c r="AO195" i="52"/>
  <c r="AQ137" i="52"/>
  <c r="P205" i="52"/>
  <c r="AQ201" i="52"/>
  <c r="AQ203" i="52"/>
  <c r="AQ210" i="52"/>
  <c r="AK241" i="52"/>
  <c r="J241" i="52"/>
  <c r="S241" i="52"/>
  <c r="AI241" i="52"/>
  <c r="AQ77" i="52"/>
  <c r="AQ131" i="52"/>
  <c r="AP219" i="52"/>
  <c r="AQ7" i="52"/>
  <c r="AQ103" i="52"/>
  <c r="AQ125" i="52"/>
  <c r="AQ127" i="52"/>
  <c r="AQ168" i="52"/>
  <c r="AQ133" i="52"/>
  <c r="AQ57" i="52"/>
  <c r="AQ12" i="52"/>
  <c r="AP205" i="52"/>
  <c r="AQ97" i="52"/>
  <c r="AQ161" i="52"/>
  <c r="AQ233" i="52"/>
  <c r="AQ30" i="52"/>
  <c r="AP67" i="52"/>
  <c r="AQ237" i="52"/>
  <c r="AP6" i="52"/>
  <c r="AQ22" i="52"/>
  <c r="AQ48" i="52"/>
  <c r="N66" i="52"/>
  <c r="AS166" i="52"/>
  <c r="N219" i="52"/>
  <c r="P66" i="52"/>
  <c r="P124" i="52"/>
  <c r="AP221" i="52"/>
  <c r="AQ221" i="52" s="1"/>
  <c r="AO124" i="52"/>
  <c r="AO219" i="52"/>
  <c r="AP21" i="52"/>
  <c r="AP32" i="52"/>
  <c r="AQ32" i="52" s="1"/>
  <c r="L195" i="52"/>
  <c r="L241" i="52" s="1"/>
  <c r="L242" i="52" s="1"/>
  <c r="L243" i="52" s="1"/>
  <c r="AQ240" i="52" l="1"/>
  <c r="AP96" i="52"/>
  <c r="AQ205" i="52"/>
  <c r="AP56" i="52"/>
  <c r="AP124" i="52"/>
  <c r="AP195" i="52"/>
  <c r="P241" i="52"/>
  <c r="AQ124" i="52"/>
  <c r="AP236" i="52"/>
  <c r="AQ67" i="52"/>
  <c r="AQ96" i="52" s="1"/>
  <c r="AQ66" i="52"/>
  <c r="N241" i="52"/>
  <c r="N242" i="52" s="1"/>
  <c r="N243" i="52" s="1"/>
  <c r="AO241" i="52"/>
  <c r="AQ236" i="52"/>
  <c r="AQ21" i="52"/>
  <c r="AQ29" i="52" s="1"/>
  <c r="AP29" i="52"/>
  <c r="AQ6" i="52"/>
  <c r="AQ20" i="52" s="1"/>
  <c r="AP20" i="52"/>
  <c r="AQ195" i="52"/>
  <c r="AQ46" i="52"/>
  <c r="AP46" i="52"/>
  <c r="AQ56" i="52"/>
  <c r="AQ241" i="52" l="1"/>
  <c r="AP241" i="52"/>
  <c r="AO98" i="42" l="1"/>
  <c r="AO97" i="42"/>
  <c r="AO96" i="42"/>
  <c r="AP23" i="42"/>
  <c r="AO23" i="42"/>
  <c r="AP94" i="42"/>
  <c r="AP95" i="42"/>
  <c r="AO94" i="42"/>
  <c r="AO95" i="42"/>
  <c r="AO48" i="42"/>
  <c r="AQ95" i="42" l="1"/>
  <c r="AQ23" i="42"/>
  <c r="AQ94" i="42"/>
  <c r="AO32" i="42"/>
  <c r="D20" i="41" s="1"/>
  <c r="H20" i="41" s="1"/>
  <c r="AQ32" i="42" l="1"/>
  <c r="AO194" i="42"/>
  <c r="AP155" i="42" l="1"/>
  <c r="AO155" i="42"/>
  <c r="AT155" i="42" s="1"/>
  <c r="AP154" i="42"/>
  <c r="AO154" i="42"/>
  <c r="AT154" i="42" s="1"/>
  <c r="R156" i="42"/>
  <c r="AP97" i="42"/>
  <c r="K23" i="44"/>
  <c r="I23" i="44"/>
  <c r="J23" i="44"/>
  <c r="AQ97" i="42" l="1"/>
  <c r="AQ154" i="42"/>
  <c r="AQ155" i="42"/>
  <c r="W31" i="41"/>
  <c r="AO239" i="42" l="1"/>
  <c r="AP233" i="42"/>
  <c r="AO233" i="42"/>
  <c r="R234" i="42"/>
  <c r="R196" i="42"/>
  <c r="R82" i="42"/>
  <c r="R24" i="42"/>
  <c r="R35" i="42"/>
  <c r="R78" i="42"/>
  <c r="R11" i="42"/>
  <c r="AP11" i="42" s="1"/>
  <c r="AQ11" i="42" s="1"/>
  <c r="R242" i="42"/>
  <c r="R236" i="42"/>
  <c r="R235" i="42"/>
  <c r="R231" i="42"/>
  <c r="R230" i="42"/>
  <c r="R223" i="42"/>
  <c r="R215" i="42"/>
  <c r="R211" i="42"/>
  <c r="R210" i="42"/>
  <c r="R209" i="42"/>
  <c r="R207" i="42"/>
  <c r="R205" i="42"/>
  <c r="R195" i="42"/>
  <c r="R194" i="42"/>
  <c r="R192" i="42"/>
  <c r="R191" i="42"/>
  <c r="R190" i="42"/>
  <c r="R189" i="42"/>
  <c r="R188" i="42"/>
  <c r="R184" i="42"/>
  <c r="R183" i="42"/>
  <c r="R182" i="42"/>
  <c r="R177" i="42"/>
  <c r="R168" i="42"/>
  <c r="R164" i="42"/>
  <c r="R158" i="42"/>
  <c r="R98" i="42"/>
  <c r="R96" i="42"/>
  <c r="R93" i="42"/>
  <c r="R92" i="42"/>
  <c r="R89" i="42"/>
  <c r="R88" i="42"/>
  <c r="R87" i="42"/>
  <c r="R86" i="42"/>
  <c r="R85" i="42"/>
  <c r="R84" i="42"/>
  <c r="R83" i="42"/>
  <c r="R77" i="42"/>
  <c r="R76" i="42"/>
  <c r="R75" i="42"/>
  <c r="R74" i="42"/>
  <c r="R73" i="42"/>
  <c r="R72" i="42"/>
  <c r="R71" i="42"/>
  <c r="R70" i="42"/>
  <c r="R69" i="42"/>
  <c r="R67" i="42"/>
  <c r="R64" i="42"/>
  <c r="R62" i="42"/>
  <c r="R61" i="42"/>
  <c r="R60" i="42"/>
  <c r="R59" i="42"/>
  <c r="R58" i="42"/>
  <c r="R57" i="42"/>
  <c r="R50" i="42"/>
  <c r="R47" i="42"/>
  <c r="R43" i="42"/>
  <c r="R41" i="42"/>
  <c r="R40" i="42"/>
  <c r="R39" i="42"/>
  <c r="R38" i="42"/>
  <c r="R36" i="42"/>
  <c r="R34" i="42"/>
  <c r="R33" i="42"/>
  <c r="R31" i="42"/>
  <c r="R29" i="42"/>
  <c r="R28" i="42"/>
  <c r="R27" i="42"/>
  <c r="R26" i="42"/>
  <c r="R22" i="42"/>
  <c r="R18" i="42"/>
  <c r="R17" i="42"/>
  <c r="R16" i="42"/>
  <c r="R12" i="42"/>
  <c r="R9" i="42"/>
  <c r="R8" i="42"/>
  <c r="R6" i="42"/>
  <c r="P6" i="42"/>
  <c r="R56" i="42" l="1"/>
  <c r="R214" i="42"/>
  <c r="R66" i="42"/>
  <c r="R228" i="42"/>
  <c r="R204" i="42"/>
  <c r="R30" i="42"/>
  <c r="R99" i="42"/>
  <c r="R20" i="42"/>
  <c r="R46" i="42"/>
  <c r="R245" i="42"/>
  <c r="AQ233" i="42"/>
  <c r="R250" i="42" l="1"/>
  <c r="AO18" i="42"/>
  <c r="P18" i="42"/>
  <c r="N18" i="42"/>
  <c r="L18" i="42"/>
  <c r="AP18" i="42" l="1"/>
  <c r="AQ18" i="42" s="1"/>
  <c r="N8" i="42" l="1"/>
  <c r="S26" i="41" l="1"/>
  <c r="P29" i="42"/>
  <c r="O5" i="41" l="1"/>
  <c r="N7" i="41"/>
  <c r="N6" i="41"/>
  <c r="Q5" i="41"/>
  <c r="C8" i="51"/>
  <c r="D8" i="51"/>
  <c r="Q48" i="41" l="1"/>
  <c r="E8" i="51"/>
  <c r="B3" i="51"/>
  <c r="B2" i="51" s="1"/>
  <c r="P36" i="42"/>
  <c r="A4" i="51"/>
  <c r="P64" i="42"/>
  <c r="P35" i="42" l="1"/>
  <c r="P24" i="42"/>
  <c r="AP38" i="41" l="1"/>
  <c r="AO38" i="41"/>
  <c r="AN38" i="41"/>
  <c r="AM38" i="41"/>
  <c r="AL38" i="41"/>
  <c r="AK38" i="41"/>
  <c r="AJ38" i="41"/>
  <c r="AI38" i="41"/>
  <c r="AH38" i="41"/>
  <c r="AG38" i="41"/>
  <c r="AF38" i="41"/>
  <c r="AE38" i="41"/>
  <c r="AD38" i="41"/>
  <c r="AC38" i="41"/>
  <c r="AB38" i="41"/>
  <c r="AA38" i="41"/>
  <c r="Z38" i="41"/>
  <c r="Y38" i="41"/>
  <c r="X38" i="41"/>
  <c r="W38" i="41"/>
  <c r="V38" i="41"/>
  <c r="U38" i="41"/>
  <c r="T38" i="41"/>
  <c r="S38" i="41"/>
  <c r="R38" i="41"/>
  <c r="Q38" i="41"/>
  <c r="P38" i="41"/>
  <c r="O38" i="41"/>
  <c r="N38" i="41"/>
  <c r="M38" i="41"/>
  <c r="AP17" i="41"/>
  <c r="AP60" i="41" s="1"/>
  <c r="AO17" i="41"/>
  <c r="AN17" i="41"/>
  <c r="AN60" i="41" s="1"/>
  <c r="AM17" i="41"/>
  <c r="AL17" i="41"/>
  <c r="AL60" i="41" s="1"/>
  <c r="AK17" i="41"/>
  <c r="AJ17" i="41"/>
  <c r="AJ60" i="41" s="1"/>
  <c r="AI17" i="41"/>
  <c r="AH17" i="41"/>
  <c r="AH60" i="41" s="1"/>
  <c r="AG17" i="41"/>
  <c r="AF17" i="41"/>
  <c r="AF60" i="41" s="1"/>
  <c r="AE17" i="41"/>
  <c r="AD17" i="41"/>
  <c r="AD60" i="41" s="1"/>
  <c r="AC17" i="41"/>
  <c r="AB17" i="41"/>
  <c r="AB60" i="41" s="1"/>
  <c r="AA17" i="41"/>
  <c r="Z17" i="41"/>
  <c r="Z60" i="41" s="1"/>
  <c r="Y17" i="41"/>
  <c r="X17" i="41"/>
  <c r="X60" i="41" s="1"/>
  <c r="W17" i="41"/>
  <c r="V17" i="41"/>
  <c r="V60" i="41" s="1"/>
  <c r="U17" i="41"/>
  <c r="U60" i="41" s="1"/>
  <c r="T17" i="41"/>
  <c r="T60" i="41" s="1"/>
  <c r="S17" i="41"/>
  <c r="S60" i="41" s="1"/>
  <c r="R17" i="41"/>
  <c r="R60" i="41" s="1"/>
  <c r="Q17" i="41"/>
  <c r="Q60" i="41" s="1"/>
  <c r="P17" i="41"/>
  <c r="O17" i="41"/>
  <c r="N17" i="41"/>
  <c r="N60" i="41" s="1"/>
  <c r="M17" i="41"/>
  <c r="G17" i="41"/>
  <c r="D17" i="41"/>
  <c r="AP195" i="42"/>
  <c r="P43" i="42"/>
  <c r="P41" i="42"/>
  <c r="AP248" i="42"/>
  <c r="AO248" i="42"/>
  <c r="AP247" i="42"/>
  <c r="AP246" i="42"/>
  <c r="AO246" i="42"/>
  <c r="AP229" i="42"/>
  <c r="AO229" i="42"/>
  <c r="AP226" i="42"/>
  <c r="AO226" i="42"/>
  <c r="AP213" i="42"/>
  <c r="AO213" i="42"/>
  <c r="AP203" i="42"/>
  <c r="AO203" i="42"/>
  <c r="AP202" i="42"/>
  <c r="AO202" i="42"/>
  <c r="AP145" i="42"/>
  <c r="AO145" i="42"/>
  <c r="AT145" i="42" s="1"/>
  <c r="AP142" i="42"/>
  <c r="AO142" i="42"/>
  <c r="AT142" i="42" s="1"/>
  <c r="AP138" i="42"/>
  <c r="AO138" i="42"/>
  <c r="AT138" i="42" s="1"/>
  <c r="AO93" i="42"/>
  <c r="P93" i="42"/>
  <c r="N93" i="42"/>
  <c r="L93" i="42"/>
  <c r="AO92" i="42"/>
  <c r="P92" i="42"/>
  <c r="N92" i="42"/>
  <c r="L92" i="42"/>
  <c r="AO65" i="42"/>
  <c r="AP65" i="42"/>
  <c r="AO64" i="42"/>
  <c r="AO57" i="42"/>
  <c r="P57" i="42"/>
  <c r="N57" i="42"/>
  <c r="L57" i="42"/>
  <c r="AO47" i="42"/>
  <c r="P47" i="42"/>
  <c r="N47" i="42"/>
  <c r="AP37" i="42"/>
  <c r="AO37" i="42"/>
  <c r="AO36" i="42"/>
  <c r="AP36" i="42"/>
  <c r="AO35" i="42"/>
  <c r="AO34" i="42"/>
  <c r="P34" i="42"/>
  <c r="N34" i="42"/>
  <c r="L34" i="42"/>
  <c r="AO33" i="42"/>
  <c r="P33" i="42"/>
  <c r="N33" i="42"/>
  <c r="L33" i="42"/>
  <c r="AO31" i="42"/>
  <c r="P31" i="42"/>
  <c r="N31" i="42"/>
  <c r="L31" i="42"/>
  <c r="AO26" i="42"/>
  <c r="P26" i="42"/>
  <c r="N26" i="42"/>
  <c r="L26" i="42"/>
  <c r="AO24" i="42"/>
  <c r="P22" i="42"/>
  <c r="N22" i="42"/>
  <c r="AO21" i="42"/>
  <c r="AO17" i="42"/>
  <c r="P17" i="42"/>
  <c r="N17" i="42"/>
  <c r="L17" i="42"/>
  <c r="AO16" i="42"/>
  <c r="P16" i="42"/>
  <c r="N16" i="42"/>
  <c r="L16" i="42"/>
  <c r="AP15" i="42"/>
  <c r="AO15" i="42"/>
  <c r="AP14" i="42"/>
  <c r="AO14" i="42"/>
  <c r="AO13" i="42"/>
  <c r="L13" i="42"/>
  <c r="AP13" i="42" s="1"/>
  <c r="AO12" i="42"/>
  <c r="P12" i="42"/>
  <c r="N12" i="42"/>
  <c r="AO9" i="42"/>
  <c r="P9" i="42"/>
  <c r="N9" i="42"/>
  <c r="L9" i="42"/>
  <c r="AO8" i="42"/>
  <c r="P8" i="42"/>
  <c r="AO7" i="42"/>
  <c r="L7" i="42"/>
  <c r="AP7" i="42" s="1"/>
  <c r="AO6" i="42"/>
  <c r="N6" i="42"/>
  <c r="L6" i="42"/>
  <c r="AO196" i="42"/>
  <c r="AO195" i="42"/>
  <c r="AP194" i="42"/>
  <c r="P193" i="42"/>
  <c r="AO191" i="42"/>
  <c r="AQ17" i="41" l="1"/>
  <c r="AP33" i="42"/>
  <c r="AQ33" i="42" s="1"/>
  <c r="P60" i="41"/>
  <c r="AR60" i="41" s="1"/>
  <c r="R26" i="41"/>
  <c r="N5" i="41"/>
  <c r="P5" i="41"/>
  <c r="AQ38" i="41"/>
  <c r="AR38" i="41"/>
  <c r="AR17" i="41"/>
  <c r="AQ36" i="42"/>
  <c r="AQ195" i="42"/>
  <c r="AP22" i="42"/>
  <c r="AQ22" i="42" s="1"/>
  <c r="AQ247" i="42"/>
  <c r="AQ246" i="42"/>
  <c r="AP93" i="42"/>
  <c r="AQ93" i="42" s="1"/>
  <c r="AQ226" i="42"/>
  <c r="AQ229" i="42"/>
  <c r="AQ37" i="42"/>
  <c r="AP92" i="42"/>
  <c r="AQ92" i="42" s="1"/>
  <c r="AQ248" i="42"/>
  <c r="AQ203" i="42"/>
  <c r="AQ145" i="42"/>
  <c r="AQ213" i="42"/>
  <c r="AQ202" i="42"/>
  <c r="AP35" i="42"/>
  <c r="AQ35" i="42" s="1"/>
  <c r="AP64" i="42"/>
  <c r="AQ64" i="42" s="1"/>
  <c r="AQ194" i="42"/>
  <c r="AQ138" i="42"/>
  <c r="AP47" i="42"/>
  <c r="AQ47" i="42" s="1"/>
  <c r="AQ142" i="42"/>
  <c r="AP34" i="42"/>
  <c r="AQ34" i="42" s="1"/>
  <c r="AQ65" i="42"/>
  <c r="AQ14" i="42"/>
  <c r="AP21" i="42"/>
  <c r="AQ21" i="42" s="1"/>
  <c r="AP31" i="42"/>
  <c r="AQ31" i="42" s="1"/>
  <c r="AP57" i="42"/>
  <c r="AQ57" i="42" s="1"/>
  <c r="AP9" i="42"/>
  <c r="AQ9" i="42" s="1"/>
  <c r="AQ13" i="42"/>
  <c r="AP24" i="42"/>
  <c r="AQ24" i="42" s="1"/>
  <c r="AP17" i="42"/>
  <c r="AQ17" i="42" s="1"/>
  <c r="AP12" i="42"/>
  <c r="AQ12" i="42" s="1"/>
  <c r="AQ15" i="42"/>
  <c r="AP26" i="42"/>
  <c r="AQ26" i="42" s="1"/>
  <c r="AP8" i="42"/>
  <c r="AQ8" i="42" s="1"/>
  <c r="AP6" i="42"/>
  <c r="AQ6" i="42" s="1"/>
  <c r="AP16" i="42"/>
  <c r="AQ16" i="42" s="1"/>
  <c r="AQ7" i="42"/>
  <c r="P242" i="42"/>
  <c r="P236" i="42"/>
  <c r="P235" i="42"/>
  <c r="P234" i="42"/>
  <c r="P231" i="42"/>
  <c r="P230" i="42"/>
  <c r="P223" i="42"/>
  <c r="P215" i="42"/>
  <c r="P211" i="42"/>
  <c r="P210" i="42"/>
  <c r="P209" i="42"/>
  <c r="P205" i="42"/>
  <c r="P192" i="42"/>
  <c r="P191" i="42"/>
  <c r="P190" i="42"/>
  <c r="P189" i="42"/>
  <c r="P188" i="42"/>
  <c r="P183" i="42"/>
  <c r="P182" i="42"/>
  <c r="AP177" i="42"/>
  <c r="P169" i="42"/>
  <c r="P164" i="42"/>
  <c r="P158" i="42"/>
  <c r="P156" i="42"/>
  <c r="P249" i="42"/>
  <c r="P196" i="42"/>
  <c r="AP196" i="42" s="1"/>
  <c r="AQ196" i="42" s="1"/>
  <c r="P84" i="42"/>
  <c r="P85" i="42"/>
  <c r="P86" i="42"/>
  <c r="P87" i="42"/>
  <c r="P88" i="42"/>
  <c r="P89" i="42"/>
  <c r="P83" i="42"/>
  <c r="P82" i="42"/>
  <c r="P78" i="42"/>
  <c r="P77" i="42"/>
  <c r="P71" i="42"/>
  <c r="P72" i="42"/>
  <c r="P73" i="42"/>
  <c r="P74" i="42"/>
  <c r="P75" i="42"/>
  <c r="P76" i="42"/>
  <c r="P70" i="42"/>
  <c r="P69" i="42"/>
  <c r="P67" i="42"/>
  <c r="P62" i="42"/>
  <c r="P61" i="42"/>
  <c r="P60" i="42"/>
  <c r="P59" i="42"/>
  <c r="P58" i="42"/>
  <c r="P56" i="42"/>
  <c r="P38" i="42"/>
  <c r="P40" i="42"/>
  <c r="P39" i="42"/>
  <c r="AP207" i="42"/>
  <c r="AO207" i="42"/>
  <c r="AP181" i="42"/>
  <c r="AO181" i="42"/>
  <c r="AP180" i="42"/>
  <c r="AO180" i="42"/>
  <c r="AP179" i="42"/>
  <c r="AO179" i="42"/>
  <c r="F17" i="41" s="1"/>
  <c r="AP178" i="42"/>
  <c r="AO178" i="42"/>
  <c r="AO177" i="42"/>
  <c r="E17" i="41" l="1"/>
  <c r="H17" i="41" s="1"/>
  <c r="AT17" i="41" s="1"/>
  <c r="AS38" i="41"/>
  <c r="AS17" i="41"/>
  <c r="P228" i="42"/>
  <c r="P245" i="42"/>
  <c r="P214" i="42"/>
  <c r="AQ178" i="42"/>
  <c r="AQ207" i="42"/>
  <c r="P46" i="42"/>
  <c r="P66" i="42"/>
  <c r="P122" i="42"/>
  <c r="AQ180" i="42"/>
  <c r="AQ177" i="42"/>
  <c r="P99" i="42"/>
  <c r="P204" i="42"/>
  <c r="AQ179" i="42"/>
  <c r="AQ181" i="42"/>
  <c r="P30" i="42"/>
  <c r="AO77" i="42"/>
  <c r="N77" i="42"/>
  <c r="L77" i="42"/>
  <c r="AO76" i="42"/>
  <c r="N76" i="42"/>
  <c r="L76" i="42"/>
  <c r="AO75" i="42"/>
  <c r="N75" i="42"/>
  <c r="AP75" i="42" s="1"/>
  <c r="AO234" i="42"/>
  <c r="AP234" i="42"/>
  <c r="AP243" i="42"/>
  <c r="AO243" i="42"/>
  <c r="AP242" i="42"/>
  <c r="AO242" i="42"/>
  <c r="AP241" i="42"/>
  <c r="AO241" i="42"/>
  <c r="N191" i="42"/>
  <c r="AP191" i="42" s="1"/>
  <c r="AQ191" i="42" s="1"/>
  <c r="N40" i="42"/>
  <c r="N27" i="42"/>
  <c r="AQ243" i="42" l="1"/>
  <c r="AQ75" i="42"/>
  <c r="AP76" i="42"/>
  <c r="AQ76" i="42" s="1"/>
  <c r="AP77" i="42"/>
  <c r="AQ77" i="42" s="1"/>
  <c r="AQ234" i="42"/>
  <c r="AQ242" i="42"/>
  <c r="AQ241" i="42"/>
  <c r="N189" i="42"/>
  <c r="N188" i="42"/>
  <c r="N72" i="42"/>
  <c r="N38" i="42"/>
  <c r="N28" i="42" l="1"/>
  <c r="P6" i="41" s="1"/>
  <c r="N193" i="42"/>
  <c r="AP193" i="42" s="1"/>
  <c r="N192" i="42"/>
  <c r="AP192" i="42" s="1"/>
  <c r="AP169" i="42"/>
  <c r="AQ169" i="42" s="1"/>
  <c r="AK256" i="42"/>
  <c r="P1" i="41"/>
  <c r="N249" i="42"/>
  <c r="N235" i="42"/>
  <c r="N232" i="42"/>
  <c r="N231" i="42"/>
  <c r="N230" i="42"/>
  <c r="N223" i="42"/>
  <c r="N215" i="42"/>
  <c r="N211" i="42"/>
  <c r="N210" i="42"/>
  <c r="N209" i="42"/>
  <c r="N206" i="42"/>
  <c r="N205" i="42"/>
  <c r="N190" i="42"/>
  <c r="AP190" i="42" s="1"/>
  <c r="N183" i="42"/>
  <c r="N182" i="42"/>
  <c r="N164" i="42"/>
  <c r="N158" i="42"/>
  <c r="N156" i="42"/>
  <c r="N88" i="42"/>
  <c r="N86" i="42"/>
  <c r="N84" i="42"/>
  <c r="N83" i="42"/>
  <c r="N74" i="42"/>
  <c r="N73" i="42"/>
  <c r="N71" i="42"/>
  <c r="N70" i="42"/>
  <c r="N69" i="42"/>
  <c r="N67" i="42"/>
  <c r="N61" i="42"/>
  <c r="N58" i="42"/>
  <c r="N56" i="42"/>
  <c r="N39" i="42"/>
  <c r="AP197" i="42"/>
  <c r="AO197" i="42"/>
  <c r="N20" i="42" l="1"/>
  <c r="N99" i="42"/>
  <c r="N122" i="42"/>
  <c r="N204" i="42"/>
  <c r="N245" i="42"/>
  <c r="N214" i="42"/>
  <c r="N66" i="42"/>
  <c r="N46" i="42"/>
  <c r="N30" i="42"/>
  <c r="N228" i="42"/>
  <c r="AQ197" i="42"/>
  <c r="AP115" i="42"/>
  <c r="AO115" i="42"/>
  <c r="AT115" i="42" s="1"/>
  <c r="N250" i="42" l="1"/>
  <c r="N251" i="42" s="1"/>
  <c r="AQ115" i="42"/>
  <c r="L69" i="42" l="1"/>
  <c r="G258" i="42"/>
  <c r="L235" i="42"/>
  <c r="L230" i="42"/>
  <c r="AP74" i="42" l="1"/>
  <c r="AO74" i="42"/>
  <c r="AP126" i="42"/>
  <c r="AO126" i="42"/>
  <c r="AT126" i="42" s="1"/>
  <c r="L211" i="42"/>
  <c r="L210" i="42"/>
  <c r="L206" i="42"/>
  <c r="L205" i="42"/>
  <c r="L183" i="42"/>
  <c r="L182" i="42"/>
  <c r="L73" i="42"/>
  <c r="L71" i="42"/>
  <c r="L70" i="42"/>
  <c r="L67" i="42"/>
  <c r="L61" i="42"/>
  <c r="L58" i="42"/>
  <c r="L56" i="42"/>
  <c r="L39" i="42"/>
  <c r="L249" i="42"/>
  <c r="L228" i="42"/>
  <c r="Y60" i="41" l="1"/>
  <c r="AC60" i="41"/>
  <c r="AI60" i="41"/>
  <c r="AM60" i="41"/>
  <c r="AG60" i="41"/>
  <c r="AK60" i="41"/>
  <c r="AO60" i="41"/>
  <c r="O60" i="41"/>
  <c r="W60" i="41"/>
  <c r="AA60" i="41"/>
  <c r="AE60" i="41"/>
  <c r="M60" i="41"/>
  <c r="AQ74" i="42"/>
  <c r="AQ126" i="42"/>
  <c r="L214" i="42"/>
  <c r="L122" i="42"/>
  <c r="L204" i="42"/>
  <c r="L99" i="42"/>
  <c r="L66" i="42"/>
  <c r="L30" i="42"/>
  <c r="L245" i="42"/>
  <c r="L46" i="42"/>
  <c r="AP244" i="42"/>
  <c r="AO244" i="42"/>
  <c r="AP240" i="42"/>
  <c r="AO240" i="42"/>
  <c r="AP239" i="42"/>
  <c r="AP237" i="42"/>
  <c r="AO237" i="42"/>
  <c r="AP236" i="42"/>
  <c r="AO236" i="42"/>
  <c r="AP235" i="42"/>
  <c r="AO235" i="42"/>
  <c r="AP232" i="42"/>
  <c r="AO232" i="42"/>
  <c r="AP231" i="42"/>
  <c r="AO231" i="42"/>
  <c r="AP230" i="42"/>
  <c r="AO230" i="42"/>
  <c r="AP227" i="42"/>
  <c r="AO227" i="42"/>
  <c r="AP225" i="42"/>
  <c r="AO225" i="42"/>
  <c r="AP224" i="42"/>
  <c r="AO224" i="42"/>
  <c r="AP223" i="42"/>
  <c r="AO223" i="42"/>
  <c r="AP222" i="42"/>
  <c r="AO222" i="42"/>
  <c r="AP221" i="42"/>
  <c r="AO221" i="42"/>
  <c r="AP220" i="42"/>
  <c r="AO220" i="42"/>
  <c r="AP219" i="42"/>
  <c r="AO219" i="42"/>
  <c r="AP218" i="42"/>
  <c r="AO218" i="42"/>
  <c r="AP217" i="42"/>
  <c r="AO217" i="42"/>
  <c r="AP216" i="42"/>
  <c r="AO216" i="42"/>
  <c r="AP215" i="42"/>
  <c r="AO215" i="42"/>
  <c r="AP212" i="42"/>
  <c r="AO212" i="42"/>
  <c r="AP211" i="42"/>
  <c r="AO211" i="42"/>
  <c r="AP210" i="42"/>
  <c r="AO210" i="42"/>
  <c r="AP209" i="42"/>
  <c r="AO209" i="42"/>
  <c r="AP208" i="42"/>
  <c r="AO208" i="42"/>
  <c r="AP206" i="42"/>
  <c r="AO206" i="42"/>
  <c r="AP205" i="42"/>
  <c r="AO205" i="42"/>
  <c r="AP201" i="42"/>
  <c r="AO201" i="42"/>
  <c r="AP200" i="42"/>
  <c r="AO200" i="42"/>
  <c r="AP199" i="42"/>
  <c r="AO199" i="42"/>
  <c r="AP198" i="42"/>
  <c r="AO198" i="42"/>
  <c r="AO193" i="42"/>
  <c r="AO192" i="42"/>
  <c r="AO190" i="42"/>
  <c r="AP189" i="42"/>
  <c r="AO189" i="42"/>
  <c r="AP188" i="42"/>
  <c r="AO188" i="42"/>
  <c r="AP187" i="42"/>
  <c r="AO187" i="42"/>
  <c r="AP186" i="42"/>
  <c r="AO186" i="42"/>
  <c r="AP185" i="42"/>
  <c r="AO185" i="42"/>
  <c r="AP184" i="42"/>
  <c r="AO184" i="42"/>
  <c r="AP183" i="42"/>
  <c r="AO183" i="42"/>
  <c r="AP182" i="42"/>
  <c r="AO182" i="42"/>
  <c r="AP168" i="42"/>
  <c r="AO168" i="42"/>
  <c r="AP167" i="42"/>
  <c r="AO167" i="42"/>
  <c r="AP166" i="42"/>
  <c r="AO166" i="42"/>
  <c r="AP164" i="42"/>
  <c r="AO164" i="42"/>
  <c r="AP158" i="42"/>
  <c r="AO158" i="42"/>
  <c r="AP156" i="42"/>
  <c r="AO156" i="42"/>
  <c r="AP153" i="42"/>
  <c r="AO153" i="42"/>
  <c r="AT153" i="42" s="1"/>
  <c r="AP152" i="42"/>
  <c r="AO152" i="42"/>
  <c r="AT152" i="42" s="1"/>
  <c r="AP151" i="42"/>
  <c r="AO151" i="42"/>
  <c r="AT151" i="42" s="1"/>
  <c r="AP150" i="42"/>
  <c r="AO150" i="42"/>
  <c r="AT150" i="42" s="1"/>
  <c r="AP149" i="42"/>
  <c r="AO149" i="42"/>
  <c r="AT149" i="42" s="1"/>
  <c r="AP148" i="42"/>
  <c r="AO148" i="42"/>
  <c r="AT148" i="42" s="1"/>
  <c r="AP147" i="42"/>
  <c r="AO147" i="42"/>
  <c r="AT147" i="42" s="1"/>
  <c r="AP144" i="42"/>
  <c r="AO144" i="42"/>
  <c r="AT144" i="42" s="1"/>
  <c r="AP143" i="42"/>
  <c r="AO143" i="42"/>
  <c r="AT143" i="42" s="1"/>
  <c r="AP141" i="42"/>
  <c r="AO141" i="42"/>
  <c r="AT141" i="42" s="1"/>
  <c r="AP140" i="42"/>
  <c r="AO140" i="42"/>
  <c r="AT140" i="42" s="1"/>
  <c r="AP139" i="42"/>
  <c r="AO139" i="42"/>
  <c r="AT139" i="42" s="1"/>
  <c r="AP137" i="42"/>
  <c r="AO137" i="42"/>
  <c r="AT137" i="42" s="1"/>
  <c r="AP136" i="42"/>
  <c r="AO136" i="42"/>
  <c r="AT136" i="42" s="1"/>
  <c r="AP135" i="42"/>
  <c r="AO135" i="42"/>
  <c r="AT135" i="42" s="1"/>
  <c r="AP134" i="42"/>
  <c r="AO134" i="42"/>
  <c r="AT134" i="42" s="1"/>
  <c r="AP133" i="42"/>
  <c r="AO133" i="42"/>
  <c r="AT133" i="42" s="1"/>
  <c r="AP132" i="42"/>
  <c r="AO132" i="42"/>
  <c r="AT132" i="42" s="1"/>
  <c r="AP131" i="42"/>
  <c r="AO131" i="42"/>
  <c r="AT131" i="42" s="1"/>
  <c r="AP130" i="42"/>
  <c r="AO130" i="42"/>
  <c r="AT130" i="42" s="1"/>
  <c r="AP129" i="42"/>
  <c r="AO129" i="42"/>
  <c r="AT129" i="42" s="1"/>
  <c r="AP128" i="42"/>
  <c r="AO128" i="42"/>
  <c r="AT128" i="42" s="1"/>
  <c r="AP127" i="42"/>
  <c r="AO127" i="42"/>
  <c r="AT127" i="42" s="1"/>
  <c r="AP125" i="42"/>
  <c r="AO125" i="42"/>
  <c r="AT125" i="42" s="1"/>
  <c r="AP124" i="42"/>
  <c r="AO124" i="42"/>
  <c r="AT124" i="42" s="1"/>
  <c r="AP123" i="42"/>
  <c r="AO123" i="42"/>
  <c r="AP121" i="42"/>
  <c r="AO121" i="42"/>
  <c r="AT121" i="42" s="1"/>
  <c r="AP120" i="42"/>
  <c r="AO120" i="42"/>
  <c r="AT120" i="42" s="1"/>
  <c r="AP119" i="42"/>
  <c r="AO119" i="42"/>
  <c r="AT119" i="42" s="1"/>
  <c r="AP118" i="42"/>
  <c r="AO118" i="42"/>
  <c r="AT118" i="42" s="1"/>
  <c r="AP117" i="42"/>
  <c r="AO117" i="42"/>
  <c r="AT117" i="42" s="1"/>
  <c r="AP116" i="42"/>
  <c r="AO116" i="42"/>
  <c r="AT116" i="42" s="1"/>
  <c r="AP114" i="42"/>
  <c r="AO114" i="42"/>
  <c r="AT114" i="42" s="1"/>
  <c r="AP113" i="42"/>
  <c r="AO113" i="42"/>
  <c r="AT113" i="42" s="1"/>
  <c r="AP112" i="42"/>
  <c r="AO112" i="42"/>
  <c r="AT112" i="42" s="1"/>
  <c r="AP111" i="42"/>
  <c r="AO111" i="42"/>
  <c r="AT111" i="42" s="1"/>
  <c r="AP110" i="42"/>
  <c r="AO110" i="42"/>
  <c r="AT110" i="42" s="1"/>
  <c r="AP109" i="42"/>
  <c r="AO109" i="42"/>
  <c r="AT109" i="42" s="1"/>
  <c r="AP108" i="42"/>
  <c r="AO108" i="42"/>
  <c r="AT108" i="42" s="1"/>
  <c r="AP107" i="42"/>
  <c r="AO107" i="42"/>
  <c r="AT107" i="42" s="1"/>
  <c r="AP106" i="42"/>
  <c r="AO106" i="42"/>
  <c r="AT106" i="42" s="1"/>
  <c r="AP105" i="42"/>
  <c r="AO105" i="42"/>
  <c r="AT105" i="42" s="1"/>
  <c r="AP104" i="42"/>
  <c r="AO104" i="42"/>
  <c r="AT104" i="42" s="1"/>
  <c r="AP103" i="42"/>
  <c r="AO103" i="42"/>
  <c r="AT103" i="42" s="1"/>
  <c r="AP102" i="42"/>
  <c r="AO102" i="42"/>
  <c r="AT102" i="42" s="1"/>
  <c r="AP101" i="42"/>
  <c r="AO101" i="42"/>
  <c r="AP100" i="42"/>
  <c r="AO100" i="42"/>
  <c r="AT100" i="42" s="1"/>
  <c r="AP98" i="42"/>
  <c r="AP96" i="42"/>
  <c r="AP89" i="42"/>
  <c r="AO89" i="42"/>
  <c r="AP88" i="42"/>
  <c r="AO88" i="42"/>
  <c r="AP87" i="42"/>
  <c r="AO87" i="42"/>
  <c r="AP86" i="42"/>
  <c r="AO86" i="42"/>
  <c r="AP85" i="42"/>
  <c r="AO85" i="42"/>
  <c r="AP84" i="42"/>
  <c r="AO84" i="42"/>
  <c r="AP83" i="42"/>
  <c r="AO83" i="42"/>
  <c r="AP82" i="42"/>
  <c r="AO82" i="42"/>
  <c r="AP78" i="42"/>
  <c r="AO78" i="42"/>
  <c r="AP73" i="42"/>
  <c r="AO73" i="42"/>
  <c r="AP72" i="42"/>
  <c r="AO72" i="42"/>
  <c r="AP71" i="42"/>
  <c r="AO71" i="42"/>
  <c r="AP70" i="42"/>
  <c r="AO70" i="42"/>
  <c r="AP69" i="42"/>
  <c r="AO69" i="42"/>
  <c r="AP67" i="42"/>
  <c r="AO67" i="42"/>
  <c r="AP63" i="42"/>
  <c r="AO63" i="42"/>
  <c r="AP62" i="42"/>
  <c r="AO62" i="42"/>
  <c r="AP61" i="42"/>
  <c r="AO61" i="42"/>
  <c r="AP60" i="42"/>
  <c r="AO60" i="42"/>
  <c r="AP59" i="42"/>
  <c r="AO59" i="42"/>
  <c r="AP58" i="42"/>
  <c r="AO58" i="42"/>
  <c r="AP55" i="42"/>
  <c r="AO55" i="42"/>
  <c r="AP54" i="42"/>
  <c r="AO54" i="42"/>
  <c r="AP53" i="42"/>
  <c r="AO53" i="42"/>
  <c r="AP52" i="42"/>
  <c r="AO52" i="42"/>
  <c r="AP51" i="42"/>
  <c r="AO51" i="42"/>
  <c r="AP50" i="42"/>
  <c r="AO50" i="42"/>
  <c r="AP49" i="42"/>
  <c r="AO49" i="42"/>
  <c r="AP48" i="42"/>
  <c r="AP45" i="42"/>
  <c r="AO45" i="42"/>
  <c r="AP44" i="42"/>
  <c r="AO44" i="42"/>
  <c r="AP43" i="42"/>
  <c r="AO43" i="42"/>
  <c r="AP42" i="42"/>
  <c r="AO42" i="42"/>
  <c r="AP41" i="42"/>
  <c r="AO41" i="42"/>
  <c r="AP40" i="42"/>
  <c r="AO40" i="42"/>
  <c r="AP39" i="42"/>
  <c r="AO39" i="42"/>
  <c r="AP38" i="42"/>
  <c r="AO38" i="42"/>
  <c r="AP29" i="42"/>
  <c r="AO29" i="42"/>
  <c r="AP28" i="42"/>
  <c r="AO28" i="42"/>
  <c r="AP27" i="42"/>
  <c r="AO27" i="42"/>
  <c r="AT123" i="42" l="1"/>
  <c r="AV123" i="42" s="1"/>
  <c r="AT101" i="42"/>
  <c r="AV101" i="42" s="1"/>
  <c r="AQ60" i="41"/>
  <c r="AS60" i="41" s="1"/>
  <c r="AQ28" i="42"/>
  <c r="AQ43" i="42"/>
  <c r="AQ38" i="42"/>
  <c r="AQ42" i="42"/>
  <c r="AQ100" i="42"/>
  <c r="AQ49" i="42"/>
  <c r="AQ117" i="42"/>
  <c r="AQ104" i="42"/>
  <c r="AQ69" i="42"/>
  <c r="AQ84" i="42"/>
  <c r="AQ114" i="42"/>
  <c r="AQ140" i="42"/>
  <c r="AQ121" i="42"/>
  <c r="AQ148" i="42"/>
  <c r="AQ85" i="42"/>
  <c r="AQ134" i="42"/>
  <c r="AQ217" i="42"/>
  <c r="AP56" i="42"/>
  <c r="AQ58" i="42"/>
  <c r="AQ83" i="42"/>
  <c r="AQ166" i="42"/>
  <c r="AQ221" i="42"/>
  <c r="AQ107" i="42"/>
  <c r="AQ199" i="42"/>
  <c r="AQ205" i="42"/>
  <c r="AP249" i="42"/>
  <c r="AQ87" i="42"/>
  <c r="AQ101" i="42"/>
  <c r="AQ105" i="42"/>
  <c r="AQ152" i="42"/>
  <c r="AQ193" i="42"/>
  <c r="AQ235" i="42"/>
  <c r="AQ230" i="42"/>
  <c r="AQ244" i="42"/>
  <c r="AQ210" i="42"/>
  <c r="AQ187" i="42"/>
  <c r="AO214" i="42"/>
  <c r="AO46" i="42"/>
  <c r="AQ151" i="42"/>
  <c r="AQ156" i="42"/>
  <c r="AP204" i="42"/>
  <c r="AP245" i="42"/>
  <c r="AQ41" i="42"/>
  <c r="AQ51" i="42"/>
  <c r="AQ55" i="42"/>
  <c r="AQ60" i="42"/>
  <c r="AQ78" i="42"/>
  <c r="AQ89" i="42"/>
  <c r="AQ98" i="42"/>
  <c r="AQ120" i="42"/>
  <c r="AQ133" i="42"/>
  <c r="AQ137" i="42"/>
  <c r="AQ149" i="42"/>
  <c r="AQ164" i="42"/>
  <c r="AQ184" i="42"/>
  <c r="AQ188" i="42"/>
  <c r="AQ219" i="42"/>
  <c r="AQ227" i="42"/>
  <c r="AQ239" i="42"/>
  <c r="AP30" i="42"/>
  <c r="AQ240" i="42"/>
  <c r="AQ61" i="42"/>
  <c r="AQ86" i="42"/>
  <c r="AQ125" i="42"/>
  <c r="AQ224" i="42"/>
  <c r="AQ53" i="42"/>
  <c r="AQ62" i="42"/>
  <c r="AP99" i="42"/>
  <c r="AQ113" i="42"/>
  <c r="AQ127" i="42"/>
  <c r="AQ135" i="42"/>
  <c r="AQ167" i="42"/>
  <c r="AQ186" i="42"/>
  <c r="AQ236" i="42"/>
  <c r="AQ27" i="42"/>
  <c r="AO66" i="42"/>
  <c r="AQ29" i="42"/>
  <c r="AQ44" i="42"/>
  <c r="AQ50" i="42"/>
  <c r="AQ59" i="42"/>
  <c r="AQ63" i="42"/>
  <c r="AQ96" i="42"/>
  <c r="AQ110" i="42"/>
  <c r="AQ123" i="42"/>
  <c r="AQ128" i="42"/>
  <c r="AQ132" i="42"/>
  <c r="AQ158" i="42"/>
  <c r="AQ183" i="42"/>
  <c r="AQ192" i="42"/>
  <c r="AQ215" i="42"/>
  <c r="AQ218" i="42"/>
  <c r="AQ237" i="42"/>
  <c r="AQ52" i="42"/>
  <c r="AQ71" i="42"/>
  <c r="AQ82" i="42"/>
  <c r="AQ109" i="42"/>
  <c r="AQ131" i="42"/>
  <c r="AQ147" i="42"/>
  <c r="AQ150" i="42"/>
  <c r="AQ168" i="42"/>
  <c r="AO204" i="42"/>
  <c r="AQ208" i="42"/>
  <c r="AQ212" i="42"/>
  <c r="AQ222" i="42"/>
  <c r="AO56" i="42"/>
  <c r="AP66" i="42"/>
  <c r="AP122" i="42"/>
  <c r="AQ67" i="42"/>
  <c r="AQ72" i="42"/>
  <c r="AQ102" i="42"/>
  <c r="AQ118" i="42"/>
  <c r="AQ139" i="42"/>
  <c r="AO249" i="42"/>
  <c r="AP46" i="42"/>
  <c r="AO99" i="42"/>
  <c r="AQ216" i="42"/>
  <c r="AQ45" i="42"/>
  <c r="AQ54" i="42"/>
  <c r="AQ73" i="42"/>
  <c r="AQ103" i="42"/>
  <c r="AQ106" i="42"/>
  <c r="AQ119" i="42"/>
  <c r="AQ136" i="42"/>
  <c r="AQ143" i="42"/>
  <c r="AQ200" i="42"/>
  <c r="AQ209" i="42"/>
  <c r="AQ220" i="42"/>
  <c r="AQ223" i="42"/>
  <c r="AO30" i="42"/>
  <c r="AQ39" i="42"/>
  <c r="AQ88" i="42"/>
  <c r="AQ111" i="42"/>
  <c r="AQ124" i="42"/>
  <c r="AQ129" i="42"/>
  <c r="AQ144" i="42"/>
  <c r="AQ182" i="42"/>
  <c r="AQ185" i="42"/>
  <c r="AQ189" i="42"/>
  <c r="AQ201" i="42"/>
  <c r="AO228" i="42"/>
  <c r="AQ231" i="42"/>
  <c r="AP214" i="42"/>
  <c r="AP228" i="42"/>
  <c r="AQ40" i="42"/>
  <c r="AQ48" i="42"/>
  <c r="AQ70" i="42"/>
  <c r="AQ108" i="42"/>
  <c r="AQ112" i="42"/>
  <c r="AQ116" i="42"/>
  <c r="AO122" i="42"/>
  <c r="AQ130" i="42"/>
  <c r="AQ141" i="42"/>
  <c r="AQ153" i="42"/>
  <c r="AQ190" i="42"/>
  <c r="AQ198" i="42"/>
  <c r="AQ206" i="42"/>
  <c r="AQ211" i="42"/>
  <c r="AQ225" i="42"/>
  <c r="AQ232" i="42"/>
  <c r="AO245" i="42"/>
  <c r="AQ214" i="42" l="1"/>
  <c r="AQ249" i="42"/>
  <c r="AQ228" i="42"/>
  <c r="AQ204" i="42"/>
  <c r="AQ122" i="42"/>
  <c r="AQ46" i="42"/>
  <c r="AQ245" i="42"/>
  <c r="AQ30" i="42"/>
  <c r="AQ99" i="42"/>
  <c r="AQ66" i="42"/>
  <c r="AQ56" i="42"/>
  <c r="N26" i="41" l="1"/>
  <c r="N48" i="41"/>
  <c r="L20" i="42"/>
  <c r="L250" i="42" s="1"/>
  <c r="L251" i="42" s="1"/>
  <c r="AN39" i="41"/>
  <c r="AF39" i="41"/>
  <c r="X39" i="41"/>
  <c r="P39" i="41"/>
  <c r="AL37" i="41"/>
  <c r="AD37" i="41"/>
  <c r="V37" i="41"/>
  <c r="N37" i="41"/>
  <c r="AJ36" i="41"/>
  <c r="AB36" i="41"/>
  <c r="T36" i="41"/>
  <c r="AP35" i="41"/>
  <c r="AH35" i="41"/>
  <c r="Z35" i="41"/>
  <c r="R35" i="41"/>
  <c r="AN34" i="41"/>
  <c r="AF34" i="41"/>
  <c r="X34" i="41"/>
  <c r="P34" i="41"/>
  <c r="AL33" i="41"/>
  <c r="AD33" i="41"/>
  <c r="V33" i="41"/>
  <c r="N33" i="41"/>
  <c r="AJ32" i="41"/>
  <c r="AB32" i="41"/>
  <c r="T32" i="41"/>
  <c r="AP31" i="41"/>
  <c r="AH31" i="41"/>
  <c r="Z31" i="41"/>
  <c r="R31" i="41"/>
  <c r="AN30" i="41"/>
  <c r="AF30" i="41"/>
  <c r="X30" i="41"/>
  <c r="P30" i="41"/>
  <c r="AL29" i="41"/>
  <c r="AD29" i="41"/>
  <c r="V29" i="41"/>
  <c r="N29" i="41"/>
  <c r="AJ28" i="41"/>
  <c r="AB28" i="41"/>
  <c r="T28" i="41"/>
  <c r="AP27" i="41"/>
  <c r="AH27" i="41"/>
  <c r="Z27" i="41"/>
  <c r="R27" i="41"/>
  <c r="AN26" i="41"/>
  <c r="AF26" i="41"/>
  <c r="X26" i="41"/>
  <c r="P26" i="41"/>
  <c r="AJ18" i="41"/>
  <c r="AJ61" i="41" s="1"/>
  <c r="AB18" i="41"/>
  <c r="AB61" i="41" s="1"/>
  <c r="T18" i="41"/>
  <c r="T61" i="41" s="1"/>
  <c r="AP16" i="41"/>
  <c r="AP59" i="41" s="1"/>
  <c r="AH16" i="41"/>
  <c r="AH59" i="41" s="1"/>
  <c r="Z16" i="41"/>
  <c r="Z59" i="41" s="1"/>
  <c r="R16" i="41"/>
  <c r="R59" i="41" s="1"/>
  <c r="AN15" i="41"/>
  <c r="AN58" i="41" s="1"/>
  <c r="AF15" i="41"/>
  <c r="AF58" i="41" s="1"/>
  <c r="X15" i="41"/>
  <c r="X58" i="41" s="1"/>
  <c r="P15" i="41"/>
  <c r="AL14" i="41"/>
  <c r="AL57" i="41" s="1"/>
  <c r="AD14" i="41"/>
  <c r="AD57" i="41" s="1"/>
  <c r="V14" i="41"/>
  <c r="V57" i="41" s="1"/>
  <c r="N14" i="41"/>
  <c r="N57" i="41" s="1"/>
  <c r="AJ13" i="41"/>
  <c r="AJ56" i="41" s="1"/>
  <c r="AB13" i="41"/>
  <c r="AB56" i="41" s="1"/>
  <c r="T13" i="41"/>
  <c r="T56" i="41" s="1"/>
  <c r="AP12" i="41"/>
  <c r="AP55" i="41" s="1"/>
  <c r="AH12" i="41"/>
  <c r="AH55" i="41" s="1"/>
  <c r="Z12" i="41"/>
  <c r="Z55" i="41" s="1"/>
  <c r="R12" i="41"/>
  <c r="R55" i="41" s="1"/>
  <c r="AN11" i="41"/>
  <c r="AN54" i="41" s="1"/>
  <c r="AF11" i="41"/>
  <c r="AF54" i="41" s="1"/>
  <c r="X11" i="41"/>
  <c r="X54" i="41" s="1"/>
  <c r="P11" i="41"/>
  <c r="AL10" i="41"/>
  <c r="AL53" i="41" s="1"/>
  <c r="AD10" i="41"/>
  <c r="AD53" i="41" s="1"/>
  <c r="V10" i="41"/>
  <c r="V53" i="41" s="1"/>
  <c r="N10" i="41"/>
  <c r="N53" i="41" s="1"/>
  <c r="AJ9" i="41"/>
  <c r="AJ52" i="41" s="1"/>
  <c r="AB9" i="41"/>
  <c r="AB52" i="41" s="1"/>
  <c r="T9" i="41"/>
  <c r="T52" i="41" s="1"/>
  <c r="AP8" i="41"/>
  <c r="AP51" i="41" s="1"/>
  <c r="AH8" i="41"/>
  <c r="AH51" i="41" s="1"/>
  <c r="AM39" i="41"/>
  <c r="AE39" i="41"/>
  <c r="W39" i="41"/>
  <c r="O39" i="41"/>
  <c r="AK37" i="41"/>
  <c r="AC37" i="41"/>
  <c r="U37" i="41"/>
  <c r="M37" i="41"/>
  <c r="AI36" i="41"/>
  <c r="AA36" i="41"/>
  <c r="S36" i="41"/>
  <c r="AO35" i="41"/>
  <c r="AG35" i="41"/>
  <c r="Y35" i="41"/>
  <c r="Q35" i="41"/>
  <c r="AM34" i="41"/>
  <c r="AE34" i="41"/>
  <c r="W34" i="41"/>
  <c r="O34" i="41"/>
  <c r="AK33" i="41"/>
  <c r="AC33" i="41"/>
  <c r="U33" i="41"/>
  <c r="M33" i="41"/>
  <c r="AI32" i="41"/>
  <c r="AA32" i="41"/>
  <c r="S32" i="41"/>
  <c r="AO31" i="41"/>
  <c r="AG31" i="41"/>
  <c r="Y31" i="41"/>
  <c r="Q31" i="41"/>
  <c r="AM30" i="41"/>
  <c r="AE30" i="41"/>
  <c r="W30" i="41"/>
  <c r="O30" i="41"/>
  <c r="AK29" i="41"/>
  <c r="AC29" i="41"/>
  <c r="U29" i="41"/>
  <c r="M29" i="41"/>
  <c r="AI28" i="41"/>
  <c r="AA28" i="41"/>
  <c r="S28" i="41"/>
  <c r="AO27" i="41"/>
  <c r="AG27" i="41"/>
  <c r="Y27" i="41"/>
  <c r="Q27" i="41"/>
  <c r="AM26" i="41"/>
  <c r="AE26" i="41"/>
  <c r="W26" i="41"/>
  <c r="AI18" i="41"/>
  <c r="AI61" i="41" s="1"/>
  <c r="AA18" i="41"/>
  <c r="AA61" i="41" s="1"/>
  <c r="S18" i="41"/>
  <c r="S61" i="41" s="1"/>
  <c r="AO16" i="41"/>
  <c r="AO59" i="41" s="1"/>
  <c r="AG16" i="41"/>
  <c r="AG59" i="41" s="1"/>
  <c r="Y16" i="41"/>
  <c r="Y59" i="41" s="1"/>
  <c r="Q16" i="41"/>
  <c r="Q59" i="41" s="1"/>
  <c r="AM15" i="41"/>
  <c r="AM58" i="41" s="1"/>
  <c r="AE15" i="41"/>
  <c r="AE58" i="41" s="1"/>
  <c r="W15" i="41"/>
  <c r="W58" i="41" s="1"/>
  <c r="O15" i="41"/>
  <c r="O58" i="41" s="1"/>
  <c r="AK14" i="41"/>
  <c r="AK57" i="41" s="1"/>
  <c r="AC14" i="41"/>
  <c r="AC57" i="41" s="1"/>
  <c r="U14" i="41"/>
  <c r="U57" i="41" s="1"/>
  <c r="M14" i="41"/>
  <c r="AI13" i="41"/>
  <c r="AI56" i="41" s="1"/>
  <c r="AA13" i="41"/>
  <c r="AA56" i="41" s="1"/>
  <c r="S13" i="41"/>
  <c r="S56" i="41" s="1"/>
  <c r="AO12" i="41"/>
  <c r="AO55" i="41" s="1"/>
  <c r="AG12" i="41"/>
  <c r="AG55" i="41" s="1"/>
  <c r="Y12" i="41"/>
  <c r="Y55" i="41" s="1"/>
  <c r="Q12" i="41"/>
  <c r="Q55" i="41" s="1"/>
  <c r="AM11" i="41"/>
  <c r="AM54" i="41" s="1"/>
  <c r="AE11" i="41"/>
  <c r="AE54" i="41" s="1"/>
  <c r="W11" i="41"/>
  <c r="W54" i="41" s="1"/>
  <c r="O11" i="41"/>
  <c r="O54" i="41" s="1"/>
  <c r="AK10" i="41"/>
  <c r="AK53" i="41" s="1"/>
  <c r="AC10" i="41"/>
  <c r="AC53" i="41" s="1"/>
  <c r="U10" i="41"/>
  <c r="U53" i="41" s="1"/>
  <c r="M10" i="41"/>
  <c r="AI9" i="41"/>
  <c r="AI52" i="41" s="1"/>
  <c r="AL39" i="41"/>
  <c r="AD39" i="41"/>
  <c r="V39" i="41"/>
  <c r="N39" i="41"/>
  <c r="AJ37" i="41"/>
  <c r="AB37" i="41"/>
  <c r="T37" i="41"/>
  <c r="AP36" i="41"/>
  <c r="AH36" i="41"/>
  <c r="Z36" i="41"/>
  <c r="R36" i="41"/>
  <c r="AN35" i="41"/>
  <c r="AF35" i="41"/>
  <c r="X35" i="41"/>
  <c r="P35" i="41"/>
  <c r="AL34" i="41"/>
  <c r="AD34" i="41"/>
  <c r="V34" i="41"/>
  <c r="N34" i="41"/>
  <c r="AJ33" i="41"/>
  <c r="AB33" i="41"/>
  <c r="T33" i="41"/>
  <c r="AP32" i="41"/>
  <c r="AH32" i="41"/>
  <c r="Z32" i="41"/>
  <c r="R32" i="41"/>
  <c r="AN31" i="41"/>
  <c r="AF31" i="41"/>
  <c r="X31" i="41"/>
  <c r="P31" i="41"/>
  <c r="AL30" i="41"/>
  <c r="AD30" i="41"/>
  <c r="V30" i="41"/>
  <c r="N30" i="41"/>
  <c r="AJ29" i="41"/>
  <c r="AB29" i="41"/>
  <c r="T29" i="41"/>
  <c r="AP28" i="41"/>
  <c r="AH28" i="41"/>
  <c r="Z28" i="41"/>
  <c r="R28" i="41"/>
  <c r="AN27" i="41"/>
  <c r="AF27" i="41"/>
  <c r="X27" i="41"/>
  <c r="P27" i="41"/>
  <c r="AL26" i="41"/>
  <c r="AD26" i="41"/>
  <c r="V26" i="41"/>
  <c r="AP18" i="41"/>
  <c r="AP61" i="41" s="1"/>
  <c r="AH18" i="41"/>
  <c r="AH61" i="41" s="1"/>
  <c r="Z18" i="41"/>
  <c r="Z61" i="41" s="1"/>
  <c r="R18" i="41"/>
  <c r="R61" i="41" s="1"/>
  <c r="AN16" i="41"/>
  <c r="AN59" i="41" s="1"/>
  <c r="AF16" i="41"/>
  <c r="AF59" i="41" s="1"/>
  <c r="X16" i="41"/>
  <c r="X59" i="41" s="1"/>
  <c r="P16" i="41"/>
  <c r="AL15" i="41"/>
  <c r="AL58" i="41" s="1"/>
  <c r="AD15" i="41"/>
  <c r="AD58" i="41" s="1"/>
  <c r="V15" i="41"/>
  <c r="V58" i="41" s="1"/>
  <c r="N15" i="41"/>
  <c r="N58" i="41" s="1"/>
  <c r="AJ14" i="41"/>
  <c r="AJ57" i="41" s="1"/>
  <c r="AB14" i="41"/>
  <c r="AB57" i="41" s="1"/>
  <c r="T14" i="41"/>
  <c r="T57" i="41" s="1"/>
  <c r="AP13" i="41"/>
  <c r="AP56" i="41" s="1"/>
  <c r="AH13" i="41"/>
  <c r="AH56" i="41" s="1"/>
  <c r="Z13" i="41"/>
  <c r="Z56" i="41" s="1"/>
  <c r="R13" i="41"/>
  <c r="R56" i="41" s="1"/>
  <c r="AN12" i="41"/>
  <c r="AN55" i="41" s="1"/>
  <c r="AF12" i="41"/>
  <c r="AF55" i="41" s="1"/>
  <c r="X12" i="41"/>
  <c r="X55" i="41" s="1"/>
  <c r="P12" i="41"/>
  <c r="AL11" i="41"/>
  <c r="AL54" i="41" s="1"/>
  <c r="AD11" i="41"/>
  <c r="AD54" i="41" s="1"/>
  <c r="V11" i="41"/>
  <c r="V54" i="41" s="1"/>
  <c r="N11" i="41"/>
  <c r="N54" i="41" s="1"/>
  <c r="AJ10" i="41"/>
  <c r="AJ53" i="41" s="1"/>
  <c r="AB10" i="41"/>
  <c r="AB53" i="41" s="1"/>
  <c r="T10" i="41"/>
  <c r="T53" i="41" s="1"/>
  <c r="AP9" i="41"/>
  <c r="AP52" i="41" s="1"/>
  <c r="AH9" i="41"/>
  <c r="AH52" i="41" s="1"/>
  <c r="Z9" i="41"/>
  <c r="Z52" i="41" s="1"/>
  <c r="R9" i="41"/>
  <c r="R52" i="41" s="1"/>
  <c r="AK39" i="41"/>
  <c r="AC39" i="41"/>
  <c r="U39" i="41"/>
  <c r="M39" i="41"/>
  <c r="AI37" i="41"/>
  <c r="AA37" i="41"/>
  <c r="S37" i="41"/>
  <c r="AO36" i="41"/>
  <c r="AG36" i="41"/>
  <c r="Y36" i="41"/>
  <c r="Q36" i="41"/>
  <c r="AM35" i="41"/>
  <c r="AE35" i="41"/>
  <c r="W35" i="41"/>
  <c r="O35" i="41"/>
  <c r="AK34" i="41"/>
  <c r="AC34" i="41"/>
  <c r="U34" i="41"/>
  <c r="M34" i="41"/>
  <c r="AI33" i="41"/>
  <c r="AA33" i="41"/>
  <c r="S33" i="41"/>
  <c r="AO32" i="41"/>
  <c r="AG32" i="41"/>
  <c r="Y32" i="41"/>
  <c r="Q32" i="41"/>
  <c r="AM31" i="41"/>
  <c r="AE31" i="41"/>
  <c r="O31" i="41"/>
  <c r="AK30" i="41"/>
  <c r="AC30" i="41"/>
  <c r="U30" i="41"/>
  <c r="M30" i="41"/>
  <c r="AI29" i="41"/>
  <c r="AA29" i="41"/>
  <c r="S29" i="41"/>
  <c r="AO28" i="41"/>
  <c r="AG28" i="41"/>
  <c r="Y28" i="41"/>
  <c r="Q28" i="41"/>
  <c r="AM27" i="41"/>
  <c r="AE27" i="41"/>
  <c r="W27" i="41"/>
  <c r="O27" i="41"/>
  <c r="AK26" i="41"/>
  <c r="AC26" i="41"/>
  <c r="U26" i="41"/>
  <c r="AO18" i="41"/>
  <c r="AO61" i="41" s="1"/>
  <c r="AG18" i="41"/>
  <c r="AG61" i="41" s="1"/>
  <c r="Y18" i="41"/>
  <c r="Y61" i="41" s="1"/>
  <c r="Q18" i="41"/>
  <c r="Q61" i="41" s="1"/>
  <c r="AM16" i="41"/>
  <c r="AM59" i="41" s="1"/>
  <c r="AE16" i="41"/>
  <c r="AE59" i="41" s="1"/>
  <c r="W16" i="41"/>
  <c r="W59" i="41" s="1"/>
  <c r="O16" i="41"/>
  <c r="O59" i="41" s="1"/>
  <c r="AK15" i="41"/>
  <c r="AK58" i="41" s="1"/>
  <c r="AC15" i="41"/>
  <c r="AC58" i="41" s="1"/>
  <c r="U15" i="41"/>
  <c r="U58" i="41" s="1"/>
  <c r="M15" i="41"/>
  <c r="AI14" i="41"/>
  <c r="AI57" i="41" s="1"/>
  <c r="AA14" i="41"/>
  <c r="AA57" i="41" s="1"/>
  <c r="S14" i="41"/>
  <c r="S57" i="41" s="1"/>
  <c r="AO13" i="41"/>
  <c r="AO56" i="41" s="1"/>
  <c r="AG13" i="41"/>
  <c r="AG56" i="41" s="1"/>
  <c r="Y13" i="41"/>
  <c r="Y56" i="41" s="1"/>
  <c r="Q13" i="41"/>
  <c r="Q56" i="41" s="1"/>
  <c r="AM12" i="41"/>
  <c r="AM55" i="41" s="1"/>
  <c r="AE12" i="41"/>
  <c r="AE55" i="41" s="1"/>
  <c r="W12" i="41"/>
  <c r="W55" i="41" s="1"/>
  <c r="O12" i="41"/>
  <c r="O55" i="41" s="1"/>
  <c r="AK11" i="41"/>
  <c r="AK54" i="41" s="1"/>
  <c r="AC11" i="41"/>
  <c r="AC54" i="41" s="1"/>
  <c r="U11" i="41"/>
  <c r="U54" i="41" s="1"/>
  <c r="M11" i="41"/>
  <c r="AI10" i="41"/>
  <c r="AI53" i="41" s="1"/>
  <c r="AA10" i="41"/>
  <c r="AA53" i="41" s="1"/>
  <c r="S10" i="41"/>
  <c r="S53" i="41" s="1"/>
  <c r="AO9" i="41"/>
  <c r="AO52" i="41" s="1"/>
  <c r="AG9" i="41"/>
  <c r="AG52" i="41" s="1"/>
  <c r="Y9" i="41"/>
  <c r="Y52" i="41" s="1"/>
  <c r="Q9" i="41"/>
  <c r="Q52" i="41" s="1"/>
  <c r="AM8" i="41"/>
  <c r="AM51" i="41" s="1"/>
  <c r="AE8" i="41"/>
  <c r="AE51" i="41" s="1"/>
  <c r="AJ39" i="41"/>
  <c r="AB39" i="41"/>
  <c r="T39" i="41"/>
  <c r="AP37" i="41"/>
  <c r="AH37" i="41"/>
  <c r="Z37" i="41"/>
  <c r="R37" i="41"/>
  <c r="AN36" i="41"/>
  <c r="AF36" i="41"/>
  <c r="X36" i="41"/>
  <c r="P36" i="41"/>
  <c r="AL35" i="41"/>
  <c r="AD35" i="41"/>
  <c r="V35" i="41"/>
  <c r="N35" i="41"/>
  <c r="AJ34" i="41"/>
  <c r="AB34" i="41"/>
  <c r="T34" i="41"/>
  <c r="AP33" i="41"/>
  <c r="AH33" i="41"/>
  <c r="Z33" i="41"/>
  <c r="R33" i="41"/>
  <c r="AN32" i="41"/>
  <c r="AF32" i="41"/>
  <c r="X32" i="41"/>
  <c r="P32" i="41"/>
  <c r="AL31" i="41"/>
  <c r="AD31" i="41"/>
  <c r="V31" i="41"/>
  <c r="N31" i="41"/>
  <c r="AJ30" i="41"/>
  <c r="AB30" i="41"/>
  <c r="T30" i="41"/>
  <c r="AP29" i="41"/>
  <c r="AH29" i="41"/>
  <c r="Z29" i="41"/>
  <c r="R29" i="41"/>
  <c r="AN28" i="41"/>
  <c r="AF28" i="41"/>
  <c r="X28" i="41"/>
  <c r="P28" i="41"/>
  <c r="AL27" i="41"/>
  <c r="AD27" i="41"/>
  <c r="V27" i="41"/>
  <c r="N27" i="41"/>
  <c r="AJ26" i="41"/>
  <c r="AB26" i="41"/>
  <c r="T26" i="41"/>
  <c r="AN18" i="41"/>
  <c r="AN61" i="41" s="1"/>
  <c r="AF18" i="41"/>
  <c r="AF61" i="41" s="1"/>
  <c r="X18" i="41"/>
  <c r="X61" i="41" s="1"/>
  <c r="P18" i="41"/>
  <c r="AL16" i="41"/>
  <c r="AL59" i="41" s="1"/>
  <c r="AD16" i="41"/>
  <c r="AD59" i="41" s="1"/>
  <c r="V16" i="41"/>
  <c r="V59" i="41" s="1"/>
  <c r="N16" i="41"/>
  <c r="N59" i="41" s="1"/>
  <c r="AJ15" i="41"/>
  <c r="AJ58" i="41" s="1"/>
  <c r="AB15" i="41"/>
  <c r="AB58" i="41" s="1"/>
  <c r="T15" i="41"/>
  <c r="T58" i="41" s="1"/>
  <c r="AP14" i="41"/>
  <c r="AP57" i="41" s="1"/>
  <c r="AH14" i="41"/>
  <c r="AH57" i="41" s="1"/>
  <c r="Z14" i="41"/>
  <c r="Z57" i="41" s="1"/>
  <c r="R14" i="41"/>
  <c r="R57" i="41" s="1"/>
  <c r="AN13" i="41"/>
  <c r="AN56" i="41" s="1"/>
  <c r="AF13" i="41"/>
  <c r="AF56" i="41" s="1"/>
  <c r="X13" i="41"/>
  <c r="X56" i="41" s="1"/>
  <c r="P13" i="41"/>
  <c r="AL12" i="41"/>
  <c r="AL55" i="41" s="1"/>
  <c r="AD12" i="41"/>
  <c r="AD55" i="41" s="1"/>
  <c r="V12" i="41"/>
  <c r="V55" i="41" s="1"/>
  <c r="N12" i="41"/>
  <c r="N55" i="41" s="1"/>
  <c r="AJ11" i="41"/>
  <c r="AJ54" i="41" s="1"/>
  <c r="AB11" i="41"/>
  <c r="AB54" i="41" s="1"/>
  <c r="T11" i="41"/>
  <c r="T54" i="41" s="1"/>
  <c r="AP10" i="41"/>
  <c r="AP53" i="41" s="1"/>
  <c r="AH10" i="41"/>
  <c r="AH53" i="41" s="1"/>
  <c r="Z10" i="41"/>
  <c r="Z53" i="41" s="1"/>
  <c r="R10" i="41"/>
  <c r="R53" i="41" s="1"/>
  <c r="AN9" i="41"/>
  <c r="AN52" i="41" s="1"/>
  <c r="AF9" i="41"/>
  <c r="AF52" i="41" s="1"/>
  <c r="X9" i="41"/>
  <c r="X52" i="41" s="1"/>
  <c r="P9" i="41"/>
  <c r="AL8" i="41"/>
  <c r="AL51" i="41" s="1"/>
  <c r="AD8" i="41"/>
  <c r="AD51" i="41" s="1"/>
  <c r="V8" i="41"/>
  <c r="V51" i="41" s="1"/>
  <c r="AI39" i="41"/>
  <c r="AA39" i="41"/>
  <c r="S39" i="41"/>
  <c r="AO37" i="41"/>
  <c r="AG37" i="41"/>
  <c r="Y37" i="41"/>
  <c r="Q37" i="41"/>
  <c r="AM36" i="41"/>
  <c r="AE36" i="41"/>
  <c r="W36" i="41"/>
  <c r="O36" i="41"/>
  <c r="AK35" i="41"/>
  <c r="AC35" i="41"/>
  <c r="U35" i="41"/>
  <c r="M35" i="41"/>
  <c r="AI34" i="41"/>
  <c r="AA34" i="41"/>
  <c r="S34" i="41"/>
  <c r="AO33" i="41"/>
  <c r="AG33" i="41"/>
  <c r="Y33" i="41"/>
  <c r="Q33" i="41"/>
  <c r="AM32" i="41"/>
  <c r="AE32" i="41"/>
  <c r="W32" i="41"/>
  <c r="O32" i="41"/>
  <c r="AK31" i="41"/>
  <c r="AC31" i="41"/>
  <c r="U31" i="41"/>
  <c r="M31" i="41"/>
  <c r="AI30" i="41"/>
  <c r="AA30" i="41"/>
  <c r="S30" i="41"/>
  <c r="AO29" i="41"/>
  <c r="AG29" i="41"/>
  <c r="Y29" i="41"/>
  <c r="Q29" i="41"/>
  <c r="AM28" i="41"/>
  <c r="AE28" i="41"/>
  <c r="W28" i="41"/>
  <c r="O28" i="41"/>
  <c r="AK27" i="41"/>
  <c r="AC27" i="41"/>
  <c r="U27" i="41"/>
  <c r="M27" i="41"/>
  <c r="AI26" i="41"/>
  <c r="Z26" i="41"/>
  <c r="AM18" i="41"/>
  <c r="AM61" i="41" s="1"/>
  <c r="AE18" i="41"/>
  <c r="AE61" i="41" s="1"/>
  <c r="W18" i="41"/>
  <c r="W61" i="41" s="1"/>
  <c r="O18" i="41"/>
  <c r="O61" i="41" s="1"/>
  <c r="AK16" i="41"/>
  <c r="AK59" i="41" s="1"/>
  <c r="AC16" i="41"/>
  <c r="AC59" i="41" s="1"/>
  <c r="U16" i="41"/>
  <c r="U59" i="41" s="1"/>
  <c r="M16" i="41"/>
  <c r="AI15" i="41"/>
  <c r="AI58" i="41" s="1"/>
  <c r="AA15" i="41"/>
  <c r="AA58" i="41" s="1"/>
  <c r="S15" i="41"/>
  <c r="S58" i="41" s="1"/>
  <c r="AO14" i="41"/>
  <c r="AO57" i="41" s="1"/>
  <c r="AG14" i="41"/>
  <c r="AG57" i="41" s="1"/>
  <c r="Y14" i="41"/>
  <c r="Y57" i="41" s="1"/>
  <c r="Q14" i="41"/>
  <c r="Q57" i="41" s="1"/>
  <c r="AM13" i="41"/>
  <c r="AM56" i="41" s="1"/>
  <c r="AE13" i="41"/>
  <c r="AE56" i="41" s="1"/>
  <c r="W13" i="41"/>
  <c r="W56" i="41" s="1"/>
  <c r="O13" i="41"/>
  <c r="O56" i="41" s="1"/>
  <c r="AK12" i="41"/>
  <c r="AK55" i="41" s="1"/>
  <c r="AC12" i="41"/>
  <c r="AC55" i="41" s="1"/>
  <c r="U12" i="41"/>
  <c r="U55" i="41" s="1"/>
  <c r="M12" i="41"/>
  <c r="AI11" i="41"/>
  <c r="AI54" i="41" s="1"/>
  <c r="AA11" i="41"/>
  <c r="AA54" i="41" s="1"/>
  <c r="S11" i="41"/>
  <c r="S54" i="41" s="1"/>
  <c r="AO10" i="41"/>
  <c r="AO53" i="41" s="1"/>
  <c r="AG10" i="41"/>
  <c r="AG53" i="41" s="1"/>
  <c r="Y10" i="41"/>
  <c r="Y53" i="41" s="1"/>
  <c r="Q10" i="41"/>
  <c r="Q53" i="41" s="1"/>
  <c r="AM9" i="41"/>
  <c r="AM52" i="41" s="1"/>
  <c r="AE9" i="41"/>
  <c r="AE52" i="41" s="1"/>
  <c r="W9" i="41"/>
  <c r="W52" i="41" s="1"/>
  <c r="O9" i="41"/>
  <c r="O52" i="41" s="1"/>
  <c r="AK8" i="41"/>
  <c r="AK51" i="41" s="1"/>
  <c r="AC8" i="41"/>
  <c r="AC51" i="41" s="1"/>
  <c r="AP39" i="41"/>
  <c r="AH39" i="41"/>
  <c r="Z39" i="41"/>
  <c r="R39" i="41"/>
  <c r="AN37" i="41"/>
  <c r="AF37" i="41"/>
  <c r="X37" i="41"/>
  <c r="P37" i="41"/>
  <c r="AL36" i="41"/>
  <c r="AD36" i="41"/>
  <c r="V36" i="41"/>
  <c r="N36" i="41"/>
  <c r="AJ35" i="41"/>
  <c r="AB35" i="41"/>
  <c r="T35" i="41"/>
  <c r="AP34" i="41"/>
  <c r="AH34" i="41"/>
  <c r="Z34" i="41"/>
  <c r="R34" i="41"/>
  <c r="AN33" i="41"/>
  <c r="AF33" i="41"/>
  <c r="X33" i="41"/>
  <c r="P33" i="41"/>
  <c r="AL32" i="41"/>
  <c r="AD32" i="41"/>
  <c r="V32" i="41"/>
  <c r="N32" i="41"/>
  <c r="AJ31" i="41"/>
  <c r="AB31" i="41"/>
  <c r="T31" i="41"/>
  <c r="AP30" i="41"/>
  <c r="AH30" i="41"/>
  <c r="Z30" i="41"/>
  <c r="R30" i="41"/>
  <c r="AN29" i="41"/>
  <c r="AF29" i="41"/>
  <c r="X29" i="41"/>
  <c r="P29" i="41"/>
  <c r="AL28" i="41"/>
  <c r="AD28" i="41"/>
  <c r="V28" i="41"/>
  <c r="N28" i="41"/>
  <c r="AJ27" i="41"/>
  <c r="AB27" i="41"/>
  <c r="T27" i="41"/>
  <c r="AP26" i="41"/>
  <c r="AH26" i="41"/>
  <c r="AA26" i="41"/>
  <c r="AL18" i="41"/>
  <c r="AL61" i="41" s="1"/>
  <c r="AD18" i="41"/>
  <c r="AD61" i="41" s="1"/>
  <c r="V18" i="41"/>
  <c r="V61" i="41" s="1"/>
  <c r="N18" i="41"/>
  <c r="N61" i="41" s="1"/>
  <c r="AJ16" i="41"/>
  <c r="AJ59" i="41" s="1"/>
  <c r="AB16" i="41"/>
  <c r="AB59" i="41" s="1"/>
  <c r="T16" i="41"/>
  <c r="T59" i="41" s="1"/>
  <c r="AP15" i="41"/>
  <c r="AP58" i="41" s="1"/>
  <c r="AH15" i="41"/>
  <c r="AH58" i="41" s="1"/>
  <c r="Z15" i="41"/>
  <c r="Z58" i="41" s="1"/>
  <c r="R15" i="41"/>
  <c r="R58" i="41" s="1"/>
  <c r="AN14" i="41"/>
  <c r="AN57" i="41" s="1"/>
  <c r="AF14" i="41"/>
  <c r="AF57" i="41" s="1"/>
  <c r="X14" i="41"/>
  <c r="X57" i="41" s="1"/>
  <c r="P14" i="41"/>
  <c r="AL13" i="41"/>
  <c r="AL56" i="41" s="1"/>
  <c r="AD13" i="41"/>
  <c r="AD56" i="41" s="1"/>
  <c r="V13" i="41"/>
  <c r="V56" i="41" s="1"/>
  <c r="N13" i="41"/>
  <c r="N56" i="41" s="1"/>
  <c r="AJ12" i="41"/>
  <c r="AJ55" i="41" s="1"/>
  <c r="AB12" i="41"/>
  <c r="AB55" i="41" s="1"/>
  <c r="T12" i="41"/>
  <c r="T55" i="41" s="1"/>
  <c r="AP11" i="41"/>
  <c r="AP54" i="41" s="1"/>
  <c r="AH11" i="41"/>
  <c r="AH54" i="41" s="1"/>
  <c r="Z11" i="41"/>
  <c r="Z54" i="41" s="1"/>
  <c r="R11" i="41"/>
  <c r="R54" i="41" s="1"/>
  <c r="AN10" i="41"/>
  <c r="AN53" i="41" s="1"/>
  <c r="AF10" i="41"/>
  <c r="AF53" i="41" s="1"/>
  <c r="X10" i="41"/>
  <c r="X53" i="41" s="1"/>
  <c r="P10" i="41"/>
  <c r="AL9" i="41"/>
  <c r="AL52" i="41" s="1"/>
  <c r="AD9" i="41"/>
  <c r="AD52" i="41" s="1"/>
  <c r="V9" i="41"/>
  <c r="V52" i="41" s="1"/>
  <c r="N9" i="41"/>
  <c r="N52" i="41" s="1"/>
  <c r="AJ8" i="41"/>
  <c r="AJ51" i="41" s="1"/>
  <c r="AO39" i="41"/>
  <c r="AG39" i="41"/>
  <c r="Y39" i="41"/>
  <c r="Q39" i="41"/>
  <c r="AM37" i="41"/>
  <c r="AE37" i="41"/>
  <c r="W37" i="41"/>
  <c r="O37" i="41"/>
  <c r="AK36" i="41"/>
  <c r="AC36" i="41"/>
  <c r="U36" i="41"/>
  <c r="M36" i="41"/>
  <c r="AI35" i="41"/>
  <c r="AA35" i="41"/>
  <c r="S35" i="41"/>
  <c r="AO34" i="41"/>
  <c r="AG34" i="41"/>
  <c r="Y34" i="41"/>
  <c r="Q34" i="41"/>
  <c r="AM33" i="41"/>
  <c r="AE33" i="41"/>
  <c r="W33" i="41"/>
  <c r="O33" i="41"/>
  <c r="AK32" i="41"/>
  <c r="AC32" i="41"/>
  <c r="U32" i="41"/>
  <c r="M32" i="41"/>
  <c r="AI31" i="41"/>
  <c r="AA31" i="41"/>
  <c r="S31" i="41"/>
  <c r="AO30" i="41"/>
  <c r="AG30" i="41"/>
  <c r="Y30" i="41"/>
  <c r="Q30" i="41"/>
  <c r="AM29" i="41"/>
  <c r="AE29" i="41"/>
  <c r="W29" i="41"/>
  <c r="O29" i="41"/>
  <c r="AK28" i="41"/>
  <c r="AC28" i="41"/>
  <c r="U28" i="41"/>
  <c r="M28" i="41"/>
  <c r="AI27" i="41"/>
  <c r="AA27" i="41"/>
  <c r="S27" i="41"/>
  <c r="AO26" i="41"/>
  <c r="AG26" i="41"/>
  <c r="Y26" i="41"/>
  <c r="Q26" i="41"/>
  <c r="AK18" i="41"/>
  <c r="AK61" i="41" s="1"/>
  <c r="M18" i="41"/>
  <c r="AM14" i="41"/>
  <c r="AM57" i="41" s="1"/>
  <c r="AI12" i="41"/>
  <c r="AI55" i="41" s="1"/>
  <c r="AE10" i="41"/>
  <c r="AE53" i="41" s="1"/>
  <c r="M9" i="41"/>
  <c r="Z8" i="41"/>
  <c r="Z51" i="41" s="1"/>
  <c r="Q8" i="41"/>
  <c r="Q51" i="41" s="1"/>
  <c r="AM7" i="41"/>
  <c r="AM50" i="41" s="1"/>
  <c r="AE7" i="41"/>
  <c r="AE50" i="41" s="1"/>
  <c r="W7" i="41"/>
  <c r="W50" i="41" s="1"/>
  <c r="O7" i="41"/>
  <c r="O50" i="41" s="1"/>
  <c r="AK6" i="41"/>
  <c r="AK49" i="41" s="1"/>
  <c r="AC6" i="41"/>
  <c r="AC49" i="41" s="1"/>
  <c r="U6" i="41"/>
  <c r="U49" i="41" s="1"/>
  <c r="M6" i="41"/>
  <c r="AD5" i="41"/>
  <c r="Y5" i="41"/>
  <c r="M5" i="41"/>
  <c r="V5" i="41"/>
  <c r="S9" i="41"/>
  <c r="S52" i="41" s="1"/>
  <c r="AD6" i="41"/>
  <c r="AD49" i="41" s="1"/>
  <c r="AI16" i="41"/>
  <c r="AI59" i="41" s="1"/>
  <c r="AE14" i="41"/>
  <c r="AE57" i="41" s="1"/>
  <c r="AA12" i="41"/>
  <c r="AA55" i="41" s="1"/>
  <c r="W10" i="41"/>
  <c r="W53" i="41" s="1"/>
  <c r="AO8" i="41"/>
  <c r="AO51" i="41" s="1"/>
  <c r="Y8" i="41"/>
  <c r="Y51" i="41" s="1"/>
  <c r="P8" i="41"/>
  <c r="AL7" i="41"/>
  <c r="AL50" i="41" s="1"/>
  <c r="AD7" i="41"/>
  <c r="AD50" i="41" s="1"/>
  <c r="V7" i="41"/>
  <c r="V50" i="41" s="1"/>
  <c r="N50" i="41"/>
  <c r="AJ6" i="41"/>
  <c r="AJ49" i="41" s="1"/>
  <c r="AB6" i="41"/>
  <c r="AB49" i="41" s="1"/>
  <c r="T6" i="41"/>
  <c r="T49" i="41" s="1"/>
  <c r="AP5" i="41"/>
  <c r="AB5" i="41"/>
  <c r="AO5" i="41"/>
  <c r="W5" i="41"/>
  <c r="AM10" i="41"/>
  <c r="AM53" i="41" s="1"/>
  <c r="P7" i="41"/>
  <c r="AA5" i="41"/>
  <c r="AA16" i="41"/>
  <c r="AA59" i="41" s="1"/>
  <c r="W14" i="41"/>
  <c r="W57" i="41" s="1"/>
  <c r="S12" i="41"/>
  <c r="S55" i="41" s="1"/>
  <c r="O10" i="41"/>
  <c r="O53" i="41" s="1"/>
  <c r="AN8" i="41"/>
  <c r="AN51" i="41" s="1"/>
  <c r="X8" i="41"/>
  <c r="X51" i="41" s="1"/>
  <c r="O8" i="41"/>
  <c r="O51" i="41" s="1"/>
  <c r="AK7" i="41"/>
  <c r="AK50" i="41" s="1"/>
  <c r="AC7" i="41"/>
  <c r="AC50" i="41" s="1"/>
  <c r="U7" i="41"/>
  <c r="U50" i="41" s="1"/>
  <c r="M7" i="41"/>
  <c r="AI6" i="41"/>
  <c r="AI49" i="41" s="1"/>
  <c r="AA6" i="41"/>
  <c r="AA49" i="41" s="1"/>
  <c r="S6" i="41"/>
  <c r="S49" i="41" s="1"/>
  <c r="AN5" i="41"/>
  <c r="Z5" i="41"/>
  <c r="AM5" i="41"/>
  <c r="U5" i="41"/>
  <c r="M13" i="41"/>
  <c r="X7" i="41"/>
  <c r="X50" i="41" s="1"/>
  <c r="P48" i="41"/>
  <c r="S16" i="41"/>
  <c r="S59" i="41" s="1"/>
  <c r="O14" i="41"/>
  <c r="O57" i="41" s="1"/>
  <c r="AO11" i="41"/>
  <c r="AO54" i="41" s="1"/>
  <c r="AK9" i="41"/>
  <c r="AK52" i="41" s="1"/>
  <c r="AI8" i="41"/>
  <c r="AI51" i="41" s="1"/>
  <c r="W8" i="41"/>
  <c r="W51" i="41" s="1"/>
  <c r="N8" i="41"/>
  <c r="N21" i="41" s="1"/>
  <c r="AJ7" i="41"/>
  <c r="AJ50" i="41" s="1"/>
  <c r="AB7" i="41"/>
  <c r="AB50" i="41" s="1"/>
  <c r="T7" i="41"/>
  <c r="T50" i="41" s="1"/>
  <c r="AP6" i="41"/>
  <c r="AP49" i="41" s="1"/>
  <c r="AH6" i="41"/>
  <c r="AH49" i="41" s="1"/>
  <c r="Z6" i="41"/>
  <c r="Z49" i="41" s="1"/>
  <c r="R6" i="41"/>
  <c r="AL5" i="41"/>
  <c r="X5" i="41"/>
  <c r="AK5" i="41"/>
  <c r="S5" i="41"/>
  <c r="Q65" i="41"/>
  <c r="AN7" i="41"/>
  <c r="AN50" i="41" s="1"/>
  <c r="N49" i="41"/>
  <c r="AO15" i="41"/>
  <c r="AO58" i="41" s="1"/>
  <c r="AK13" i="41"/>
  <c r="AK56" i="41" s="1"/>
  <c r="AG11" i="41"/>
  <c r="AG54" i="41" s="1"/>
  <c r="AC9" i="41"/>
  <c r="AC52" i="41" s="1"/>
  <c r="AG8" i="41"/>
  <c r="AG51" i="41" s="1"/>
  <c r="U8" i="41"/>
  <c r="U51" i="41" s="1"/>
  <c r="M8" i="41"/>
  <c r="AI7" i="41"/>
  <c r="AI50" i="41" s="1"/>
  <c r="AA7" i="41"/>
  <c r="AA50" i="41" s="1"/>
  <c r="S7" i="41"/>
  <c r="S50" i="41" s="1"/>
  <c r="AO6" i="41"/>
  <c r="AO49" i="41" s="1"/>
  <c r="AG6" i="41"/>
  <c r="AG49" i="41" s="1"/>
  <c r="Y6" i="41"/>
  <c r="Y49" i="41" s="1"/>
  <c r="Q6" i="41"/>
  <c r="AJ5" i="41"/>
  <c r="AI5" i="41"/>
  <c r="AA8" i="41"/>
  <c r="AA51" i="41" s="1"/>
  <c r="AL6" i="41"/>
  <c r="AL49" i="41" s="1"/>
  <c r="O48" i="41"/>
  <c r="AG15" i="41"/>
  <c r="AG58" i="41" s="1"/>
  <c r="AC13" i="41"/>
  <c r="AC56" i="41" s="1"/>
  <c r="Y11" i="41"/>
  <c r="Y54" i="41" s="1"/>
  <c r="AA9" i="41"/>
  <c r="AA52" i="41" s="1"/>
  <c r="AF8" i="41"/>
  <c r="AF51" i="41" s="1"/>
  <c r="T8" i="41"/>
  <c r="T51" i="41" s="1"/>
  <c r="AP7" i="41"/>
  <c r="AP50" i="41" s="1"/>
  <c r="AH7" i="41"/>
  <c r="AH50" i="41" s="1"/>
  <c r="Z7" i="41"/>
  <c r="Z50" i="41" s="1"/>
  <c r="R7" i="41"/>
  <c r="R50" i="41" s="1"/>
  <c r="AN6" i="41"/>
  <c r="AN49" i="41" s="1"/>
  <c r="AF6" i="41"/>
  <c r="AF49" i="41" s="1"/>
  <c r="X6" i="41"/>
  <c r="X49" i="41" s="1"/>
  <c r="P49" i="41"/>
  <c r="AH5" i="41"/>
  <c r="T5" i="41"/>
  <c r="AE5" i="41"/>
  <c r="O26" i="41"/>
  <c r="AC5" i="41"/>
  <c r="U18" i="41"/>
  <c r="U61" i="41" s="1"/>
  <c r="R8" i="41"/>
  <c r="R51" i="41" s="1"/>
  <c r="V6" i="41"/>
  <c r="V49" i="41" s="1"/>
  <c r="AC18" i="41"/>
  <c r="AC61" i="41" s="1"/>
  <c r="Y15" i="41"/>
  <c r="Y58" i="41" s="1"/>
  <c r="U13" i="41"/>
  <c r="U56" i="41" s="1"/>
  <c r="Q11" i="41"/>
  <c r="Q54" i="41" s="1"/>
  <c r="U9" i="41"/>
  <c r="U52" i="41" s="1"/>
  <c r="AB8" i="41"/>
  <c r="AB51" i="41" s="1"/>
  <c r="S8" i="41"/>
  <c r="S51" i="41" s="1"/>
  <c r="AO7" i="41"/>
  <c r="AO50" i="41" s="1"/>
  <c r="AG7" i="41"/>
  <c r="AG50" i="41" s="1"/>
  <c r="Y7" i="41"/>
  <c r="Y50" i="41" s="1"/>
  <c r="Q7" i="41"/>
  <c r="Q50" i="41" s="1"/>
  <c r="AM6" i="41"/>
  <c r="AM49" i="41" s="1"/>
  <c r="AE6" i="41"/>
  <c r="AE49" i="41" s="1"/>
  <c r="W6" i="41"/>
  <c r="W49" i="41" s="1"/>
  <c r="O6" i="41"/>
  <c r="AG5" i="41"/>
  <c r="M26" i="41"/>
  <c r="Q15" i="41"/>
  <c r="Q58" i="41" s="1"/>
  <c r="AF7" i="41"/>
  <c r="AF50" i="41" s="1"/>
  <c r="AF5" i="41"/>
  <c r="AA5" i="46"/>
  <c r="BG5" i="48" s="1"/>
  <c r="AA6" i="46"/>
  <c r="BG6" i="48" s="1"/>
  <c r="AA7" i="46"/>
  <c r="BG7" i="48" s="1"/>
  <c r="AA8" i="46"/>
  <c r="BG8" i="48" s="1"/>
  <c r="AA9" i="46"/>
  <c r="BG9" i="48" s="1"/>
  <c r="AA10" i="46"/>
  <c r="BG10" i="48" s="1"/>
  <c r="AA11" i="46"/>
  <c r="BG11" i="48" s="1"/>
  <c r="AA12" i="46"/>
  <c r="BG12" i="48" s="1"/>
  <c r="AA13" i="46"/>
  <c r="BG13" i="48" s="1"/>
  <c r="AA14" i="46"/>
  <c r="BG14" i="48" s="1"/>
  <c r="AA15" i="46"/>
  <c r="BG15" i="48" s="1"/>
  <c r="AA16" i="46"/>
  <c r="BG16" i="48" s="1"/>
  <c r="AA4" i="46"/>
  <c r="BG4" i="48" s="1"/>
  <c r="Z5" i="46"/>
  <c r="BC5" i="48" s="1"/>
  <c r="Z6" i="46"/>
  <c r="BC6" i="48" s="1"/>
  <c r="Z7" i="46"/>
  <c r="BC7" i="48" s="1"/>
  <c r="Z8" i="46"/>
  <c r="BC8" i="48" s="1"/>
  <c r="Z9" i="46"/>
  <c r="BC9" i="48" s="1"/>
  <c r="Z10" i="46"/>
  <c r="BC10" i="48" s="1"/>
  <c r="Z11" i="46"/>
  <c r="BC11" i="48" s="1"/>
  <c r="Z12" i="46"/>
  <c r="BC12" i="48" s="1"/>
  <c r="Z13" i="46"/>
  <c r="BC13" i="48" s="1"/>
  <c r="Z14" i="46"/>
  <c r="BC14" i="48" s="1"/>
  <c r="Z15" i="46"/>
  <c r="BC15" i="48" s="1"/>
  <c r="Z16" i="46"/>
  <c r="BC16" i="48" s="1"/>
  <c r="Z4" i="46"/>
  <c r="Y5" i="46"/>
  <c r="AY5" i="48" s="1"/>
  <c r="Y6" i="46"/>
  <c r="AY6" i="48" s="1"/>
  <c r="Y7" i="46"/>
  <c r="AY7" i="48" s="1"/>
  <c r="Y8" i="46"/>
  <c r="AY8" i="48" s="1"/>
  <c r="Y9" i="46"/>
  <c r="AY9" i="48" s="1"/>
  <c r="Y10" i="46"/>
  <c r="AY10" i="48" s="1"/>
  <c r="Y11" i="46"/>
  <c r="AY11" i="48" s="1"/>
  <c r="Y12" i="46"/>
  <c r="AY12" i="48" s="1"/>
  <c r="Y13" i="46"/>
  <c r="AY13" i="48" s="1"/>
  <c r="Y14" i="46"/>
  <c r="AY14" i="48" s="1"/>
  <c r="Y15" i="46"/>
  <c r="AY15" i="48" s="1"/>
  <c r="Y16" i="46"/>
  <c r="AY16" i="48" s="1"/>
  <c r="Y4" i="46"/>
  <c r="AY4" i="48" s="1"/>
  <c r="X5" i="46"/>
  <c r="AU5" i="48" s="1"/>
  <c r="X6" i="46"/>
  <c r="AU6" i="48" s="1"/>
  <c r="X7" i="46"/>
  <c r="AU7" i="48" s="1"/>
  <c r="X8" i="46"/>
  <c r="AU8" i="48" s="1"/>
  <c r="X9" i="46"/>
  <c r="AU9" i="48" s="1"/>
  <c r="X10" i="46"/>
  <c r="AU10" i="48" s="1"/>
  <c r="X11" i="46"/>
  <c r="AU11" i="48" s="1"/>
  <c r="X12" i="46"/>
  <c r="AU12" i="48" s="1"/>
  <c r="X13" i="46"/>
  <c r="AU13" i="48" s="1"/>
  <c r="X14" i="46"/>
  <c r="AU14" i="48" s="1"/>
  <c r="X15" i="46"/>
  <c r="AU15" i="48" s="1"/>
  <c r="X16" i="46"/>
  <c r="AU16" i="48" s="1"/>
  <c r="X4" i="46"/>
  <c r="AU4" i="48" s="1"/>
  <c r="W5" i="46"/>
  <c r="AQ5" i="48" s="1"/>
  <c r="W6" i="46"/>
  <c r="AQ6" i="48" s="1"/>
  <c r="W7" i="46"/>
  <c r="AQ7" i="48" s="1"/>
  <c r="W8" i="46"/>
  <c r="AQ8" i="48" s="1"/>
  <c r="W9" i="46"/>
  <c r="AQ9" i="48" s="1"/>
  <c r="W10" i="46"/>
  <c r="AQ10" i="48" s="1"/>
  <c r="W11" i="46"/>
  <c r="AQ11" i="48" s="1"/>
  <c r="W12" i="46"/>
  <c r="AQ12" i="48" s="1"/>
  <c r="W13" i="46"/>
  <c r="AQ13" i="48" s="1"/>
  <c r="W14" i="46"/>
  <c r="AQ14" i="48" s="1"/>
  <c r="W15" i="46"/>
  <c r="AQ15" i="48" s="1"/>
  <c r="W16" i="46"/>
  <c r="AQ16" i="48" s="1"/>
  <c r="W4" i="46"/>
  <c r="AQ4" i="48" s="1"/>
  <c r="V5" i="46"/>
  <c r="AM5" i="48" s="1"/>
  <c r="V6" i="46"/>
  <c r="AM6" i="48" s="1"/>
  <c r="V7" i="46"/>
  <c r="AM7" i="48" s="1"/>
  <c r="V8" i="46"/>
  <c r="AM8" i="48" s="1"/>
  <c r="V9" i="46"/>
  <c r="AM9" i="48" s="1"/>
  <c r="V10" i="46"/>
  <c r="AM10" i="48" s="1"/>
  <c r="V11" i="46"/>
  <c r="AM11" i="48" s="1"/>
  <c r="V12" i="46"/>
  <c r="AM12" i="48" s="1"/>
  <c r="V13" i="46"/>
  <c r="AM13" i="48" s="1"/>
  <c r="V14" i="46"/>
  <c r="AM14" i="48" s="1"/>
  <c r="V15" i="46"/>
  <c r="AM15" i="48" s="1"/>
  <c r="V16" i="46"/>
  <c r="AM16" i="48" s="1"/>
  <c r="V4" i="46"/>
  <c r="AM4" i="48" s="1"/>
  <c r="U5" i="46"/>
  <c r="AI5" i="48" s="1"/>
  <c r="U6" i="46"/>
  <c r="AI6" i="48" s="1"/>
  <c r="U7" i="46"/>
  <c r="AI7" i="48" s="1"/>
  <c r="U8" i="46"/>
  <c r="AI8" i="48" s="1"/>
  <c r="U9" i="46"/>
  <c r="AI9" i="48" s="1"/>
  <c r="U10" i="46"/>
  <c r="AI10" i="48" s="1"/>
  <c r="U11" i="46"/>
  <c r="AI11" i="48" s="1"/>
  <c r="U12" i="46"/>
  <c r="AI12" i="48" s="1"/>
  <c r="U13" i="46"/>
  <c r="AI13" i="48" s="1"/>
  <c r="U14" i="46"/>
  <c r="AI14" i="48" s="1"/>
  <c r="U15" i="46"/>
  <c r="AI15" i="48" s="1"/>
  <c r="U16" i="46"/>
  <c r="AI16" i="48" s="1"/>
  <c r="U4" i="46"/>
  <c r="AI4" i="48" s="1"/>
  <c r="T5" i="46"/>
  <c r="AE5" i="48" s="1"/>
  <c r="T6" i="46"/>
  <c r="AE6" i="48" s="1"/>
  <c r="T7" i="46"/>
  <c r="AE7" i="48" s="1"/>
  <c r="T8" i="46"/>
  <c r="AE8" i="48" s="1"/>
  <c r="T9" i="46"/>
  <c r="AE9" i="48" s="1"/>
  <c r="T10" i="46"/>
  <c r="AE10" i="48" s="1"/>
  <c r="T11" i="46"/>
  <c r="AE11" i="48" s="1"/>
  <c r="T12" i="46"/>
  <c r="AE12" i="48" s="1"/>
  <c r="T13" i="46"/>
  <c r="AE13" i="48" s="1"/>
  <c r="T14" i="46"/>
  <c r="AE14" i="48" s="1"/>
  <c r="T15" i="46"/>
  <c r="AE15" i="48" s="1"/>
  <c r="T16" i="46"/>
  <c r="AE16" i="48" s="1"/>
  <c r="T4" i="46"/>
  <c r="AE4" i="48" s="1"/>
  <c r="S5" i="46"/>
  <c r="AA5" i="48" s="1"/>
  <c r="S6" i="46"/>
  <c r="AA6" i="48" s="1"/>
  <c r="S7" i="46"/>
  <c r="AA7" i="48" s="1"/>
  <c r="S8" i="46"/>
  <c r="AA8" i="48" s="1"/>
  <c r="S9" i="46"/>
  <c r="AA9" i="48" s="1"/>
  <c r="S10" i="46"/>
  <c r="AA10" i="48" s="1"/>
  <c r="S11" i="46"/>
  <c r="AA11" i="48" s="1"/>
  <c r="S12" i="46"/>
  <c r="AA12" i="48" s="1"/>
  <c r="S13" i="46"/>
  <c r="AA13" i="48" s="1"/>
  <c r="S14" i="46"/>
  <c r="AA14" i="48" s="1"/>
  <c r="S15" i="46"/>
  <c r="AA15" i="48" s="1"/>
  <c r="S16" i="46"/>
  <c r="AA16" i="48" s="1"/>
  <c r="S4" i="46"/>
  <c r="AA4" i="48" s="1"/>
  <c r="R5" i="46"/>
  <c r="W5" i="48" s="1"/>
  <c r="R6" i="46"/>
  <c r="W6" i="48" s="1"/>
  <c r="R7" i="46"/>
  <c r="W7" i="48" s="1"/>
  <c r="R8" i="46"/>
  <c r="W8" i="48" s="1"/>
  <c r="R9" i="46"/>
  <c r="W9" i="48" s="1"/>
  <c r="R10" i="46"/>
  <c r="W10" i="48" s="1"/>
  <c r="R11" i="46"/>
  <c r="W11" i="48" s="1"/>
  <c r="R12" i="46"/>
  <c r="W12" i="48" s="1"/>
  <c r="R13" i="46"/>
  <c r="W13" i="48" s="1"/>
  <c r="R14" i="46"/>
  <c r="W14" i="48" s="1"/>
  <c r="R15" i="46"/>
  <c r="W15" i="48" s="1"/>
  <c r="R16" i="46"/>
  <c r="W16" i="48" s="1"/>
  <c r="R4" i="46"/>
  <c r="W4" i="48" s="1"/>
  <c r="Q5" i="46"/>
  <c r="S5" i="48" s="1"/>
  <c r="Q6" i="46"/>
  <c r="S6" i="48" s="1"/>
  <c r="Q7" i="46"/>
  <c r="S7" i="48" s="1"/>
  <c r="Q8" i="46"/>
  <c r="S8" i="48" s="1"/>
  <c r="Q9" i="46"/>
  <c r="S9" i="48" s="1"/>
  <c r="Q10" i="46"/>
  <c r="S10" i="48" s="1"/>
  <c r="Q11" i="46"/>
  <c r="S11" i="48" s="1"/>
  <c r="Q12" i="46"/>
  <c r="S12" i="48" s="1"/>
  <c r="Q13" i="46"/>
  <c r="S13" i="48" s="1"/>
  <c r="Q14" i="46"/>
  <c r="S14" i="48" s="1"/>
  <c r="Q15" i="46"/>
  <c r="Q16" i="46"/>
  <c r="S16" i="48" s="1"/>
  <c r="Q4" i="46"/>
  <c r="S4" i="48" s="1"/>
  <c r="P5" i="46"/>
  <c r="O5" i="48" s="1"/>
  <c r="P6" i="46"/>
  <c r="O6" i="48" s="1"/>
  <c r="P7" i="46"/>
  <c r="O7" i="48" s="1"/>
  <c r="P8" i="46"/>
  <c r="O8" i="48" s="1"/>
  <c r="P9" i="46"/>
  <c r="O9" i="48" s="1"/>
  <c r="P10" i="46"/>
  <c r="O10" i="48" s="1"/>
  <c r="P11" i="46"/>
  <c r="O11" i="48" s="1"/>
  <c r="P12" i="46"/>
  <c r="O12" i="48" s="1"/>
  <c r="P13" i="46"/>
  <c r="O13" i="48" s="1"/>
  <c r="P14" i="46"/>
  <c r="O14" i="48" s="1"/>
  <c r="P15" i="46"/>
  <c r="O15" i="48" s="1"/>
  <c r="P16" i="46"/>
  <c r="O16" i="48" s="1"/>
  <c r="P4" i="46"/>
  <c r="O4" i="48" s="1"/>
  <c r="O5" i="46"/>
  <c r="K5" i="48" s="1"/>
  <c r="O6" i="46"/>
  <c r="K6" i="48" s="1"/>
  <c r="O7" i="46"/>
  <c r="K7" i="48" s="1"/>
  <c r="O8" i="46"/>
  <c r="K8" i="48" s="1"/>
  <c r="O9" i="46"/>
  <c r="K9" i="48" s="1"/>
  <c r="O10" i="46"/>
  <c r="K10" i="48" s="1"/>
  <c r="O11" i="46"/>
  <c r="K11" i="48" s="1"/>
  <c r="O12" i="46"/>
  <c r="K12" i="48" s="1"/>
  <c r="O13" i="46"/>
  <c r="K13" i="48" s="1"/>
  <c r="O14" i="46"/>
  <c r="K14" i="48" s="1"/>
  <c r="O15" i="46"/>
  <c r="K15" i="48" s="1"/>
  <c r="O16" i="46"/>
  <c r="K16" i="48" s="1"/>
  <c r="O4" i="46"/>
  <c r="K4" i="48" s="1"/>
  <c r="N5" i="46"/>
  <c r="G5" i="48" s="1"/>
  <c r="N6" i="46"/>
  <c r="G6" i="48" s="1"/>
  <c r="N7" i="46"/>
  <c r="G7" i="48" s="1"/>
  <c r="N8" i="46"/>
  <c r="G8" i="48" s="1"/>
  <c r="N9" i="46"/>
  <c r="G9" i="48" s="1"/>
  <c r="N10" i="46"/>
  <c r="G10" i="48" s="1"/>
  <c r="N11" i="46"/>
  <c r="G11" i="48" s="1"/>
  <c r="N12" i="46"/>
  <c r="G12" i="48" s="1"/>
  <c r="N13" i="46"/>
  <c r="G13" i="48" s="1"/>
  <c r="N14" i="46"/>
  <c r="G14" i="48" s="1"/>
  <c r="N15" i="46"/>
  <c r="G15" i="48" s="1"/>
  <c r="N16" i="46"/>
  <c r="G16" i="48" s="1"/>
  <c r="N4" i="46"/>
  <c r="G4" i="48" s="1"/>
  <c r="M5" i="46"/>
  <c r="C5" i="48" s="1"/>
  <c r="M6" i="46"/>
  <c r="C6" i="48" s="1"/>
  <c r="M7" i="46"/>
  <c r="C7" i="48" s="1"/>
  <c r="M8" i="46"/>
  <c r="M9" i="46"/>
  <c r="M10" i="46"/>
  <c r="M11" i="46"/>
  <c r="C11" i="48" s="1"/>
  <c r="M12" i="46"/>
  <c r="M13" i="46"/>
  <c r="C13" i="48" s="1"/>
  <c r="M14" i="46"/>
  <c r="C14" i="48" s="1"/>
  <c r="M15" i="46"/>
  <c r="C15" i="48" s="1"/>
  <c r="M16" i="46"/>
  <c r="M4" i="46"/>
  <c r="C4" i="48" s="1"/>
  <c r="D5" i="46"/>
  <c r="J6" i="47" s="1"/>
  <c r="G5" i="46"/>
  <c r="M6" i="47" s="1"/>
  <c r="E7" i="46"/>
  <c r="K8" i="47" s="1"/>
  <c r="E10" i="46"/>
  <c r="K11" i="47" s="1"/>
  <c r="G13" i="46"/>
  <c r="M14" i="47" s="1"/>
  <c r="F14" i="46"/>
  <c r="L15" i="47" s="1"/>
  <c r="D15" i="46"/>
  <c r="J16" i="47" s="1"/>
  <c r="E15" i="46"/>
  <c r="K16" i="47" s="1"/>
  <c r="G15" i="46"/>
  <c r="M16" i="47" s="1"/>
  <c r="D16" i="46"/>
  <c r="J17" i="47" s="1"/>
  <c r="AA199" i="45"/>
  <c r="Z199" i="45"/>
  <c r="Y199" i="45"/>
  <c r="X199" i="45"/>
  <c r="W199" i="45"/>
  <c r="V199" i="45"/>
  <c r="U199" i="45"/>
  <c r="T199" i="45"/>
  <c r="S199" i="45"/>
  <c r="R199" i="45"/>
  <c r="Q199" i="45"/>
  <c r="P199" i="45"/>
  <c r="O199" i="45"/>
  <c r="N199" i="45"/>
  <c r="M199" i="45"/>
  <c r="L199" i="45"/>
  <c r="AB198" i="45"/>
  <c r="AB197" i="45"/>
  <c r="AB196" i="45"/>
  <c r="AB195" i="45"/>
  <c r="AA194" i="45"/>
  <c r="Z194" i="45"/>
  <c r="Y194" i="45"/>
  <c r="X194" i="45"/>
  <c r="W194" i="45"/>
  <c r="V194" i="45"/>
  <c r="U194" i="45"/>
  <c r="T194" i="45"/>
  <c r="S194" i="45"/>
  <c r="R194" i="45"/>
  <c r="Q194" i="45"/>
  <c r="P194" i="45"/>
  <c r="O194" i="45"/>
  <c r="N194" i="45"/>
  <c r="M194" i="45"/>
  <c r="L194" i="45"/>
  <c r="AB193" i="45"/>
  <c r="AB192" i="45"/>
  <c r="AB191" i="45"/>
  <c r="G16" i="46" s="1"/>
  <c r="M17" i="47" s="1"/>
  <c r="AB190" i="45"/>
  <c r="AB189" i="45"/>
  <c r="AB188" i="45"/>
  <c r="AB187" i="45"/>
  <c r="AB186" i="45"/>
  <c r="AB185" i="45"/>
  <c r="AB184" i="45"/>
  <c r="AA183" i="45"/>
  <c r="Z183" i="45"/>
  <c r="Y183" i="45"/>
  <c r="X183" i="45"/>
  <c r="W183" i="45"/>
  <c r="V183" i="45"/>
  <c r="U183" i="45"/>
  <c r="T183" i="45"/>
  <c r="S183" i="45"/>
  <c r="R183" i="45"/>
  <c r="Q183" i="45"/>
  <c r="P183" i="45"/>
  <c r="O183" i="45"/>
  <c r="N183" i="45"/>
  <c r="M183" i="45"/>
  <c r="L183" i="45"/>
  <c r="AB182" i="45"/>
  <c r="F15" i="46" s="1"/>
  <c r="L16" i="47" s="1"/>
  <c r="AB181" i="45"/>
  <c r="AB180" i="45"/>
  <c r="AB179" i="45"/>
  <c r="AB178" i="45"/>
  <c r="AB177" i="45"/>
  <c r="AB176" i="45"/>
  <c r="AB175" i="45"/>
  <c r="AB174" i="45"/>
  <c r="AB173" i="45"/>
  <c r="AB172" i="45"/>
  <c r="AB171" i="45"/>
  <c r="G14" i="46" s="1"/>
  <c r="M15" i="47" s="1"/>
  <c r="AB170" i="45"/>
  <c r="AB169" i="45"/>
  <c r="AB168" i="45"/>
  <c r="AA167" i="45"/>
  <c r="Z167" i="45"/>
  <c r="Y167" i="45"/>
  <c r="X167" i="45"/>
  <c r="W167" i="45"/>
  <c r="V167" i="45"/>
  <c r="U167" i="45"/>
  <c r="T167" i="45"/>
  <c r="S167" i="45"/>
  <c r="R167" i="45"/>
  <c r="Q167" i="45"/>
  <c r="P167" i="45"/>
  <c r="O167" i="45"/>
  <c r="N167" i="45"/>
  <c r="M167" i="45"/>
  <c r="L167" i="45"/>
  <c r="AB166" i="45"/>
  <c r="AB165" i="45"/>
  <c r="AB164" i="45"/>
  <c r="AB163" i="45"/>
  <c r="AB162" i="45"/>
  <c r="AB161" i="45"/>
  <c r="AB160" i="45"/>
  <c r="AB159" i="45"/>
  <c r="AA158" i="45"/>
  <c r="Z158" i="45"/>
  <c r="Y158" i="45"/>
  <c r="X158" i="45"/>
  <c r="W158" i="45"/>
  <c r="V158" i="45"/>
  <c r="U158" i="45"/>
  <c r="T158" i="45"/>
  <c r="S158" i="45"/>
  <c r="R158" i="45"/>
  <c r="Q158" i="45"/>
  <c r="P158" i="45"/>
  <c r="O158" i="45"/>
  <c r="N158" i="45"/>
  <c r="M158" i="45"/>
  <c r="L158" i="45"/>
  <c r="AB156" i="45"/>
  <c r="AB155" i="45"/>
  <c r="AB154" i="45"/>
  <c r="AB153" i="45"/>
  <c r="AB152" i="45"/>
  <c r="AB151" i="45"/>
  <c r="AB150" i="45"/>
  <c r="AB149" i="45"/>
  <c r="AB148" i="45"/>
  <c r="AB147" i="45"/>
  <c r="AB146" i="45"/>
  <c r="AB145" i="45"/>
  <c r="AB144" i="45"/>
  <c r="AB143" i="45"/>
  <c r="AB142" i="45"/>
  <c r="AB141" i="45"/>
  <c r="AB140" i="45"/>
  <c r="AB139" i="45"/>
  <c r="G11" i="46" s="1"/>
  <c r="M12" i="47" s="1"/>
  <c r="AB138" i="45"/>
  <c r="F11" i="46" s="1"/>
  <c r="L12" i="47" s="1"/>
  <c r="AB137" i="45"/>
  <c r="AB136" i="45"/>
  <c r="AB135" i="45"/>
  <c r="AB134" i="45"/>
  <c r="AB133" i="45"/>
  <c r="AB132" i="45"/>
  <c r="AB131" i="45"/>
  <c r="AB130" i="45"/>
  <c r="AB129" i="45"/>
  <c r="AB128" i="45"/>
  <c r="AB127" i="45"/>
  <c r="AB126" i="45"/>
  <c r="AB125" i="45"/>
  <c r="AB124" i="45"/>
  <c r="AB123" i="45"/>
  <c r="AB122" i="45"/>
  <c r="AB121" i="45"/>
  <c r="AB120" i="45"/>
  <c r="AB119" i="45"/>
  <c r="AB118" i="45"/>
  <c r="AB117" i="45"/>
  <c r="AB116" i="45"/>
  <c r="AB115" i="45"/>
  <c r="AB114" i="45"/>
  <c r="AB113" i="45"/>
  <c r="AB112" i="45"/>
  <c r="AB111" i="45"/>
  <c r="AB110" i="45"/>
  <c r="AB109" i="45"/>
  <c r="AB108" i="45"/>
  <c r="AB107" i="45"/>
  <c r="AB106" i="45"/>
  <c r="AB105" i="45"/>
  <c r="AB104" i="45"/>
  <c r="AB103" i="45"/>
  <c r="AA102" i="45"/>
  <c r="Z102" i="45"/>
  <c r="Y102" i="45"/>
  <c r="X102" i="45"/>
  <c r="W102" i="45"/>
  <c r="V102" i="45"/>
  <c r="U102" i="45"/>
  <c r="T102" i="45"/>
  <c r="S102" i="45"/>
  <c r="R102" i="45"/>
  <c r="Q102" i="45"/>
  <c r="P102" i="45"/>
  <c r="O102" i="45"/>
  <c r="N102" i="45"/>
  <c r="M102" i="45"/>
  <c r="L102" i="45"/>
  <c r="AB101" i="45"/>
  <c r="AB100" i="45"/>
  <c r="AB99" i="45"/>
  <c r="AB98" i="45"/>
  <c r="AB97" i="45"/>
  <c r="AB96" i="45"/>
  <c r="AB95" i="45"/>
  <c r="AB94" i="45"/>
  <c r="AB93" i="45"/>
  <c r="AB92" i="45"/>
  <c r="AB91" i="45"/>
  <c r="AB90" i="45"/>
  <c r="AB89" i="45"/>
  <c r="AB88" i="45"/>
  <c r="AB87" i="45"/>
  <c r="AB86" i="45"/>
  <c r="AB85" i="45"/>
  <c r="AB84" i="45"/>
  <c r="AB83" i="45"/>
  <c r="AB82" i="45"/>
  <c r="AB81" i="45"/>
  <c r="AB80" i="45"/>
  <c r="AB79" i="45"/>
  <c r="AB78" i="45"/>
  <c r="AB77" i="45"/>
  <c r="AB76" i="45"/>
  <c r="AA75" i="45"/>
  <c r="Z75" i="45"/>
  <c r="Y75" i="45"/>
  <c r="X75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AB74" i="45"/>
  <c r="AB73" i="45"/>
  <c r="AB72" i="45"/>
  <c r="AB71" i="45"/>
  <c r="AB70" i="45"/>
  <c r="AB69" i="45"/>
  <c r="AB68" i="45"/>
  <c r="AB67" i="45"/>
  <c r="AB66" i="45"/>
  <c r="AB65" i="45"/>
  <c r="AB64" i="45"/>
  <c r="AB63" i="45"/>
  <c r="AB62" i="45"/>
  <c r="AB61" i="45"/>
  <c r="AB60" i="45"/>
  <c r="AB59" i="45"/>
  <c r="AB58" i="45"/>
  <c r="AB57" i="45"/>
  <c r="AB56" i="45"/>
  <c r="D8" i="46" s="1"/>
  <c r="J9" i="47" s="1"/>
  <c r="AA55" i="45"/>
  <c r="Z55" i="45"/>
  <c r="Y55" i="45"/>
  <c r="X55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AB54" i="45"/>
  <c r="AB53" i="45"/>
  <c r="AB52" i="45"/>
  <c r="G7" i="46" s="1"/>
  <c r="M8" i="47" s="1"/>
  <c r="AB51" i="45"/>
  <c r="AB50" i="45"/>
  <c r="AB49" i="45"/>
  <c r="AB48" i="45"/>
  <c r="AB47" i="45"/>
  <c r="AB46" i="45"/>
  <c r="AA45" i="45"/>
  <c r="Z45" i="45"/>
  <c r="Y45" i="45"/>
  <c r="X45" i="45"/>
  <c r="W45" i="45"/>
  <c r="V45" i="45"/>
  <c r="U45" i="45"/>
  <c r="T45" i="45"/>
  <c r="S45" i="45"/>
  <c r="R45" i="45"/>
  <c r="Q45" i="45"/>
  <c r="P45" i="45"/>
  <c r="O45" i="45"/>
  <c r="N45" i="45"/>
  <c r="M45" i="45"/>
  <c r="L45" i="45"/>
  <c r="AB44" i="45"/>
  <c r="AB43" i="45"/>
  <c r="G6" i="46" s="1"/>
  <c r="M7" i="47" s="1"/>
  <c r="AB42" i="45"/>
  <c r="F6" i="46" s="1"/>
  <c r="L7" i="47" s="1"/>
  <c r="AB41" i="45"/>
  <c r="AB40" i="45"/>
  <c r="AB39" i="45"/>
  <c r="AB38" i="45"/>
  <c r="AB37" i="45"/>
  <c r="AB36" i="45"/>
  <c r="AA35" i="45"/>
  <c r="Z35" i="45"/>
  <c r="Y35" i="45"/>
  <c r="X35" i="45"/>
  <c r="W35" i="45"/>
  <c r="V35" i="45"/>
  <c r="U35" i="45"/>
  <c r="T35" i="45"/>
  <c r="S35" i="45"/>
  <c r="R35" i="45"/>
  <c r="Q35" i="45"/>
  <c r="P35" i="45"/>
  <c r="O35" i="45"/>
  <c r="N35" i="45"/>
  <c r="M35" i="45"/>
  <c r="L35" i="45"/>
  <c r="AB34" i="45"/>
  <c r="AB33" i="45"/>
  <c r="AB32" i="45"/>
  <c r="AB31" i="45"/>
  <c r="AB30" i="45"/>
  <c r="AB29" i="45"/>
  <c r="AB28" i="45"/>
  <c r="AB27" i="45"/>
  <c r="AB26" i="45"/>
  <c r="AB25" i="45"/>
  <c r="AB24" i="45"/>
  <c r="AB23" i="45"/>
  <c r="AB22" i="45"/>
  <c r="AB21" i="45"/>
  <c r="AA20" i="45"/>
  <c r="Z20" i="45"/>
  <c r="Y20" i="45"/>
  <c r="X20" i="45"/>
  <c r="W20" i="45"/>
  <c r="V20" i="45"/>
  <c r="U20" i="45"/>
  <c r="T20" i="45"/>
  <c r="S20" i="45"/>
  <c r="R20" i="45"/>
  <c r="Q20" i="45"/>
  <c r="P20" i="45"/>
  <c r="O20" i="45"/>
  <c r="N20" i="45"/>
  <c r="M20" i="45"/>
  <c r="L20" i="45"/>
  <c r="AB19" i="45"/>
  <c r="AB18" i="45"/>
  <c r="AB17" i="45"/>
  <c r="E5" i="46" s="1"/>
  <c r="K6" i="47" s="1"/>
  <c r="AB16" i="45"/>
  <c r="AB15" i="45"/>
  <c r="AC14" i="45"/>
  <c r="AA14" i="45"/>
  <c r="Z14" i="45"/>
  <c r="Y14" i="45"/>
  <c r="X14" i="45"/>
  <c r="W14" i="45"/>
  <c r="V14" i="45"/>
  <c r="U14" i="45"/>
  <c r="T14" i="45"/>
  <c r="S14" i="45"/>
  <c r="R14" i="45"/>
  <c r="Q14" i="45"/>
  <c r="P14" i="45"/>
  <c r="O14" i="45"/>
  <c r="N14" i="45"/>
  <c r="M14" i="45"/>
  <c r="L14" i="45"/>
  <c r="AB13" i="45"/>
  <c r="AB12" i="45"/>
  <c r="AB11" i="45"/>
  <c r="AB10" i="45"/>
  <c r="AB9" i="45"/>
  <c r="AB8" i="45"/>
  <c r="AB7" i="45"/>
  <c r="AB6" i="45"/>
  <c r="AO42" i="41" l="1"/>
  <c r="AK21" i="41"/>
  <c r="AI21" i="41"/>
  <c r="AF21" i="41"/>
  <c r="O21" i="41"/>
  <c r="AD21" i="41"/>
  <c r="O42" i="41"/>
  <c r="AB21" i="41"/>
  <c r="AH21" i="41"/>
  <c r="M21" i="41"/>
  <c r="AJ21" i="41"/>
  <c r="W21" i="41"/>
  <c r="AC21" i="41"/>
  <c r="Q21" i="41"/>
  <c r="AO21" i="41"/>
  <c r="AE21" i="41"/>
  <c r="U48" i="41"/>
  <c r="U21" i="41"/>
  <c r="AP21" i="41"/>
  <c r="T21" i="41"/>
  <c r="AM21" i="41"/>
  <c r="Z21" i="41"/>
  <c r="AG21" i="41"/>
  <c r="S48" i="41"/>
  <c r="S64" i="41" s="1"/>
  <c r="S21" i="41"/>
  <c r="AN21" i="41"/>
  <c r="AL21" i="41"/>
  <c r="AA21" i="41"/>
  <c r="X21" i="41"/>
  <c r="V21" i="41"/>
  <c r="P21" i="41"/>
  <c r="Y21" i="41"/>
  <c r="M42" i="41"/>
  <c r="Q42" i="41"/>
  <c r="N51" i="41"/>
  <c r="N64" i="41" s="1"/>
  <c r="O65" i="41"/>
  <c r="O71" i="41" s="1"/>
  <c r="N65" i="41"/>
  <c r="N42" i="41"/>
  <c r="Y42" i="41"/>
  <c r="AH42" i="41"/>
  <c r="P65" i="41"/>
  <c r="P71" i="41" s="1"/>
  <c r="AG42" i="41"/>
  <c r="AP42" i="41"/>
  <c r="S42" i="41"/>
  <c r="R42" i="41"/>
  <c r="V42" i="41"/>
  <c r="AD42" i="41"/>
  <c r="AL42" i="41"/>
  <c r="AA42" i="41"/>
  <c r="Z42" i="41"/>
  <c r="T42" i="41"/>
  <c r="U42" i="41"/>
  <c r="AI42" i="41"/>
  <c r="AB42" i="41"/>
  <c r="AC42" i="41"/>
  <c r="AJ42" i="41"/>
  <c r="AK42" i="41"/>
  <c r="P42" i="41"/>
  <c r="W42" i="41"/>
  <c r="X42" i="41"/>
  <c r="AE42" i="41"/>
  <c r="AF42" i="41"/>
  <c r="AM42" i="41"/>
  <c r="AN42" i="41"/>
  <c r="O49" i="41"/>
  <c r="O64" i="41" s="1"/>
  <c r="AJ48" i="41"/>
  <c r="AJ64" i="41" s="1"/>
  <c r="W48" i="41"/>
  <c r="W64" i="41" s="1"/>
  <c r="X48" i="41"/>
  <c r="X64" i="41" s="1"/>
  <c r="AI48" i="41"/>
  <c r="AI64" i="41" s="1"/>
  <c r="AD48" i="41"/>
  <c r="AD64" i="41" s="1"/>
  <c r="AC48" i="41"/>
  <c r="AC64" i="41" s="1"/>
  <c r="Q49" i="41"/>
  <c r="Q64" i="41" s="1"/>
  <c r="AO48" i="41"/>
  <c r="AO64" i="41" s="1"/>
  <c r="AE48" i="41"/>
  <c r="AE64" i="41" s="1"/>
  <c r="AP48" i="41"/>
  <c r="AP64" i="41" s="1"/>
  <c r="AB48" i="41"/>
  <c r="AB64" i="41" s="1"/>
  <c r="AM48" i="41"/>
  <c r="AM64" i="41" s="1"/>
  <c r="AH48" i="41"/>
  <c r="AH64" i="41" s="1"/>
  <c r="Z48" i="41"/>
  <c r="Z64" i="41" s="1"/>
  <c r="AG48" i="41"/>
  <c r="AG64" i="41" s="1"/>
  <c r="AN48" i="41"/>
  <c r="AN64" i="41" s="1"/>
  <c r="AF48" i="41"/>
  <c r="AF64" i="41" s="1"/>
  <c r="AK48" i="41"/>
  <c r="AK64" i="41" s="1"/>
  <c r="T48" i="41"/>
  <c r="T64" i="41" s="1"/>
  <c r="V48" i="41"/>
  <c r="AL48" i="41"/>
  <c r="AL64" i="41" s="1"/>
  <c r="AA48" i="41"/>
  <c r="AA64" i="41" s="1"/>
  <c r="Y48" i="41"/>
  <c r="Y64" i="41" s="1"/>
  <c r="M51" i="41"/>
  <c r="AQ51" i="41" s="1"/>
  <c r="AQ8" i="41"/>
  <c r="M52" i="41"/>
  <c r="AQ52" i="41" s="1"/>
  <c r="AQ9" i="41"/>
  <c r="M54" i="41"/>
  <c r="AQ54" i="41" s="1"/>
  <c r="AQ11" i="41"/>
  <c r="M56" i="41"/>
  <c r="AQ56" i="41" s="1"/>
  <c r="AQ13" i="41"/>
  <c r="AQ18" i="41"/>
  <c r="M53" i="41"/>
  <c r="AQ53" i="41" s="1"/>
  <c r="AQ10" i="41"/>
  <c r="M49" i="41"/>
  <c r="AQ6" i="41"/>
  <c r="M58" i="41"/>
  <c r="AQ58" i="41" s="1"/>
  <c r="AQ15" i="41"/>
  <c r="M55" i="41"/>
  <c r="AQ55" i="41" s="1"/>
  <c r="AQ12" i="41"/>
  <c r="M57" i="41"/>
  <c r="AQ57" i="41" s="1"/>
  <c r="AQ14" i="41"/>
  <c r="M59" i="41"/>
  <c r="AQ59" i="41" s="1"/>
  <c r="AQ16" i="41"/>
  <c r="AQ5" i="41"/>
  <c r="M50" i="41"/>
  <c r="AQ50" i="41" s="1"/>
  <c r="AQ7" i="41"/>
  <c r="M48" i="41"/>
  <c r="R49" i="41"/>
  <c r="AR49" i="41" s="1"/>
  <c r="P50" i="41"/>
  <c r="AR50" i="41" s="1"/>
  <c r="P61" i="41"/>
  <c r="AR61" i="41" s="1"/>
  <c r="P57" i="41"/>
  <c r="AR57" i="41" s="1"/>
  <c r="P51" i="41"/>
  <c r="P55" i="41"/>
  <c r="AR55" i="41" s="1"/>
  <c r="M61" i="41"/>
  <c r="AQ61" i="41" s="1"/>
  <c r="P59" i="41"/>
  <c r="AR59" i="41" s="1"/>
  <c r="P54" i="41"/>
  <c r="AR54" i="41" s="1"/>
  <c r="P52" i="41"/>
  <c r="AR52" i="41" s="1"/>
  <c r="AQ26" i="41"/>
  <c r="P58" i="41"/>
  <c r="AR58" i="41" s="1"/>
  <c r="P56" i="41"/>
  <c r="AR56" i="41" s="1"/>
  <c r="P53" i="41"/>
  <c r="AR53" i="41" s="1"/>
  <c r="AR36" i="41"/>
  <c r="AR32" i="41"/>
  <c r="AQ28" i="41"/>
  <c r="AR28" i="41"/>
  <c r="AQ31" i="41"/>
  <c r="AQ37" i="41"/>
  <c r="AQ27" i="41"/>
  <c r="AQ33" i="41"/>
  <c r="AR8" i="41"/>
  <c r="AR6" i="41"/>
  <c r="AQ36" i="41"/>
  <c r="AQ29" i="41"/>
  <c r="AQ32" i="41"/>
  <c r="AR16" i="41"/>
  <c r="AQ39" i="41"/>
  <c r="AR12" i="41"/>
  <c r="AR35" i="41"/>
  <c r="AQ34" i="41"/>
  <c r="AR14" i="41"/>
  <c r="AR37" i="41"/>
  <c r="AR18" i="41"/>
  <c r="AR31" i="41"/>
  <c r="AQ30" i="41"/>
  <c r="AR15" i="41"/>
  <c r="AR39" i="41"/>
  <c r="AR10" i="41"/>
  <c r="AR33" i="41"/>
  <c r="AR13" i="41"/>
  <c r="AR27" i="41"/>
  <c r="AR11" i="41"/>
  <c r="AR34" i="41"/>
  <c r="AR29" i="41"/>
  <c r="AR7" i="41"/>
  <c r="AR9" i="41"/>
  <c r="AQ35" i="41"/>
  <c r="AR30" i="41"/>
  <c r="F13" i="46"/>
  <c r="L14" i="47" s="1"/>
  <c r="G12" i="46"/>
  <c r="M13" i="47" s="1"/>
  <c r="E6" i="46"/>
  <c r="K7" i="47" s="1"/>
  <c r="G10" i="46"/>
  <c r="M11" i="47" s="1"/>
  <c r="G4" i="46"/>
  <c r="M5" i="47" s="1"/>
  <c r="D10" i="46"/>
  <c r="J11" i="47" s="1"/>
  <c r="D9" i="46"/>
  <c r="J10" i="47" s="1"/>
  <c r="Z33" i="46"/>
  <c r="D13" i="46"/>
  <c r="J14" i="47" s="1"/>
  <c r="E16" i="46"/>
  <c r="K17" i="47" s="1"/>
  <c r="S27" i="46"/>
  <c r="AA31" i="46"/>
  <c r="O32" i="46"/>
  <c r="F12" i="46"/>
  <c r="L13" i="47" s="1"/>
  <c r="D14" i="46"/>
  <c r="J15" i="47" s="1"/>
  <c r="N29" i="46"/>
  <c r="V23" i="46"/>
  <c r="F8" i="46"/>
  <c r="L9" i="47" s="1"/>
  <c r="D11" i="46"/>
  <c r="J12" i="47" s="1"/>
  <c r="D12" i="46"/>
  <c r="J13" i="47" s="1"/>
  <c r="D4" i="46"/>
  <c r="J5" i="47" s="1"/>
  <c r="E12" i="46"/>
  <c r="K13" i="47" s="1"/>
  <c r="X21" i="46"/>
  <c r="D6" i="46"/>
  <c r="J7" i="47" s="1"/>
  <c r="E4" i="46"/>
  <c r="K5" i="47" s="1"/>
  <c r="E14" i="46"/>
  <c r="K15" i="47" s="1"/>
  <c r="Z23" i="46"/>
  <c r="V26" i="46"/>
  <c r="T21" i="46"/>
  <c r="D7" i="46"/>
  <c r="J8" i="47" s="1"/>
  <c r="AA27" i="46"/>
  <c r="G9" i="46"/>
  <c r="M10" i="47" s="1"/>
  <c r="R31" i="46"/>
  <c r="N24" i="46"/>
  <c r="S25" i="46"/>
  <c r="U23" i="46"/>
  <c r="U25" i="46"/>
  <c r="U27" i="46"/>
  <c r="U29" i="46"/>
  <c r="U31" i="46"/>
  <c r="U33" i="46"/>
  <c r="U22" i="46"/>
  <c r="U24" i="46"/>
  <c r="U26" i="46"/>
  <c r="U28" i="46"/>
  <c r="U30" i="46"/>
  <c r="U32" i="46"/>
  <c r="M22" i="46"/>
  <c r="M30" i="46"/>
  <c r="M23" i="46"/>
  <c r="M31" i="46"/>
  <c r="M24" i="46"/>
  <c r="M32" i="46"/>
  <c r="M26" i="46"/>
  <c r="M21" i="46"/>
  <c r="M27" i="46"/>
  <c r="W22" i="46"/>
  <c r="W27" i="46"/>
  <c r="W29" i="46"/>
  <c r="AA29" i="46"/>
  <c r="AB11" i="46"/>
  <c r="O25" i="46"/>
  <c r="W33" i="46"/>
  <c r="Z31" i="46"/>
  <c r="Z29" i="46"/>
  <c r="R27" i="46"/>
  <c r="V24" i="46"/>
  <c r="O26" i="46"/>
  <c r="N32" i="46"/>
  <c r="O24" i="46"/>
  <c r="S33" i="46"/>
  <c r="W31" i="46"/>
  <c r="S29" i="46"/>
  <c r="W26" i="46"/>
  <c r="AA23" i="46"/>
  <c r="C12" i="48"/>
  <c r="C31" i="48" s="1"/>
  <c r="AB12" i="46"/>
  <c r="M17" i="46"/>
  <c r="AB14" i="46"/>
  <c r="G17" i="48"/>
  <c r="W23" i="46"/>
  <c r="AB10" i="46"/>
  <c r="AA17" i="48"/>
  <c r="AB7" i="46"/>
  <c r="P22" i="46"/>
  <c r="P24" i="46"/>
  <c r="P26" i="46"/>
  <c r="P28" i="46"/>
  <c r="P30" i="46"/>
  <c r="P32" i="46"/>
  <c r="P23" i="46"/>
  <c r="P25" i="46"/>
  <c r="P27" i="46"/>
  <c r="P29" i="46"/>
  <c r="P31" i="46"/>
  <c r="P33" i="46"/>
  <c r="X22" i="46"/>
  <c r="X24" i="46"/>
  <c r="X26" i="46"/>
  <c r="X28" i="46"/>
  <c r="X30" i="46"/>
  <c r="X32" i="46"/>
  <c r="X23" i="46"/>
  <c r="X25" i="46"/>
  <c r="X27" i="46"/>
  <c r="X29" i="46"/>
  <c r="X31" i="46"/>
  <c r="X33" i="46"/>
  <c r="F5" i="46"/>
  <c r="L6" i="47" s="1"/>
  <c r="N6" i="47" s="1"/>
  <c r="F4" i="46"/>
  <c r="L5" i="47" s="1"/>
  <c r="G8" i="46"/>
  <c r="M9" i="47" s="1"/>
  <c r="E11" i="46"/>
  <c r="K12" i="47" s="1"/>
  <c r="F16" i="46"/>
  <c r="L17" i="47" s="1"/>
  <c r="N17" i="47" s="1"/>
  <c r="N16" i="47"/>
  <c r="AB9" i="46"/>
  <c r="O17" i="48"/>
  <c r="AB6" i="46"/>
  <c r="N28" i="46"/>
  <c r="P21" i="46"/>
  <c r="R33" i="46"/>
  <c r="S31" i="46"/>
  <c r="R29" i="46"/>
  <c r="W24" i="46"/>
  <c r="C30" i="48"/>
  <c r="Q22" i="46"/>
  <c r="Q24" i="46"/>
  <c r="Q26" i="46"/>
  <c r="Q28" i="46"/>
  <c r="Q30" i="46"/>
  <c r="Q32" i="46"/>
  <c r="Q21" i="46"/>
  <c r="Q23" i="46"/>
  <c r="Q25" i="46"/>
  <c r="Q27" i="46"/>
  <c r="Q29" i="46"/>
  <c r="Q31" i="46"/>
  <c r="Q33" i="46"/>
  <c r="AB16" i="46"/>
  <c r="C16" i="48"/>
  <c r="C35" i="48" s="1"/>
  <c r="M33" i="46"/>
  <c r="N27" i="46"/>
  <c r="AA32" i="46"/>
  <c r="W28" i="46"/>
  <c r="AA25" i="46"/>
  <c r="S23" i="46"/>
  <c r="AB8" i="46"/>
  <c r="C8" i="48"/>
  <c r="C27" i="48" s="1"/>
  <c r="R21" i="46"/>
  <c r="R22" i="46"/>
  <c r="R24" i="46"/>
  <c r="R26" i="46"/>
  <c r="R28" i="46"/>
  <c r="R30" i="46"/>
  <c r="R32" i="46"/>
  <c r="Z21" i="46"/>
  <c r="Z22" i="46"/>
  <c r="Z24" i="46"/>
  <c r="Z26" i="46"/>
  <c r="Z28" i="46"/>
  <c r="Z30" i="46"/>
  <c r="Z32" i="46"/>
  <c r="V22" i="46"/>
  <c r="T200" i="45"/>
  <c r="Q200" i="45"/>
  <c r="F9" i="46"/>
  <c r="L10" i="47" s="1"/>
  <c r="F10" i="46"/>
  <c r="L11" i="47" s="1"/>
  <c r="L200" i="45"/>
  <c r="C26" i="48"/>
  <c r="W17" i="48"/>
  <c r="M29" i="46"/>
  <c r="U21" i="46"/>
  <c r="W32" i="46"/>
  <c r="AA30" i="46"/>
  <c r="V28" i="46"/>
  <c r="Z25" i="46"/>
  <c r="R23" i="46"/>
  <c r="Y22" i="46"/>
  <c r="Y24" i="46"/>
  <c r="Y26" i="46"/>
  <c r="Y28" i="46"/>
  <c r="Y30" i="46"/>
  <c r="Y32" i="46"/>
  <c r="Y21" i="46"/>
  <c r="Y23" i="46"/>
  <c r="Y25" i="46"/>
  <c r="Y27" i="46"/>
  <c r="Y29" i="46"/>
  <c r="Y31" i="46"/>
  <c r="Y33" i="46"/>
  <c r="F7" i="46"/>
  <c r="L8" i="47" s="1"/>
  <c r="N8" i="47" s="1"/>
  <c r="E8" i="46"/>
  <c r="K9" i="47" s="1"/>
  <c r="V32" i="46"/>
  <c r="W30" i="46"/>
  <c r="O29" i="46"/>
  <c r="E9" i="46"/>
  <c r="K10" i="47" s="1"/>
  <c r="S21" i="46"/>
  <c r="S28" i="46"/>
  <c r="S30" i="46"/>
  <c r="S24" i="46"/>
  <c r="S26" i="46"/>
  <c r="S22" i="46"/>
  <c r="AA21" i="46"/>
  <c r="AA22" i="46"/>
  <c r="AA24" i="46"/>
  <c r="AA26" i="46"/>
  <c r="AA28" i="46"/>
  <c r="E13" i="46"/>
  <c r="K14" i="47" s="1"/>
  <c r="N14" i="47" s="1"/>
  <c r="C33" i="48"/>
  <c r="C25" i="48"/>
  <c r="M28" i="46"/>
  <c r="O33" i="46"/>
  <c r="T23" i="46"/>
  <c r="C32" i="48"/>
  <c r="C24" i="48"/>
  <c r="AE17" i="48"/>
  <c r="AB15" i="46"/>
  <c r="M25" i="46"/>
  <c r="AA33" i="46"/>
  <c r="S32" i="46"/>
  <c r="V30" i="46"/>
  <c r="Z27" i="46"/>
  <c r="R25" i="46"/>
  <c r="Q17" i="46"/>
  <c r="AB13" i="46"/>
  <c r="AB5" i="46"/>
  <c r="N21" i="46"/>
  <c r="N26" i="46"/>
  <c r="O31" i="46"/>
  <c r="O23" i="46"/>
  <c r="V21" i="46"/>
  <c r="C10" i="48"/>
  <c r="C29" i="48" s="1"/>
  <c r="N33" i="46"/>
  <c r="N25" i="46"/>
  <c r="O30" i="46"/>
  <c r="O22" i="46"/>
  <c r="W21" i="46"/>
  <c r="T32" i="46"/>
  <c r="T30" i="46"/>
  <c r="T28" i="46"/>
  <c r="T26" i="46"/>
  <c r="T24" i="46"/>
  <c r="T22" i="46"/>
  <c r="C9" i="48"/>
  <c r="C28" i="48" s="1"/>
  <c r="W25" i="46"/>
  <c r="Z17" i="46"/>
  <c r="BC17" i="48" s="1"/>
  <c r="N31" i="46"/>
  <c r="N23" i="46"/>
  <c r="O28" i="46"/>
  <c r="V33" i="46"/>
  <c r="V31" i="46"/>
  <c r="V29" i="46"/>
  <c r="V27" i="46"/>
  <c r="V25" i="46"/>
  <c r="S15" i="48"/>
  <c r="S17" i="48" s="1"/>
  <c r="BC4" i="48"/>
  <c r="C23" i="48" s="1"/>
  <c r="N17" i="46"/>
  <c r="O17" i="46"/>
  <c r="P17" i="46"/>
  <c r="N30" i="46"/>
  <c r="N22" i="46"/>
  <c r="O27" i="46"/>
  <c r="O21" i="46"/>
  <c r="T33" i="46"/>
  <c r="T31" i="46"/>
  <c r="T29" i="46"/>
  <c r="T27" i="46"/>
  <c r="T25" i="46"/>
  <c r="K17" i="48"/>
  <c r="AA17" i="46"/>
  <c r="BG17" i="48" s="1"/>
  <c r="Y17" i="46"/>
  <c r="AY17" i="48" s="1"/>
  <c r="X17" i="46"/>
  <c r="AU17" i="48" s="1"/>
  <c r="W17" i="46"/>
  <c r="AQ17" i="48" s="1"/>
  <c r="V17" i="46"/>
  <c r="AM17" i="48" s="1"/>
  <c r="U17" i="46"/>
  <c r="AI17" i="48" s="1"/>
  <c r="T17" i="46"/>
  <c r="S17" i="46"/>
  <c r="R17" i="46"/>
  <c r="AB4" i="46"/>
  <c r="H15" i="46"/>
  <c r="H6" i="46"/>
  <c r="H14" i="46"/>
  <c r="AB14" i="45"/>
  <c r="M200" i="45"/>
  <c r="N200" i="45"/>
  <c r="O200" i="45"/>
  <c r="AB102" i="45"/>
  <c r="AB35" i="45"/>
  <c r="R200" i="45"/>
  <c r="P200" i="45"/>
  <c r="AB20" i="45"/>
  <c r="AB45" i="45"/>
  <c r="AB55" i="45"/>
  <c r="AB75" i="45"/>
  <c r="AB183" i="45"/>
  <c r="S200" i="45"/>
  <c r="Y200" i="45"/>
  <c r="U200" i="45"/>
  <c r="AB194" i="45"/>
  <c r="V200" i="45"/>
  <c r="AB158" i="45"/>
  <c r="AA200" i="45"/>
  <c r="W200" i="45"/>
  <c r="X200" i="45"/>
  <c r="Z200" i="45"/>
  <c r="AB167" i="45"/>
  <c r="AB199" i="45"/>
  <c r="M64" i="41" l="1"/>
  <c r="N70" i="41" s="1"/>
  <c r="U65" i="41"/>
  <c r="U64" i="41"/>
  <c r="V65" i="41"/>
  <c r="V64" i="41"/>
  <c r="P64" i="41"/>
  <c r="P66" i="41" s="1"/>
  <c r="P72" i="41" s="1"/>
  <c r="AQ42" i="41"/>
  <c r="AQ21" i="41"/>
  <c r="AR51" i="41"/>
  <c r="AS51" i="41" s="1"/>
  <c r="T65" i="41"/>
  <c r="T67" i="41"/>
  <c r="S65" i="41"/>
  <c r="AQ49" i="41"/>
  <c r="AS49" i="41" s="1"/>
  <c r="M65" i="41"/>
  <c r="AQ48" i="41"/>
  <c r="N7" i="47"/>
  <c r="AS37" i="41"/>
  <c r="O66" i="41"/>
  <c r="O67" i="41"/>
  <c r="AS18" i="41"/>
  <c r="AS14" i="41"/>
  <c r="AS15" i="41"/>
  <c r="N66" i="41"/>
  <c r="AI67" i="41"/>
  <c r="AB67" i="41"/>
  <c r="Z67" i="41"/>
  <c r="AJ67" i="41"/>
  <c r="AL67" i="41"/>
  <c r="X67" i="41"/>
  <c r="N67" i="41"/>
  <c r="AH67" i="41"/>
  <c r="AF67" i="41"/>
  <c r="AD67" i="41"/>
  <c r="AN67" i="41"/>
  <c r="AP67" i="41"/>
  <c r="AM67" i="41"/>
  <c r="AS61" i="41"/>
  <c r="AS59" i="41"/>
  <c r="W67" i="41"/>
  <c r="AC67" i="41"/>
  <c r="Y67" i="41"/>
  <c r="AK67" i="41"/>
  <c r="AE67" i="41"/>
  <c r="AG67" i="41"/>
  <c r="AO67" i="41"/>
  <c r="AA67" i="41"/>
  <c r="AS55" i="41"/>
  <c r="AS53" i="41"/>
  <c r="AS56" i="41"/>
  <c r="AS52" i="41"/>
  <c r="AS50" i="41"/>
  <c r="AS57" i="41"/>
  <c r="AS58" i="41"/>
  <c r="AS54" i="41"/>
  <c r="AS39" i="41"/>
  <c r="AS27" i="41"/>
  <c r="AS10" i="41"/>
  <c r="AS36" i="41"/>
  <c r="AS13" i="41"/>
  <c r="AS34" i="41"/>
  <c r="AS32" i="41"/>
  <c r="AS9" i="41"/>
  <c r="AS7" i="41"/>
  <c r="AS29" i="41"/>
  <c r="AS31" i="41"/>
  <c r="AS16" i="41"/>
  <c r="AS6" i="41"/>
  <c r="AS8" i="41"/>
  <c r="AS28" i="41"/>
  <c r="AS35" i="41"/>
  <c r="AS11" i="41"/>
  <c r="AS33" i="41"/>
  <c r="AS12" i="41"/>
  <c r="AS30" i="41"/>
  <c r="N11" i="47"/>
  <c r="H11" i="46"/>
  <c r="H7" i="46"/>
  <c r="H4" i="46"/>
  <c r="H5" i="46"/>
  <c r="M18" i="47"/>
  <c r="H10" i="46"/>
  <c r="N13" i="47"/>
  <c r="X34" i="46"/>
  <c r="H12" i="46"/>
  <c r="N12" i="47"/>
  <c r="Q34" i="46"/>
  <c r="J18" i="47"/>
  <c r="U34" i="46"/>
  <c r="N15" i="47"/>
  <c r="G17" i="46"/>
  <c r="AB17" i="46"/>
  <c r="N9" i="47"/>
  <c r="D17" i="46"/>
  <c r="AB23" i="46"/>
  <c r="S34" i="46"/>
  <c r="Z34" i="46"/>
  <c r="N10" i="47"/>
  <c r="Y34" i="46"/>
  <c r="W34" i="46"/>
  <c r="T34" i="46"/>
  <c r="AB28" i="46"/>
  <c r="AA34" i="46"/>
  <c r="V34" i="46"/>
  <c r="H8" i="46"/>
  <c r="H13" i="46"/>
  <c r="F17" i="46"/>
  <c r="AB29" i="46"/>
  <c r="P34" i="46"/>
  <c r="H9" i="46"/>
  <c r="AB25" i="46"/>
  <c r="AB33" i="46"/>
  <c r="AB27" i="46"/>
  <c r="AB22" i="46"/>
  <c r="K18" i="47"/>
  <c r="R34" i="46"/>
  <c r="L18" i="47"/>
  <c r="AB21" i="46"/>
  <c r="M34" i="46"/>
  <c r="N34" i="46"/>
  <c r="AB30" i="46"/>
  <c r="C34" i="48"/>
  <c r="AB26" i="46"/>
  <c r="H16" i="46"/>
  <c r="AB32" i="46"/>
  <c r="C17" i="48"/>
  <c r="O34" i="46"/>
  <c r="AB24" i="46"/>
  <c r="E17" i="46"/>
  <c r="AB31" i="46"/>
  <c r="N5" i="47"/>
  <c r="AB200" i="45"/>
  <c r="AQ64" i="41" l="1"/>
  <c r="S66" i="41"/>
  <c r="V67" i="41"/>
  <c r="V66" i="41"/>
  <c r="U67" i="41"/>
  <c r="U66" i="41"/>
  <c r="T66" i="41"/>
  <c r="S67" i="41"/>
  <c r="AQ65" i="41"/>
  <c r="P67" i="41"/>
  <c r="P70" i="41"/>
  <c r="M66" i="41"/>
  <c r="N72" i="41" s="1"/>
  <c r="N71" i="41"/>
  <c r="Q66" i="41"/>
  <c r="Q67" i="41"/>
  <c r="O72" i="41"/>
  <c r="O70" i="41"/>
  <c r="N18" i="47"/>
  <c r="C18" i="48"/>
  <c r="G18" i="48" s="1"/>
  <c r="K18" i="48" s="1"/>
  <c r="O18" i="48" s="1"/>
  <c r="S18" i="48" s="1"/>
  <c r="W18" i="48" s="1"/>
  <c r="AA18" i="48" s="1"/>
  <c r="AE18" i="48" s="1"/>
  <c r="AI18" i="48" s="1"/>
  <c r="AM18" i="48" s="1"/>
  <c r="AQ18" i="48" s="1"/>
  <c r="AU18" i="48" s="1"/>
  <c r="AY18" i="48" s="1"/>
  <c r="BC18" i="48" s="1"/>
  <c r="BG18" i="48" s="1"/>
  <c r="C36" i="48"/>
  <c r="H17" i="46"/>
  <c r="I9" i="46" s="1"/>
  <c r="AB34" i="46"/>
  <c r="N73" i="41" l="1"/>
  <c r="AQ66" i="41"/>
  <c r="AQ67" i="41" s="1"/>
  <c r="P73" i="41"/>
  <c r="I17" i="46"/>
  <c r="I14" i="46"/>
  <c r="I4" i="46"/>
  <c r="I10" i="46"/>
  <c r="I8" i="46"/>
  <c r="I13" i="46"/>
  <c r="I15" i="46"/>
  <c r="I11" i="46"/>
  <c r="I12" i="46"/>
  <c r="I7" i="46"/>
  <c r="I5" i="46"/>
  <c r="I6" i="46"/>
  <c r="I16" i="46"/>
  <c r="AR4" i="48" l="1"/>
  <c r="AS4" i="48" s="1"/>
  <c r="AV4" i="48"/>
  <c r="AW4" i="48" s="1"/>
  <c r="AZ4" i="48"/>
  <c r="BA4" i="48" s="1"/>
  <c r="BD4" i="48"/>
  <c r="BE4" i="48" s="1"/>
  <c r="BH4" i="48"/>
  <c r="BI4" i="48" s="1"/>
  <c r="AR5" i="48"/>
  <c r="AS5" i="48" s="1"/>
  <c r="AV5" i="48"/>
  <c r="AW5" i="48" s="1"/>
  <c r="AZ5" i="48"/>
  <c r="BA5" i="48" s="1"/>
  <c r="BD5" i="48"/>
  <c r="BE5" i="48" s="1"/>
  <c r="BH5" i="48"/>
  <c r="BI5" i="48" s="1"/>
  <c r="AR6" i="48"/>
  <c r="AS6" i="48" s="1"/>
  <c r="AV6" i="48"/>
  <c r="AW6" i="48" s="1"/>
  <c r="AZ6" i="48"/>
  <c r="BA6" i="48" s="1"/>
  <c r="BD6" i="48"/>
  <c r="BE6" i="48" s="1"/>
  <c r="BH6" i="48"/>
  <c r="BI6" i="48" s="1"/>
  <c r="AR7" i="48"/>
  <c r="AS7" i="48" s="1"/>
  <c r="AV7" i="48"/>
  <c r="AW7" i="48" s="1"/>
  <c r="AZ7" i="48"/>
  <c r="BA7" i="48" s="1"/>
  <c r="BD7" i="48"/>
  <c r="BE7" i="48" s="1"/>
  <c r="BH7" i="48"/>
  <c r="BI7" i="48" s="1"/>
  <c r="AR8" i="48"/>
  <c r="AS8" i="48" s="1"/>
  <c r="AV8" i="48"/>
  <c r="AW8" i="48" s="1"/>
  <c r="AZ8" i="48"/>
  <c r="BA8" i="48" s="1"/>
  <c r="BD8" i="48"/>
  <c r="BE8" i="48" s="1"/>
  <c r="BH8" i="48"/>
  <c r="BI8" i="48" s="1"/>
  <c r="AR9" i="48"/>
  <c r="AS9" i="48" s="1"/>
  <c r="AV9" i="48"/>
  <c r="AW9" i="48" s="1"/>
  <c r="AZ9" i="48"/>
  <c r="BA9" i="48" s="1"/>
  <c r="BD9" i="48"/>
  <c r="BE9" i="48" s="1"/>
  <c r="BH9" i="48"/>
  <c r="BI9" i="48" s="1"/>
  <c r="AR10" i="48"/>
  <c r="AS10" i="48" s="1"/>
  <c r="AV10" i="48"/>
  <c r="AW10" i="48" s="1"/>
  <c r="AZ10" i="48"/>
  <c r="BA10" i="48" s="1"/>
  <c r="BD10" i="48"/>
  <c r="BE10" i="48" s="1"/>
  <c r="BH10" i="48"/>
  <c r="BI10" i="48" s="1"/>
  <c r="AR11" i="48"/>
  <c r="AS11" i="48" s="1"/>
  <c r="AV11" i="48"/>
  <c r="AW11" i="48" s="1"/>
  <c r="AZ11" i="48"/>
  <c r="BA11" i="48" s="1"/>
  <c r="BD11" i="48"/>
  <c r="BE11" i="48" s="1"/>
  <c r="BH11" i="48"/>
  <c r="BI11" i="48" s="1"/>
  <c r="AR12" i="48"/>
  <c r="AS12" i="48" s="1"/>
  <c r="AV12" i="48"/>
  <c r="AW12" i="48" s="1"/>
  <c r="AZ12" i="48"/>
  <c r="BA12" i="48" s="1"/>
  <c r="BD12" i="48"/>
  <c r="BE12" i="48" s="1"/>
  <c r="BH12" i="48"/>
  <c r="BI12" i="48" s="1"/>
  <c r="AR13" i="48"/>
  <c r="AS13" i="48" s="1"/>
  <c r="AV13" i="48"/>
  <c r="AW13" i="48" s="1"/>
  <c r="AZ13" i="48"/>
  <c r="BA13" i="48" s="1"/>
  <c r="BD13" i="48"/>
  <c r="BE13" i="48" s="1"/>
  <c r="BH13" i="48"/>
  <c r="BI13" i="48" s="1"/>
  <c r="AR14" i="48"/>
  <c r="AS14" i="48" s="1"/>
  <c r="AV14" i="48"/>
  <c r="AW14" i="48" s="1"/>
  <c r="AZ14" i="48"/>
  <c r="BA14" i="48" s="1"/>
  <c r="BD14" i="48"/>
  <c r="BE14" i="48" s="1"/>
  <c r="BH14" i="48"/>
  <c r="BI14" i="48" s="1"/>
  <c r="AR15" i="48"/>
  <c r="AS15" i="48" s="1"/>
  <c r="AV15" i="48"/>
  <c r="AW15" i="48" s="1"/>
  <c r="AZ15" i="48"/>
  <c r="BA15" i="48" s="1"/>
  <c r="BD15" i="48"/>
  <c r="BE15" i="48" s="1"/>
  <c r="BH15" i="48"/>
  <c r="BI15" i="48" s="1"/>
  <c r="AR16" i="48"/>
  <c r="AS16" i="48" s="1"/>
  <c r="AV16" i="48"/>
  <c r="AW16" i="48" s="1"/>
  <c r="AZ16" i="48"/>
  <c r="BA16" i="48" s="1"/>
  <c r="BD16" i="48"/>
  <c r="BE16" i="48" s="1"/>
  <c r="BH16" i="48"/>
  <c r="BI16" i="48" s="1"/>
  <c r="H9" i="48"/>
  <c r="I9" i="48" s="1"/>
  <c r="L9" i="48"/>
  <c r="M9" i="48" s="1"/>
  <c r="P9" i="48"/>
  <c r="Q9" i="48" s="1"/>
  <c r="T9" i="48"/>
  <c r="U9" i="48" s="1"/>
  <c r="X9" i="48"/>
  <c r="Y9" i="48" s="1"/>
  <c r="AB9" i="48"/>
  <c r="AC9" i="48" s="1"/>
  <c r="AF9" i="48"/>
  <c r="AG9" i="48" s="1"/>
  <c r="AJ9" i="48"/>
  <c r="AK9" i="48" s="1"/>
  <c r="AN9" i="48"/>
  <c r="AO9" i="48" s="1"/>
  <c r="H10" i="48"/>
  <c r="I10" i="48" s="1"/>
  <c r="L10" i="48"/>
  <c r="M10" i="48" s="1"/>
  <c r="P10" i="48"/>
  <c r="Q10" i="48" s="1"/>
  <c r="T10" i="48"/>
  <c r="U10" i="48" s="1"/>
  <c r="X10" i="48"/>
  <c r="Y10" i="48" s="1"/>
  <c r="AB10" i="48"/>
  <c r="AC10" i="48" s="1"/>
  <c r="AF10" i="48"/>
  <c r="AG10" i="48" s="1"/>
  <c r="AJ10" i="48"/>
  <c r="AK10" i="48" s="1"/>
  <c r="AN10" i="48"/>
  <c r="AO10" i="48" s="1"/>
  <c r="H11" i="48"/>
  <c r="I11" i="48" s="1"/>
  <c r="L11" i="48"/>
  <c r="M11" i="48" s="1"/>
  <c r="P11" i="48"/>
  <c r="Q11" i="48" s="1"/>
  <c r="T11" i="48"/>
  <c r="U11" i="48" s="1"/>
  <c r="X11" i="48"/>
  <c r="Y11" i="48" s="1"/>
  <c r="AB11" i="48"/>
  <c r="AC11" i="48" s="1"/>
  <c r="AF11" i="48"/>
  <c r="AG11" i="48" s="1"/>
  <c r="AJ11" i="48"/>
  <c r="AK11" i="48" s="1"/>
  <c r="AN11" i="48"/>
  <c r="AO11" i="48" s="1"/>
  <c r="H12" i="48"/>
  <c r="I12" i="48" s="1"/>
  <c r="L12" i="48"/>
  <c r="M12" i="48" s="1"/>
  <c r="P12" i="48"/>
  <c r="Q12" i="48" s="1"/>
  <c r="T12" i="48"/>
  <c r="U12" i="48" s="1"/>
  <c r="X12" i="48"/>
  <c r="Y12" i="48" s="1"/>
  <c r="AB12" i="48"/>
  <c r="AC12" i="48" s="1"/>
  <c r="AF12" i="48"/>
  <c r="AG12" i="48" s="1"/>
  <c r="AJ12" i="48"/>
  <c r="AK12" i="48" s="1"/>
  <c r="AN12" i="48"/>
  <c r="AO12" i="48" s="1"/>
  <c r="H13" i="48"/>
  <c r="I13" i="48" s="1"/>
  <c r="L13" i="48"/>
  <c r="M13" i="48" s="1"/>
  <c r="P13" i="48"/>
  <c r="Q13" i="48" s="1"/>
  <c r="T13" i="48"/>
  <c r="U13" i="48" s="1"/>
  <c r="X13" i="48"/>
  <c r="Y13" i="48" s="1"/>
  <c r="AB13" i="48"/>
  <c r="AC13" i="48" s="1"/>
  <c r="AF13" i="48"/>
  <c r="AG13" i="48" s="1"/>
  <c r="AJ13" i="48"/>
  <c r="AK13" i="48" s="1"/>
  <c r="AN13" i="48"/>
  <c r="AO13" i="48" s="1"/>
  <c r="H14" i="48"/>
  <c r="I14" i="48" s="1"/>
  <c r="L14" i="48"/>
  <c r="M14" i="48" s="1"/>
  <c r="P14" i="48"/>
  <c r="Q14" i="48" s="1"/>
  <c r="T14" i="48"/>
  <c r="U14" i="48" s="1"/>
  <c r="X14" i="48"/>
  <c r="Y14" i="48" s="1"/>
  <c r="AB14" i="48"/>
  <c r="AC14" i="48" s="1"/>
  <c r="AF14" i="48"/>
  <c r="AG14" i="48" s="1"/>
  <c r="AJ14" i="48"/>
  <c r="AK14" i="48" s="1"/>
  <c r="AN14" i="48"/>
  <c r="AO14" i="48" s="1"/>
  <c r="H15" i="48"/>
  <c r="I15" i="48" s="1"/>
  <c r="L15" i="48"/>
  <c r="M15" i="48" s="1"/>
  <c r="P15" i="48"/>
  <c r="Q15" i="48" s="1"/>
  <c r="T15" i="48"/>
  <c r="U15" i="48" s="1"/>
  <c r="X15" i="48"/>
  <c r="Y15" i="48" s="1"/>
  <c r="AB15" i="48"/>
  <c r="AC15" i="48" s="1"/>
  <c r="AF15" i="48"/>
  <c r="AG15" i="48" s="1"/>
  <c r="AJ15" i="48"/>
  <c r="AK15" i="48" s="1"/>
  <c r="AN15" i="48"/>
  <c r="AO15" i="48" s="1"/>
  <c r="H16" i="48"/>
  <c r="I16" i="48" s="1"/>
  <c r="L16" i="48"/>
  <c r="M16" i="48" s="1"/>
  <c r="P16" i="48"/>
  <c r="Q16" i="48" s="1"/>
  <c r="T16" i="48"/>
  <c r="U16" i="48" s="1"/>
  <c r="X16" i="48"/>
  <c r="Y16" i="48" s="1"/>
  <c r="AB16" i="48"/>
  <c r="AC16" i="48" s="1"/>
  <c r="AF16" i="48"/>
  <c r="AG16" i="48" s="1"/>
  <c r="AJ16" i="48"/>
  <c r="AK16" i="48" s="1"/>
  <c r="AN16" i="48"/>
  <c r="AO16" i="48" s="1"/>
  <c r="H8" i="48"/>
  <c r="I8" i="48" s="1"/>
  <c r="L8" i="48"/>
  <c r="M8" i="48" s="1"/>
  <c r="P8" i="48"/>
  <c r="Q8" i="48" s="1"/>
  <c r="T8" i="48"/>
  <c r="U8" i="48" s="1"/>
  <c r="X8" i="48"/>
  <c r="Y8" i="48" s="1"/>
  <c r="AB8" i="48"/>
  <c r="AC8" i="48" s="1"/>
  <c r="AF8" i="48"/>
  <c r="AG8" i="48" s="1"/>
  <c r="AJ8" i="48"/>
  <c r="AK8" i="48" s="1"/>
  <c r="AN8" i="48"/>
  <c r="AO8" i="48" s="1"/>
  <c r="H7" i="48"/>
  <c r="I7" i="48" s="1"/>
  <c r="L7" i="48"/>
  <c r="M7" i="48" s="1"/>
  <c r="P7" i="48"/>
  <c r="Q7" i="48" s="1"/>
  <c r="T7" i="48"/>
  <c r="U7" i="48" s="1"/>
  <c r="X7" i="48"/>
  <c r="Y7" i="48" s="1"/>
  <c r="AB7" i="48"/>
  <c r="AC7" i="48" s="1"/>
  <c r="AF7" i="48"/>
  <c r="AG7" i="48" s="1"/>
  <c r="AJ7" i="48"/>
  <c r="AK7" i="48" s="1"/>
  <c r="AN7" i="48"/>
  <c r="AO7" i="48" s="1"/>
  <c r="H6" i="48"/>
  <c r="L6" i="48"/>
  <c r="M6" i="48" s="1"/>
  <c r="P6" i="48"/>
  <c r="Q6" i="48" s="1"/>
  <c r="T6" i="48"/>
  <c r="U6" i="48" s="1"/>
  <c r="X6" i="48"/>
  <c r="Y6" i="48" s="1"/>
  <c r="AB6" i="48"/>
  <c r="AC6" i="48" s="1"/>
  <c r="AF6" i="48"/>
  <c r="AG6" i="48" s="1"/>
  <c r="AJ6" i="48"/>
  <c r="AK6" i="48" s="1"/>
  <c r="AN6" i="48"/>
  <c r="AO6" i="48" s="1"/>
  <c r="H5" i="48"/>
  <c r="I5" i="48" s="1"/>
  <c r="L5" i="48"/>
  <c r="M5" i="48" s="1"/>
  <c r="P5" i="48"/>
  <c r="Q5" i="48" s="1"/>
  <c r="T5" i="48"/>
  <c r="U5" i="48" s="1"/>
  <c r="X5" i="48"/>
  <c r="Y5" i="48" s="1"/>
  <c r="AB5" i="48"/>
  <c r="AC5" i="48" s="1"/>
  <c r="AF5" i="48"/>
  <c r="AG5" i="48" s="1"/>
  <c r="AJ5" i="48"/>
  <c r="AK5" i="48" s="1"/>
  <c r="AN5" i="48"/>
  <c r="AO5" i="48" s="1"/>
  <c r="D5" i="48"/>
  <c r="D6" i="48"/>
  <c r="D7" i="48"/>
  <c r="D8" i="48"/>
  <c r="D9" i="48"/>
  <c r="D10" i="48"/>
  <c r="D11" i="48"/>
  <c r="D12" i="48"/>
  <c r="D13" i="48"/>
  <c r="D14" i="48"/>
  <c r="D15" i="48"/>
  <c r="D16" i="48"/>
  <c r="P4" i="48"/>
  <c r="T4" i="48"/>
  <c r="X4" i="48"/>
  <c r="AB4" i="48"/>
  <c r="AF4" i="48"/>
  <c r="AJ4" i="48"/>
  <c r="AK4" i="48" s="1"/>
  <c r="AN4" i="48"/>
  <c r="AO4" i="48" s="1"/>
  <c r="H4" i="48"/>
  <c r="I4" i="48" s="1"/>
  <c r="L4" i="48"/>
  <c r="D4" i="48"/>
  <c r="AF17" i="48" l="1"/>
  <c r="AG4" i="48"/>
  <c r="AG17" i="48" s="1"/>
  <c r="D24" i="48"/>
  <c r="E24" i="48" s="1"/>
  <c r="E5" i="48"/>
  <c r="E6" i="48"/>
  <c r="D25" i="48"/>
  <c r="E25" i="48" s="1"/>
  <c r="AB17" i="48"/>
  <c r="AC4" i="48"/>
  <c r="AC17" i="48" s="1"/>
  <c r="E14" i="48"/>
  <c r="D33" i="48"/>
  <c r="E33" i="48" s="1"/>
  <c r="E13" i="48"/>
  <c r="D32" i="48"/>
  <c r="E32" i="48" s="1"/>
  <c r="E12" i="48"/>
  <c r="D31" i="48"/>
  <c r="E31" i="48" s="1"/>
  <c r="Y4" i="48"/>
  <c r="Y17" i="48" s="1"/>
  <c r="X17" i="48"/>
  <c r="E11" i="48"/>
  <c r="D30" i="48"/>
  <c r="E30" i="48" s="1"/>
  <c r="H17" i="48"/>
  <c r="I6" i="48"/>
  <c r="I17" i="48" s="1"/>
  <c r="E4" i="48"/>
  <c r="D23" i="48"/>
  <c r="E23" i="48" s="1"/>
  <c r="D17" i="48"/>
  <c r="U4" i="48"/>
  <c r="U17" i="48" s="1"/>
  <c r="T17" i="48"/>
  <c r="E10" i="48"/>
  <c r="D29" i="48"/>
  <c r="E29" i="48" s="1"/>
  <c r="M4" i="48"/>
  <c r="M17" i="48" s="1"/>
  <c r="L17" i="48"/>
  <c r="P17" i="48"/>
  <c r="Q4" i="48"/>
  <c r="Q17" i="48" s="1"/>
  <c r="D28" i="48"/>
  <c r="E28" i="48" s="1"/>
  <c r="E9" i="48"/>
  <c r="D35" i="48"/>
  <c r="E35" i="48" s="1"/>
  <c r="E16" i="48"/>
  <c r="D27" i="48"/>
  <c r="E27" i="48" s="1"/>
  <c r="E8" i="48"/>
  <c r="E15" i="48"/>
  <c r="D34" i="48"/>
  <c r="E34" i="48" s="1"/>
  <c r="D26" i="48"/>
  <c r="E26" i="48" s="1"/>
  <c r="E7" i="48"/>
  <c r="AJ17" i="48"/>
  <c r="AK17" i="48" s="1"/>
  <c r="AV17" i="48"/>
  <c r="AW17" i="48" s="1"/>
  <c r="AR17" i="48"/>
  <c r="AN17" i="48"/>
  <c r="AO17" i="48" s="1"/>
  <c r="BH17" i="48"/>
  <c r="BI17" i="48" s="1"/>
  <c r="BD17" i="48"/>
  <c r="BE17" i="48" s="1"/>
  <c r="AZ17" i="48"/>
  <c r="BA17" i="48" s="1"/>
  <c r="M67" i="41"/>
  <c r="E17" i="48" l="1"/>
  <c r="E18" i="48" s="1"/>
  <c r="I18" i="48" s="1"/>
  <c r="M18" i="48" s="1"/>
  <c r="Q18" i="48" s="1"/>
  <c r="U18" i="48" s="1"/>
  <c r="Y18" i="48" s="1"/>
  <c r="AC18" i="48" s="1"/>
  <c r="AG18" i="48" s="1"/>
  <c r="AK18" i="48" s="1"/>
  <c r="AO18" i="48" s="1"/>
  <c r="AS17" i="48"/>
  <c r="D18" i="48"/>
  <c r="H18" i="48" s="1"/>
  <c r="L18" i="48" s="1"/>
  <c r="P18" i="48" s="1"/>
  <c r="T18" i="48" s="1"/>
  <c r="X18" i="48" s="1"/>
  <c r="AB18" i="48" s="1"/>
  <c r="AF18" i="48" s="1"/>
  <c r="AJ18" i="48" s="1"/>
  <c r="AN18" i="48" s="1"/>
  <c r="AR18" i="48" s="1"/>
  <c r="AV18" i="48" s="1"/>
  <c r="AZ18" i="48" s="1"/>
  <c r="BD18" i="48" s="1"/>
  <c r="BH18" i="48" s="1"/>
  <c r="D36" i="48"/>
  <c r="E36" i="48" s="1"/>
  <c r="AS18" i="48" l="1"/>
  <c r="AW18" i="48" s="1"/>
  <c r="BA18" i="48" s="1"/>
  <c r="BE18" i="48" s="1"/>
  <c r="BI18" i="48" s="1"/>
  <c r="AI204" i="42"/>
  <c r="AK204" i="42"/>
  <c r="AM204" i="42"/>
  <c r="M204" i="42"/>
  <c r="O204" i="42"/>
  <c r="Q204" i="42"/>
  <c r="S204" i="42"/>
  <c r="U204" i="42"/>
  <c r="W204" i="42"/>
  <c r="Y204" i="42"/>
  <c r="AA204" i="42"/>
  <c r="AC204" i="42"/>
  <c r="AE204" i="42"/>
  <c r="AG204" i="42"/>
  <c r="K204" i="42"/>
  <c r="AI56" i="42"/>
  <c r="AK56" i="42"/>
  <c r="AM56" i="42"/>
  <c r="M56" i="42"/>
  <c r="O56" i="42"/>
  <c r="Q56" i="42"/>
  <c r="S56" i="42"/>
  <c r="U56" i="42"/>
  <c r="W56" i="42"/>
  <c r="Y56" i="42"/>
  <c r="AA56" i="42"/>
  <c r="AC56" i="42"/>
  <c r="AE56" i="42"/>
  <c r="AG56" i="42"/>
  <c r="K56" i="42"/>
  <c r="AR20" i="42"/>
  <c r="AK99" i="42"/>
  <c r="AM99" i="42"/>
  <c r="M99" i="42"/>
  <c r="O99" i="42"/>
  <c r="Q99" i="42"/>
  <c r="S99" i="42"/>
  <c r="U99" i="42"/>
  <c r="W99" i="42"/>
  <c r="Y99" i="42"/>
  <c r="AA99" i="42"/>
  <c r="AC99" i="42"/>
  <c r="AE99" i="42"/>
  <c r="AG99" i="42"/>
  <c r="AI99" i="42"/>
  <c r="K99" i="42"/>
  <c r="J99" i="42"/>
  <c r="J20" i="42"/>
  <c r="AM245" i="42"/>
  <c r="AK245" i="42"/>
  <c r="AI245" i="42"/>
  <c r="AG245" i="42"/>
  <c r="AE245" i="42"/>
  <c r="W245" i="42"/>
  <c r="Y245" i="42"/>
  <c r="AA245" i="42"/>
  <c r="AC245" i="42"/>
  <c r="U245" i="42"/>
  <c r="S245" i="42"/>
  <c r="M245" i="42"/>
  <c r="O245" i="42"/>
  <c r="Q245" i="42"/>
  <c r="K245" i="42"/>
  <c r="J245" i="42"/>
  <c r="AM228" i="42"/>
  <c r="AK228" i="42"/>
  <c r="AE228" i="42"/>
  <c r="AI228" i="42"/>
  <c r="AG228" i="42"/>
  <c r="W228" i="42"/>
  <c r="Y228" i="42"/>
  <c r="AA228" i="42"/>
  <c r="AC228" i="42"/>
  <c r="U228" i="42"/>
  <c r="S228" i="42"/>
  <c r="M228" i="42"/>
  <c r="O228" i="42"/>
  <c r="Q228" i="42"/>
  <c r="K228" i="42"/>
  <c r="J228" i="42"/>
  <c r="AM214" i="42" l="1"/>
  <c r="AK214" i="42"/>
  <c r="AI214" i="42"/>
  <c r="AG214" i="42"/>
  <c r="AE214" i="42"/>
  <c r="AC214" i="42"/>
  <c r="W214" i="42"/>
  <c r="Y214" i="42"/>
  <c r="AA214" i="42"/>
  <c r="U214" i="42"/>
  <c r="S214" i="42"/>
  <c r="Q214" i="42"/>
  <c r="M214" i="42"/>
  <c r="O214" i="42"/>
  <c r="K214" i="42"/>
  <c r="J214" i="42"/>
  <c r="AM249" i="42" l="1"/>
  <c r="AK249" i="42"/>
  <c r="AI249" i="42"/>
  <c r="AG249" i="42"/>
  <c r="AE249" i="42"/>
  <c r="AC249" i="42"/>
  <c r="AA249" i="42"/>
  <c r="Y249" i="42"/>
  <c r="W249" i="42"/>
  <c r="U249" i="42"/>
  <c r="S249" i="42"/>
  <c r="Q249" i="42"/>
  <c r="O249" i="42"/>
  <c r="M249" i="42"/>
  <c r="K249" i="42"/>
  <c r="J249" i="42"/>
  <c r="J56" i="42" l="1"/>
  <c r="D6" i="41" l="1"/>
  <c r="D6" i="47" s="1"/>
  <c r="D7" i="41"/>
  <c r="D7" i="47" s="1"/>
  <c r="E7" i="41"/>
  <c r="E7" i="47" s="1"/>
  <c r="Q7" i="47" s="1"/>
  <c r="F7" i="41"/>
  <c r="F7" i="47" s="1"/>
  <c r="R7" i="47" s="1"/>
  <c r="G7" i="41"/>
  <c r="G7" i="47" s="1"/>
  <c r="S7" i="47" s="1"/>
  <c r="D9" i="41"/>
  <c r="D9" i="47" s="1"/>
  <c r="E9" i="41"/>
  <c r="E9" i="47" s="1"/>
  <c r="Q9" i="47" s="1"/>
  <c r="F9" i="41"/>
  <c r="F9" i="47" s="1"/>
  <c r="R9" i="47" s="1"/>
  <c r="G9" i="41"/>
  <c r="G9" i="47" s="1"/>
  <c r="S9" i="47" s="1"/>
  <c r="D11" i="41"/>
  <c r="D11" i="47" s="1"/>
  <c r="E11" i="41"/>
  <c r="E11" i="47" s="1"/>
  <c r="Q11" i="47" s="1"/>
  <c r="F11" i="41"/>
  <c r="F11" i="47" s="1"/>
  <c r="R11" i="47" s="1"/>
  <c r="G11" i="41"/>
  <c r="G11" i="47" s="1"/>
  <c r="S11" i="47" s="1"/>
  <c r="D12" i="41"/>
  <c r="D12" i="47" s="1"/>
  <c r="E12" i="41"/>
  <c r="E12" i="47" s="1"/>
  <c r="Q12" i="47" s="1"/>
  <c r="F12" i="41"/>
  <c r="F12" i="47" s="1"/>
  <c r="R12" i="47" s="1"/>
  <c r="G12" i="41"/>
  <c r="G12" i="47" s="1"/>
  <c r="S12" i="47" s="1"/>
  <c r="D13" i="41"/>
  <c r="D13" i="47" s="1"/>
  <c r="F13" i="41"/>
  <c r="F13" i="47" s="1"/>
  <c r="R13" i="47" s="1"/>
  <c r="D14" i="41"/>
  <c r="D14" i="47" s="1"/>
  <c r="E14" i="41"/>
  <c r="E14" i="47" s="1"/>
  <c r="Q14" i="47" s="1"/>
  <c r="G14" i="41"/>
  <c r="G14" i="47" s="1"/>
  <c r="S14" i="47" s="1"/>
  <c r="D15" i="41"/>
  <c r="D15" i="47" s="1"/>
  <c r="E15" i="41"/>
  <c r="E15" i="47" s="1"/>
  <c r="Q15" i="47" s="1"/>
  <c r="F15" i="41"/>
  <c r="F15" i="47" s="1"/>
  <c r="R15" i="47" s="1"/>
  <c r="G15" i="41"/>
  <c r="G15" i="47" s="1"/>
  <c r="S15" i="47" s="1"/>
  <c r="D16" i="41"/>
  <c r="D16" i="47" s="1"/>
  <c r="E16" i="41"/>
  <c r="E16" i="47" s="1"/>
  <c r="Q16" i="47" s="1"/>
  <c r="F16" i="41"/>
  <c r="F16" i="47" s="1"/>
  <c r="R16" i="47" s="1"/>
  <c r="G16" i="41"/>
  <c r="G16" i="47" s="1"/>
  <c r="S16" i="47" s="1"/>
  <c r="D18" i="41"/>
  <c r="D17" i="47" s="1"/>
  <c r="E18" i="41"/>
  <c r="E17" i="47" s="1"/>
  <c r="Q17" i="47" s="1"/>
  <c r="F18" i="41"/>
  <c r="F17" i="47" s="1"/>
  <c r="R17" i="47" s="1"/>
  <c r="G18" i="41"/>
  <c r="G17" i="47" s="1"/>
  <c r="S17" i="47" s="1"/>
  <c r="AM66" i="42"/>
  <c r="AK66" i="42"/>
  <c r="AI66" i="42"/>
  <c r="AG66" i="42"/>
  <c r="AE66" i="42"/>
  <c r="AC66" i="42"/>
  <c r="AA66" i="42"/>
  <c r="Y66" i="42"/>
  <c r="W66" i="42"/>
  <c r="U66" i="42"/>
  <c r="S66" i="42"/>
  <c r="Q66" i="42"/>
  <c r="O66" i="42"/>
  <c r="M66" i="42"/>
  <c r="K66" i="42"/>
  <c r="J66" i="42"/>
  <c r="AM46" i="42"/>
  <c r="AK46" i="42"/>
  <c r="AI46" i="42"/>
  <c r="AG46" i="42"/>
  <c r="AE46" i="42"/>
  <c r="AC46" i="42"/>
  <c r="AA46" i="42"/>
  <c r="Y46" i="42"/>
  <c r="W46" i="42"/>
  <c r="U46" i="42"/>
  <c r="S46" i="42"/>
  <c r="Q46" i="42"/>
  <c r="O46" i="42"/>
  <c r="M46" i="42"/>
  <c r="K46" i="42"/>
  <c r="J46" i="42"/>
  <c r="AM30" i="42"/>
  <c r="AK30" i="42"/>
  <c r="AI30" i="42"/>
  <c r="AG30" i="42"/>
  <c r="AE30" i="42"/>
  <c r="AC30" i="42"/>
  <c r="AA30" i="42"/>
  <c r="Y30" i="42"/>
  <c r="W30" i="42"/>
  <c r="U30" i="42"/>
  <c r="S30" i="42"/>
  <c r="Q30" i="42"/>
  <c r="O30" i="42"/>
  <c r="M30" i="42"/>
  <c r="K30" i="42"/>
  <c r="J30" i="42"/>
  <c r="G6" i="41"/>
  <c r="G6" i="47" s="1"/>
  <c r="S6" i="47" s="1"/>
  <c r="E6" i="41"/>
  <c r="E6" i="47" s="1"/>
  <c r="Q6" i="47" s="1"/>
  <c r="AM20" i="42"/>
  <c r="AK20" i="42"/>
  <c r="AI20" i="42"/>
  <c r="AG20" i="42"/>
  <c r="AE20" i="42"/>
  <c r="AC20" i="42"/>
  <c r="AA20" i="42"/>
  <c r="Y20" i="42"/>
  <c r="W20" i="42"/>
  <c r="U20" i="42"/>
  <c r="S20" i="42"/>
  <c r="Q20" i="42"/>
  <c r="O20" i="42"/>
  <c r="M20" i="42"/>
  <c r="K20" i="42"/>
  <c r="H17" i="47" l="1"/>
  <c r="P17" i="47"/>
  <c r="T17" i="47" s="1"/>
  <c r="H15" i="47"/>
  <c r="P15" i="47"/>
  <c r="T15" i="47" s="1"/>
  <c r="P12" i="47"/>
  <c r="T12" i="47" s="1"/>
  <c r="H12" i="47"/>
  <c r="H9" i="47"/>
  <c r="P9" i="47"/>
  <c r="T9" i="47" s="1"/>
  <c r="P14" i="47"/>
  <c r="H16" i="47"/>
  <c r="P16" i="47"/>
  <c r="T16" i="47" s="1"/>
  <c r="P13" i="47"/>
  <c r="P11" i="47"/>
  <c r="T11" i="47" s="1"/>
  <c r="H11" i="47"/>
  <c r="H7" i="47"/>
  <c r="P7" i="47"/>
  <c r="T7" i="47" s="1"/>
  <c r="P6" i="47"/>
  <c r="G13" i="41"/>
  <c r="G13" i="47" s="1"/>
  <c r="S13" i="47" s="1"/>
  <c r="F6" i="41"/>
  <c r="G8" i="41"/>
  <c r="G8" i="47" s="1"/>
  <c r="S8" i="47" s="1"/>
  <c r="F8" i="41"/>
  <c r="F8" i="47" s="1"/>
  <c r="R8" i="47" s="1"/>
  <c r="D8" i="41"/>
  <c r="D8" i="47" s="1"/>
  <c r="E8" i="41"/>
  <c r="E8" i="47" s="1"/>
  <c r="Q8" i="47" s="1"/>
  <c r="D5" i="41"/>
  <c r="H15" i="41"/>
  <c r="AT15" i="41" s="1"/>
  <c r="H7" i="41"/>
  <c r="AT7" i="41" s="1"/>
  <c r="E13" i="41"/>
  <c r="E13" i="47" s="1"/>
  <c r="Q13" i="47" s="1"/>
  <c r="H16" i="41"/>
  <c r="AT16" i="41" s="1"/>
  <c r="H18" i="41"/>
  <c r="AT18" i="41" s="1"/>
  <c r="H11" i="41"/>
  <c r="AT11" i="41" s="1"/>
  <c r="H9" i="41"/>
  <c r="AT9" i="41" s="1"/>
  <c r="H12" i="41"/>
  <c r="AT12" i="41" s="1"/>
  <c r="AO20" i="42"/>
  <c r="AO250" i="42" s="1"/>
  <c r="D5" i="47" l="1"/>
  <c r="P5" i="47" s="1"/>
  <c r="H6" i="41"/>
  <c r="AT6" i="41" s="1"/>
  <c r="F6" i="47"/>
  <c r="H13" i="47"/>
  <c r="T13" i="47"/>
  <c r="H8" i="47"/>
  <c r="P8" i="47"/>
  <c r="T8" i="47" s="1"/>
  <c r="H13" i="41"/>
  <c r="AT13" i="41" s="1"/>
  <c r="H8" i="41"/>
  <c r="AT8" i="41" s="1"/>
  <c r="R6" i="47" l="1"/>
  <c r="T6" i="47" s="1"/>
  <c r="H6" i="47"/>
  <c r="J204" i="42"/>
  <c r="F5" i="41"/>
  <c r="AM122" i="42"/>
  <c r="AM250" i="42" s="1"/>
  <c r="AK122" i="42"/>
  <c r="AK250" i="42" s="1"/>
  <c r="AI122" i="42"/>
  <c r="AI250" i="42" s="1"/>
  <c r="AG122" i="42"/>
  <c r="AG250" i="42" s="1"/>
  <c r="AE122" i="42"/>
  <c r="AE250" i="42" s="1"/>
  <c r="AC122" i="42"/>
  <c r="AC250" i="42" s="1"/>
  <c r="AA122" i="42"/>
  <c r="AA250" i="42" s="1"/>
  <c r="Y122" i="42"/>
  <c r="W122" i="42"/>
  <c r="U122" i="42"/>
  <c r="S122" i="42"/>
  <c r="Q122" i="42"/>
  <c r="O122" i="42"/>
  <c r="M122" i="42"/>
  <c r="K122" i="42"/>
  <c r="J122" i="42"/>
  <c r="F5" i="47" l="1"/>
  <c r="R5" i="47" s="1"/>
  <c r="S250" i="42"/>
  <c r="U250" i="42"/>
  <c r="Y250" i="42"/>
  <c r="W250" i="42"/>
  <c r="D10" i="41"/>
  <c r="D21" i="41" s="1"/>
  <c r="G5" i="41"/>
  <c r="M250" i="42"/>
  <c r="M251" i="42" s="1"/>
  <c r="N252" i="42" s="1"/>
  <c r="O250" i="42"/>
  <c r="Q250" i="42"/>
  <c r="J250" i="42"/>
  <c r="E10" i="41"/>
  <c r="E10" i="47" s="1"/>
  <c r="Q10" i="47" s="1"/>
  <c r="F10" i="41"/>
  <c r="F10" i="47" s="1"/>
  <c r="R10" i="47" s="1"/>
  <c r="G10" i="41"/>
  <c r="G10" i="47" s="1"/>
  <c r="S10" i="47" s="1"/>
  <c r="G21" i="41" l="1"/>
  <c r="G5" i="47"/>
  <c r="S5" i="47" s="1"/>
  <c r="S18" i="47" s="1"/>
  <c r="D10" i="47"/>
  <c r="H10" i="41"/>
  <c r="AT10" i="41" s="1"/>
  <c r="G18" i="47" l="1"/>
  <c r="P10" i="47"/>
  <c r="H10" i="47"/>
  <c r="D18" i="47"/>
  <c r="E5" i="41"/>
  <c r="E21" i="41" s="1"/>
  <c r="F14" i="41"/>
  <c r="F21" i="41" s="1"/>
  <c r="E5" i="47" l="1"/>
  <c r="Q5" i="47" s="1"/>
  <c r="F14" i="47"/>
  <c r="H14" i="47" s="1"/>
  <c r="T10" i="47"/>
  <c r="P18" i="47"/>
  <c r="H14" i="41"/>
  <c r="AT14" i="41" s="1"/>
  <c r="H5" i="41"/>
  <c r="H21" i="41" l="1"/>
  <c r="I20" i="41" s="1"/>
  <c r="F18" i="47"/>
  <c r="R14" i="47"/>
  <c r="T14" i="47" s="1"/>
  <c r="E18" i="47"/>
  <c r="H5" i="47"/>
  <c r="H18" i="47" s="1"/>
  <c r="AT5" i="41"/>
  <c r="Q18" i="47"/>
  <c r="T5" i="47"/>
  <c r="R18" i="47" l="1"/>
  <c r="T18" i="47" s="1"/>
  <c r="I17" i="41"/>
  <c r="I19" i="41"/>
  <c r="I14" i="41"/>
  <c r="AT21" i="41"/>
  <c r="AQ22" i="41"/>
  <c r="I9" i="41"/>
  <c r="I7" i="41"/>
  <c r="I11" i="41"/>
  <c r="I16" i="41"/>
  <c r="I18" i="41"/>
  <c r="I15" i="41"/>
  <c r="I6" i="41"/>
  <c r="I12" i="41"/>
  <c r="I13" i="41"/>
  <c r="I8" i="41"/>
  <c r="I10" i="41"/>
  <c r="I5" i="41"/>
  <c r="K250" i="42"/>
  <c r="K251" i="42" s="1"/>
  <c r="L252" i="42" s="1"/>
  <c r="R5" i="41" l="1"/>
  <c r="R21" i="41" s="1"/>
  <c r="AR26" i="41"/>
  <c r="AR42" i="41" s="1"/>
  <c r="AQ20" i="42"/>
  <c r="AQ250" i="42" s="1"/>
  <c r="P20" i="42"/>
  <c r="P250" i="42" s="1"/>
  <c r="R48" i="41" l="1"/>
  <c r="R64" i="41" s="1"/>
  <c r="AS26" i="41"/>
  <c r="AS42" i="41" s="1"/>
  <c r="AP20" i="42"/>
  <c r="AP250" i="42" s="1"/>
  <c r="AR5" i="41"/>
  <c r="AR21" i="41" s="1"/>
  <c r="R65" i="41" l="1"/>
  <c r="AR65" i="41" s="1"/>
  <c r="AS65" i="41" s="1"/>
  <c r="AR48" i="41"/>
  <c r="AR64" i="41" s="1"/>
  <c r="AS5" i="41"/>
  <c r="AS21" i="41" s="1"/>
  <c r="R66" i="41" l="1"/>
  <c r="AR66" i="41" s="1"/>
  <c r="AS66" i="41" s="1"/>
  <c r="AS67" i="41" s="1"/>
  <c r="AS48" i="41"/>
  <c r="AS64" i="41" s="1"/>
  <c r="R67" i="41"/>
  <c r="AR67" i="4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tc={87C85122-0094-40BE-B266-2E84153F275A}</author>
    <author>tc={CB2E7991-4375-49D9-8892-9C5A6A1D46C0}</author>
    <author>tc={C83385FB-199A-482B-B7ED-1B78E40A64EB}</author>
  </authors>
  <commentList>
    <comment ref="AI4" authorId="0" shapeId="0" xr:uid="{00000000-0006-0000-0400-000001000000}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2026.02.14~18 구정연휴</t>
        </r>
      </text>
    </comment>
    <comment ref="L13" authorId="1" shapeId="0" xr:uid="{00000000-0006-0000-0400-000002000000}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2/4(화),2/5 (수)</t>
        </r>
      </text>
    </comment>
    <comment ref="L14" authorId="2" shapeId="0" xr:uid="{00000000-0006-0000-0400-000003000000}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2/4, 2/5, 2/10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tc={E632D644-9C3C-40CA-925C-404D1B39AC3C}</author>
  </authors>
  <commentList>
    <comment ref="Y5" authorId="0" shapeId="0" xr:uid="{00000000-0006-0000-0700-000001000000}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2026.02.14~18 구정연휴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tc={87C85122-0094-40BE-B266-2E84153F275A}</author>
    <author>tc={CB2E7991-4375-49D9-8892-9C5A6A1D46C0}</author>
    <author>tc={C83385FB-199A-482B-B7ED-1B78E40A64EB}</author>
  </authors>
  <commentList>
    <comment ref="AI4" authorId="0" shapeId="0" xr:uid="{00000000-0006-0000-0900-000001000000}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2026.02.14~18 구정연휴</t>
        </r>
      </text>
    </comment>
    <comment ref="L12" authorId="1" shapeId="0" xr:uid="{00000000-0006-0000-0900-000002000000}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2/4(화),2/5 (수)</t>
        </r>
      </text>
    </comment>
    <comment ref="L13" authorId="2" shapeId="0" xr:uid="{00000000-0006-0000-0900-000003000000}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2/4, 2/5, 2/10</t>
        </r>
      </text>
    </comment>
  </commentList>
</comments>
</file>

<file path=xl/sharedStrings.xml><?xml version="1.0" encoding="utf-8"?>
<sst xmlns="http://schemas.openxmlformats.org/spreadsheetml/2006/main" count="3955" uniqueCount="1043">
  <si>
    <t>M+1</t>
    <phoneticPr fontId="5" type="noConversion"/>
  </si>
  <si>
    <t>M+2</t>
    <phoneticPr fontId="5" type="noConversion"/>
  </si>
  <si>
    <t>M+3</t>
    <phoneticPr fontId="5" type="noConversion"/>
  </si>
  <si>
    <t>M+4</t>
    <phoneticPr fontId="5" type="noConversion"/>
  </si>
  <si>
    <t>소계</t>
    <phoneticPr fontId="5" type="noConversion"/>
  </si>
  <si>
    <t>중분류</t>
    <phoneticPr fontId="5" type="noConversion"/>
  </si>
  <si>
    <t>M+5</t>
    <phoneticPr fontId="5" type="noConversion"/>
  </si>
  <si>
    <t>M+6</t>
    <phoneticPr fontId="5" type="noConversion"/>
  </si>
  <si>
    <t>M+7</t>
    <phoneticPr fontId="5" type="noConversion"/>
  </si>
  <si>
    <t>M+8</t>
    <phoneticPr fontId="5" type="noConversion"/>
  </si>
  <si>
    <t>M+9</t>
    <phoneticPr fontId="5" type="noConversion"/>
  </si>
  <si>
    <t>M+10</t>
    <phoneticPr fontId="5" type="noConversion"/>
  </si>
  <si>
    <t>등급</t>
    <phoneticPr fontId="1" type="noConversion"/>
  </si>
  <si>
    <t>특급</t>
    <phoneticPr fontId="1" type="noConversion"/>
  </si>
  <si>
    <t>M+11</t>
    <phoneticPr fontId="5" type="noConversion"/>
  </si>
  <si>
    <t>M+12</t>
    <phoneticPr fontId="5" type="noConversion"/>
  </si>
  <si>
    <t>소계</t>
    <phoneticPr fontId="1" type="noConversion"/>
  </si>
  <si>
    <t>kt ds</t>
    <phoneticPr fontId="1" type="noConversion"/>
  </si>
  <si>
    <t>PM</t>
    <phoneticPr fontId="1" type="noConversion"/>
  </si>
  <si>
    <t>고급</t>
    <phoneticPr fontId="1" type="noConversion"/>
  </si>
  <si>
    <t>UI / UX</t>
    <phoneticPr fontId="1" type="noConversion"/>
  </si>
  <si>
    <t>중급</t>
    <phoneticPr fontId="1" type="noConversion"/>
  </si>
  <si>
    <t>초급</t>
    <phoneticPr fontId="1" type="noConversion"/>
  </si>
  <si>
    <t>분석/설계</t>
    <phoneticPr fontId="1" type="noConversion"/>
  </si>
  <si>
    <t>PL</t>
    <phoneticPr fontId="1" type="noConversion"/>
  </si>
  <si>
    <t>SA(보안)</t>
    <phoneticPr fontId="1" type="noConversion"/>
  </si>
  <si>
    <t>M+13</t>
    <phoneticPr fontId="5" type="noConversion"/>
  </si>
  <si>
    <t>M+14</t>
    <phoneticPr fontId="5" type="noConversion"/>
  </si>
  <si>
    <t>M+15</t>
    <phoneticPr fontId="5" type="noConversion"/>
  </si>
  <si>
    <t>12월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</si>
  <si>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</si>
  <si>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</si>
  <si>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</si>
  <si>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</si>
  <si>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개발 및 단위테스트</t>
    <phoneticPr fontId="1" type="noConversion"/>
  </si>
  <si>
    <t>통합테스트</t>
    <phoneticPr fontId="1" type="noConversion"/>
  </si>
  <si>
    <t>프로젝트관리</t>
    <phoneticPr fontId="1" type="noConversion"/>
  </si>
  <si>
    <t>성능 테스트</t>
    <phoneticPr fontId="1" type="noConversion"/>
  </si>
  <si>
    <t>TA</t>
    <phoneticPr fontId="1" type="noConversion"/>
  </si>
  <si>
    <t>데이터 이행 및 모델링</t>
    <phoneticPr fontId="1" type="noConversion"/>
  </si>
  <si>
    <t>투비소프트</t>
    <phoneticPr fontId="1" type="noConversion"/>
  </si>
  <si>
    <t>골든플래닛</t>
    <phoneticPr fontId="1" type="noConversion"/>
  </si>
  <si>
    <t>고급</t>
  </si>
  <si>
    <t>초급</t>
  </si>
  <si>
    <t>추가</t>
    <phoneticPr fontId="1" type="noConversion"/>
  </si>
  <si>
    <t>투입인력</t>
    <phoneticPr fontId="1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</si>
  <si>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</si>
  <si>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</si>
  <si>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</si>
  <si>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</si>
  <si>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</si>
  <si>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</si>
  <si>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</si>
  <si>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</si>
  <si>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</si>
  <si>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정산/회계 영역</t>
    <phoneticPr fontId="1" type="noConversion"/>
  </si>
  <si>
    <t>바이널씨</t>
    <phoneticPr fontId="1" type="noConversion"/>
  </si>
  <si>
    <t>커머스웨어</t>
    <phoneticPr fontId="1" type="noConversion"/>
  </si>
  <si>
    <t>씨엔씨네트웍스</t>
    <phoneticPr fontId="1" type="noConversion"/>
  </si>
  <si>
    <t>A&amp;T</t>
    <phoneticPr fontId="1" type="noConversion"/>
  </si>
  <si>
    <t>오브젠</t>
    <phoneticPr fontId="1" type="noConversion"/>
  </si>
  <si>
    <t>플레이투게더</t>
    <phoneticPr fontId="1" type="noConversion"/>
  </si>
  <si>
    <t>수행사</t>
    <phoneticPr fontId="1" type="noConversion"/>
  </si>
  <si>
    <t>대응개발</t>
    <phoneticPr fontId="1" type="noConversion"/>
  </si>
  <si>
    <t>오픈/안정화</t>
    <phoneticPr fontId="1" type="noConversion"/>
  </si>
  <si>
    <t>Front(A)</t>
    <phoneticPr fontId="1" type="noConversion"/>
  </si>
  <si>
    <t>Back Office(B)</t>
    <phoneticPr fontId="1" type="noConversion"/>
  </si>
  <si>
    <t>DB제휴(C )</t>
    <phoneticPr fontId="1" type="noConversion"/>
  </si>
  <si>
    <t>O4O (D)
(캠페인/프로모션/쿠폰/서비스</t>
    <phoneticPr fontId="1" type="noConversion"/>
  </si>
  <si>
    <t>협력사</t>
    <phoneticPr fontId="1" type="noConversion"/>
  </si>
  <si>
    <t>인터페이스</t>
    <phoneticPr fontId="1" type="noConversion"/>
  </si>
  <si>
    <t>개발2그룹PL (FO)</t>
    <phoneticPr fontId="1" type="noConversion"/>
  </si>
  <si>
    <t>개발3그룹PL (BO)</t>
    <phoneticPr fontId="1" type="noConversion"/>
  </si>
  <si>
    <t>개발1그룹PL (FO)</t>
    <phoneticPr fontId="1" type="noConversion"/>
  </si>
  <si>
    <t>TBD</t>
    <phoneticPr fontId="1" type="noConversion"/>
  </si>
  <si>
    <t>대분류</t>
    <phoneticPr fontId="5" type="noConversion"/>
  </si>
  <si>
    <t>캠페인 - 프로젝트관리 - 범위관리, 위험관리, 의사소통관리</t>
    <phoneticPr fontId="1" type="noConversion"/>
  </si>
  <si>
    <t>특급</t>
  </si>
  <si>
    <t>캠페인 -공통 업무(DRM, 단축 URL, 컨텐츠 연결, SFTP 등) 개발</t>
    <phoneticPr fontId="1" type="noConversion"/>
  </si>
  <si>
    <t>캠페인 -캠페인 프로세스 분석/설계</t>
    <phoneticPr fontId="1" type="noConversion"/>
  </si>
  <si>
    <t>캠페인 -캠페인 업무 화면 개발</t>
    <phoneticPr fontId="1" type="noConversion"/>
  </si>
  <si>
    <t>캠페인 -메시지 및 오퍼 채널 인터페이스 설계/개발</t>
    <phoneticPr fontId="1" type="noConversion"/>
  </si>
  <si>
    <t>캠페인 -통합 캘린더, 피로도, 고객군, 마케팅 비용 등 연계 개발</t>
    <phoneticPr fontId="1" type="noConversion"/>
  </si>
  <si>
    <t>캠페인 -타겟팅 및 결과 마트 모델링</t>
    <phoneticPr fontId="1" type="noConversion"/>
  </si>
  <si>
    <t>캠페인 -타겟팅 및 결과 마트 ETL 개발</t>
    <phoneticPr fontId="1" type="noConversion"/>
  </si>
  <si>
    <t>D/W - DM 구축 리딩</t>
    <phoneticPr fontId="1" type="noConversion"/>
  </si>
  <si>
    <t>D/W -초기 데이터 이관 to To-Be DM</t>
    <phoneticPr fontId="1" type="noConversion"/>
  </si>
  <si>
    <t>D/W -세그먼트 DM과 피로도관리 DM 으로 수집 및 ODS로 제공</t>
    <phoneticPr fontId="1" type="noConversion"/>
  </si>
  <si>
    <t>D/W -세그먼트 DM과 피로도관리 DM 구성 및 준실시간성 제공을 위해 ODS로 적재</t>
    <phoneticPr fontId="1" type="noConversion"/>
  </si>
  <si>
    <t>개인정보영향평가</t>
    <phoneticPr fontId="1" type="noConversion"/>
  </si>
  <si>
    <t>SGSecurity</t>
    <phoneticPr fontId="1" type="noConversion"/>
  </si>
  <si>
    <t>취약점진단/모의해킹</t>
    <phoneticPr fontId="1" type="noConversion"/>
  </si>
  <si>
    <t xml:space="preserve">DBA </t>
    <phoneticPr fontId="1" type="noConversion"/>
  </si>
  <si>
    <t>비플컨설팅</t>
    <phoneticPr fontId="1" type="noConversion"/>
  </si>
  <si>
    <t>DB 성능 튜닝</t>
    <phoneticPr fontId="1" type="noConversion"/>
  </si>
  <si>
    <t>매핑정의서관리, 검증, 데이터 이행 실행 SQL 생성
(1인당 약 500개 테이블 담당)</t>
    <phoneticPr fontId="1" type="noConversion"/>
  </si>
  <si>
    <t>데이터이행 및 검증 자동화 프로그램
개발 및 모니터링</t>
    <phoneticPr fontId="1" type="noConversion"/>
  </si>
  <si>
    <t xml:space="preserve">테스트 도구/관리 </t>
    <phoneticPr fontId="1" type="noConversion"/>
  </si>
  <si>
    <t>IOS/Android 단말테스트 (Up-tempo)</t>
    <phoneticPr fontId="1" type="noConversion"/>
  </si>
  <si>
    <t>GA 분석/설계/개발</t>
    <phoneticPr fontId="1" type="noConversion"/>
  </si>
  <si>
    <t>MSTR</t>
    <phoneticPr fontId="1" type="noConversion"/>
  </si>
  <si>
    <t>kt ds</t>
  </si>
  <si>
    <t>이너웨이브</t>
  </si>
  <si>
    <t>비고</t>
    <phoneticPr fontId="5" type="noConversion"/>
  </si>
  <si>
    <t>- UI/UX
- 웹빌드/CMS</t>
    <phoneticPr fontId="1" type="noConversion"/>
  </si>
  <si>
    <t>- 마케팅
- 전시/검색
- 상품
- 해외브랜드</t>
    <phoneticPr fontId="1" type="noConversion"/>
  </si>
  <si>
    <t>- 마케팅(프로모션/쿠폰 등)
- 전시/검색 영역
- 상품 영역
- 주문 영역
- 상담원
- O4O</t>
    <phoneticPr fontId="1" type="noConversion"/>
  </si>
  <si>
    <t>수행사PL</t>
    <phoneticPr fontId="1" type="noConversion"/>
  </si>
  <si>
    <t>Native - Android</t>
    <phoneticPr fontId="1" type="noConversion"/>
  </si>
  <si>
    <t>native - iOS</t>
    <phoneticPr fontId="1" type="noConversion"/>
  </si>
  <si>
    <t>전시/검색 PL</t>
    <phoneticPr fontId="1" type="noConversion"/>
  </si>
  <si>
    <t>공통 개발</t>
    <phoneticPr fontId="1" type="noConversion"/>
  </si>
  <si>
    <t>공통 개발</t>
  </si>
  <si>
    <t>회원 개발</t>
  </si>
  <si>
    <t>마케팅(프로모션/쿠폰/교차할인 등) 개발</t>
  </si>
  <si>
    <t>전시/검색 개발</t>
  </si>
  <si>
    <t>상품 개발</t>
  </si>
  <si>
    <t>주문 개발</t>
  </si>
  <si>
    <t>점 기반 서비스 개발</t>
  </si>
  <si>
    <t>상담원 개발</t>
  </si>
  <si>
    <t>OPEN API 개발</t>
  </si>
  <si>
    <t>배치 개발</t>
  </si>
  <si>
    <t>인프라 취약점진단</t>
    <phoneticPr fontId="1" type="noConversion"/>
  </si>
  <si>
    <t>M4</t>
    <phoneticPr fontId="1" type="noConversion"/>
  </si>
  <si>
    <t>M5</t>
    <phoneticPr fontId="1" type="noConversion"/>
  </si>
  <si>
    <t>M2</t>
    <phoneticPr fontId="1" type="noConversion"/>
  </si>
  <si>
    <t>M3</t>
    <phoneticPr fontId="1" type="noConversion"/>
  </si>
  <si>
    <t>M1</t>
    <phoneticPr fontId="1" type="noConversion"/>
  </si>
  <si>
    <t>상품 PL -&gt; 삭제</t>
    <phoneticPr fontId="1" type="noConversion"/>
  </si>
  <si>
    <t>VRB 상품 변경</t>
    <phoneticPr fontId="1" type="noConversion"/>
  </si>
  <si>
    <t>kt ds + 협력사</t>
    <phoneticPr fontId="1" type="noConversion"/>
  </si>
  <si>
    <t>BO 업무 통합 리딩</t>
    <phoneticPr fontId="1" type="noConversion"/>
  </si>
  <si>
    <t>현장 대리인(F/O 리더)</t>
    <phoneticPr fontId="1" type="noConversion"/>
  </si>
  <si>
    <t>kt ds 로 변경</t>
    <phoneticPr fontId="1" type="noConversion"/>
  </si>
  <si>
    <t>상품 개발 -&gt; kt ds</t>
    <phoneticPr fontId="1" type="noConversion"/>
  </si>
  <si>
    <t>주문 개발 -&gt; kt ds</t>
    <phoneticPr fontId="1" type="noConversion"/>
  </si>
  <si>
    <t>상담원 개발 -&gt; kt ds</t>
    <phoneticPr fontId="1" type="noConversion"/>
  </si>
  <si>
    <t>kt ds로 변경</t>
    <phoneticPr fontId="1" type="noConversion"/>
  </si>
  <si>
    <t>배치 개발 -&gt; kt ds</t>
    <phoneticPr fontId="1" type="noConversion"/>
  </si>
  <si>
    <t>DBA/이행</t>
    <phoneticPr fontId="1" type="noConversion"/>
  </si>
  <si>
    <t>물류 PL</t>
    <phoneticPr fontId="1" type="noConversion"/>
  </si>
  <si>
    <t>PL 그룹</t>
    <phoneticPr fontId="1" type="noConversion"/>
  </si>
  <si>
    <t>DB제휴</t>
    <phoneticPr fontId="1" type="noConversion"/>
  </si>
  <si>
    <t>O4O</t>
    <phoneticPr fontId="1" type="noConversion"/>
  </si>
  <si>
    <t>해외브랜드</t>
    <phoneticPr fontId="1" type="noConversion"/>
  </si>
  <si>
    <t>전시/검색</t>
    <phoneticPr fontId="1" type="noConversion"/>
  </si>
  <si>
    <t xml:space="preserve">DA </t>
  </si>
  <si>
    <t>M4</t>
  </si>
  <si>
    <t>AA (어플리케이션 아키텍처)</t>
  </si>
  <si>
    <t>AA/공통</t>
  </si>
  <si>
    <t>M5</t>
  </si>
  <si>
    <t>CI/CD 파이프라인 구축 및 서비스 메쉬 구성</t>
  </si>
  <si>
    <t>등급 원복</t>
    <phoneticPr fontId="1" type="noConversion"/>
  </si>
  <si>
    <t>대응개발 분석/설계</t>
    <phoneticPr fontId="1" type="noConversion"/>
  </si>
  <si>
    <t>AA/공통 -&gt; PL</t>
    <phoneticPr fontId="1" type="noConversion"/>
  </si>
  <si>
    <t>DBA/이행 PL</t>
    <phoneticPr fontId="1" type="noConversion"/>
  </si>
  <si>
    <t>인터페이스 PL</t>
    <phoneticPr fontId="1" type="noConversion"/>
  </si>
  <si>
    <t>DB제휴 PL</t>
    <phoneticPr fontId="1" type="noConversion"/>
  </si>
  <si>
    <t>O4O PL</t>
    <phoneticPr fontId="1" type="noConversion"/>
  </si>
  <si>
    <t>총계</t>
    <phoneticPr fontId="1" type="noConversion"/>
  </si>
  <si>
    <t>NO</t>
    <phoneticPr fontId="1" type="noConversion"/>
  </si>
  <si>
    <t xml:space="preserve">DA가 일정 재확인 </t>
    <phoneticPr fontId="1" type="noConversion"/>
  </si>
  <si>
    <t>유시혁차장 일정 재확인</t>
    <phoneticPr fontId="1" type="noConversion"/>
  </si>
  <si>
    <t>라인분리</t>
    <phoneticPr fontId="1" type="noConversion"/>
  </si>
  <si>
    <t>비율</t>
    <phoneticPr fontId="1" type="noConversion"/>
  </si>
  <si>
    <t>사업관리 (계약, 보고서+ 일정수립)</t>
    <phoneticPr fontId="1" type="noConversion"/>
  </si>
  <si>
    <t>사업관리 (인원관리, 예약관리)</t>
    <phoneticPr fontId="1" type="noConversion"/>
  </si>
  <si>
    <t>품질/QA (산출물, 레드마인, 품질관리)</t>
    <phoneticPr fontId="1" type="noConversion"/>
  </si>
  <si>
    <t>이다은</t>
    <phoneticPr fontId="1" type="noConversion"/>
  </si>
  <si>
    <t>이남돌??</t>
    <phoneticPr fontId="1" type="noConversion"/>
  </si>
  <si>
    <t>대응개발(사은품, 주방관리, 푸드코드)</t>
    <phoneticPr fontId="1" type="noConversion"/>
  </si>
  <si>
    <t>POS 연계 -&gt; 공통과 공동진행</t>
    <phoneticPr fontId="1" type="noConversion"/>
  </si>
  <si>
    <t>4/13 현프로젝트 종료예정</t>
    <phoneticPr fontId="1" type="noConversion"/>
  </si>
  <si>
    <t>JIRA 세팅, 대시보드</t>
    <phoneticPr fontId="1" type="noConversion"/>
  </si>
  <si>
    <t>DevOps 설계 및 구축,(Centro-x),Red-hat Openshift</t>
    <phoneticPr fontId="1" type="noConversion"/>
  </si>
  <si>
    <t>TA-Red-hat Openshift</t>
    <phoneticPr fontId="1" type="noConversion"/>
  </si>
  <si>
    <t>Nexacro</t>
    <phoneticPr fontId="1" type="noConversion"/>
  </si>
  <si>
    <t>jsp</t>
    <phoneticPr fontId="1" type="noConversion"/>
  </si>
  <si>
    <t>2025.01 견적내용</t>
    <phoneticPr fontId="1" type="noConversion"/>
  </si>
  <si>
    <t xml:space="preserve">공통 PL </t>
    <phoneticPr fontId="1" type="noConversion"/>
  </si>
  <si>
    <t>전시/검색/상품 PL -&gt; B/O 파트리더</t>
    <phoneticPr fontId="1" type="noConversion"/>
  </si>
  <si>
    <t>분석/설계 업무 리딩</t>
    <phoneticPr fontId="1" type="noConversion"/>
  </si>
  <si>
    <t>박성준</t>
    <phoneticPr fontId="1" type="noConversion"/>
  </si>
  <si>
    <t xml:space="preserve">kt ds 로 변경 </t>
    <phoneticPr fontId="1" type="noConversion"/>
  </si>
  <si>
    <t>홍창기</t>
    <phoneticPr fontId="1" type="noConversion"/>
  </si>
  <si>
    <t>윤영민</t>
    <phoneticPr fontId="1" type="noConversion"/>
  </si>
  <si>
    <t>AA/공통 (Back End), Front-End?</t>
    <phoneticPr fontId="1" type="noConversion"/>
  </si>
  <si>
    <r>
      <t xml:space="preserve">퍼블리싱
</t>
    </r>
    <r>
      <rPr>
        <sz val="10"/>
        <color rgb="FFFF0000"/>
        <rFont val="맑은 고딕"/>
        <family val="3"/>
        <charset val="129"/>
      </rPr>
      <t xml:space="preserve">초기 Front 환경 구성
개발 Framework  구성 : 노수윤 차장님 지원예정 </t>
    </r>
    <phoneticPr fontId="1" type="noConversion"/>
  </si>
  <si>
    <t>자사투입</t>
    <phoneticPr fontId="1" type="noConversion"/>
  </si>
  <si>
    <t>PL/분석/설계</t>
    <phoneticPr fontId="1" type="noConversion"/>
  </si>
  <si>
    <t>분석/설계/개발</t>
    <phoneticPr fontId="1" type="noConversion"/>
  </si>
  <si>
    <t>설계/개발</t>
    <phoneticPr fontId="1" type="noConversion"/>
  </si>
  <si>
    <t>개발</t>
    <phoneticPr fontId="1" type="noConversion"/>
  </si>
  <si>
    <t>설계/개발</t>
  </si>
  <si>
    <t>DB제휴 PL</t>
    <phoneticPr fontId="18" type="noConversion"/>
  </si>
  <si>
    <t>제휴 API 연동 개발</t>
    <phoneticPr fontId="18" type="noConversion"/>
  </si>
  <si>
    <t>배치_DB제휴</t>
    <phoneticPr fontId="18" type="noConversion"/>
  </si>
  <si>
    <t>제휴, 제휴몰 관리 개발</t>
    <phoneticPr fontId="18" type="noConversion"/>
  </si>
  <si>
    <t>특급</t>
    <phoneticPr fontId="18" type="noConversion"/>
  </si>
  <si>
    <t>고급</t>
    <phoneticPr fontId="18" type="noConversion"/>
  </si>
  <si>
    <t>중급</t>
    <phoneticPr fontId="18" type="noConversion"/>
  </si>
  <si>
    <t xml:space="preserve">Framework Front Office 공통 영역, DS Core 설치, 배치스케쥴러 </t>
    <phoneticPr fontId="1" type="noConversion"/>
  </si>
  <si>
    <t>김민성차장(기술혁신단) - up-tempo 설치/사용문의</t>
    <phoneticPr fontId="1" type="noConversion"/>
  </si>
  <si>
    <t>인터페이스
(BEAST)</t>
    <phoneticPr fontId="1" type="noConversion"/>
  </si>
  <si>
    <t>유기태</t>
    <phoneticPr fontId="1" type="noConversion"/>
  </si>
  <si>
    <t>김경준</t>
    <phoneticPr fontId="1" type="noConversion"/>
  </si>
  <si>
    <t>권산</t>
    <phoneticPr fontId="1" type="noConversion"/>
  </si>
  <si>
    <t>이해준</t>
    <phoneticPr fontId="1" type="noConversion"/>
  </si>
  <si>
    <t>이상근</t>
    <phoneticPr fontId="1" type="noConversion"/>
  </si>
  <si>
    <t>김성민</t>
    <phoneticPr fontId="1" type="noConversion"/>
  </si>
  <si>
    <t>인터페이스총괄</t>
    <phoneticPr fontId="1" type="noConversion"/>
  </si>
  <si>
    <t>Backoffice focal</t>
    <phoneticPr fontId="1" type="noConversion"/>
  </si>
  <si>
    <t>대내외 인터페이스 분석/설계,사용자 인터페이스 분석/설계</t>
    <phoneticPr fontId="1" type="noConversion"/>
  </si>
  <si>
    <t>사용자 앱/웹 인증/인가 체계 설계,사용자 세션 인증/인가 체계 설계
대내외 시스템 인증/인가 분석/설계</t>
    <phoneticPr fontId="1" type="noConversion"/>
  </si>
  <si>
    <t>커넥터(Socket, FTP, XML, SOAP, BigQuery) 대체 인터페이스 분석/설계
표준 프로토콜/코드패턴 규격 설계</t>
    <phoneticPr fontId="1" type="noConversion"/>
  </si>
  <si>
    <t>커넥터(Socket, FTP, XML, SOAP, BigQuery) 모듈 개발</t>
    <phoneticPr fontId="1" type="noConversion"/>
  </si>
  <si>
    <t>API 관리 및 개발 지원</t>
    <phoneticPr fontId="1" type="noConversion"/>
  </si>
  <si>
    <t>텔레멘트리 체계기반 트랜잭션 로깅</t>
    <phoneticPr fontId="1" type="noConversion"/>
  </si>
  <si>
    <t>Swagger 기반 API 문서화,swagger 기반 postman Json파일 제공</t>
    <phoneticPr fontId="1" type="noConversion"/>
  </si>
  <si>
    <t>M+0</t>
    <phoneticPr fontId="5" type="noConversion"/>
  </si>
  <si>
    <t>월별투입(실투입)</t>
    <phoneticPr fontId="1" type="noConversion"/>
  </si>
  <si>
    <t>김지영(전략개발팀)</t>
    <phoneticPr fontId="1" type="noConversion"/>
  </si>
  <si>
    <t>정연욱차장(QA팀)</t>
    <phoneticPr fontId="1" type="noConversion"/>
  </si>
  <si>
    <t>이광용대리(QA팀)</t>
    <phoneticPr fontId="1" type="noConversion"/>
  </si>
  <si>
    <t>하윤정과장(UI/UX팀)</t>
    <phoneticPr fontId="1" type="noConversion"/>
  </si>
  <si>
    <t>최수연과장(UI/UX팀)</t>
    <phoneticPr fontId="1" type="noConversion"/>
  </si>
  <si>
    <t>신동민대리(솔루션개발팀)</t>
    <phoneticPr fontId="1" type="noConversion"/>
  </si>
  <si>
    <t>이경현대리(솔루션개발팀)</t>
    <phoneticPr fontId="1" type="noConversion"/>
  </si>
  <si>
    <t>유시혁차장(솔루션개발팀)</t>
    <phoneticPr fontId="1" type="noConversion"/>
  </si>
  <si>
    <t>이상민차장(아키텍처팀)</t>
    <phoneticPr fontId="1" type="noConversion"/>
  </si>
  <si>
    <t>이귀행부장(전략개발팀)</t>
    <phoneticPr fontId="1" type="noConversion"/>
  </si>
  <si>
    <t>전재기부장(아키텍처팀)</t>
    <phoneticPr fontId="1" type="noConversion"/>
  </si>
  <si>
    <t>고영석과장(보안사업팀)</t>
    <phoneticPr fontId="1" type="noConversion"/>
  </si>
  <si>
    <t>윤하림차장(Cloud사업1팀)</t>
    <phoneticPr fontId="1" type="noConversion"/>
  </si>
  <si>
    <t>최해용차장(전략개발팀)</t>
    <phoneticPr fontId="1" type="noConversion"/>
  </si>
  <si>
    <t>강신재부장(전략개발팀)</t>
    <phoneticPr fontId="1" type="noConversion"/>
  </si>
  <si>
    <t>주지선부장(전략사업팀)</t>
    <phoneticPr fontId="1" type="noConversion"/>
  </si>
  <si>
    <t>장영진부장(전략 AX BD팀)</t>
    <phoneticPr fontId="1" type="noConversion"/>
  </si>
  <si>
    <t>박순영부장(전략 AX BD팀)</t>
    <phoneticPr fontId="1" type="noConversion"/>
  </si>
  <si>
    <t>이상욱부장(QA팀)</t>
    <phoneticPr fontId="1" type="noConversion"/>
  </si>
  <si>
    <t>PC-UI공통개발</t>
    <phoneticPr fontId="1" type="noConversion"/>
  </si>
  <si>
    <t>모바일-UI공통개발</t>
    <phoneticPr fontId="1" type="noConversion"/>
  </si>
  <si>
    <t xml:space="preserve">          기획</t>
    <phoneticPr fontId="1" type="noConversion"/>
  </si>
  <si>
    <t xml:space="preserve">          디자인</t>
    <phoneticPr fontId="1" type="noConversion"/>
  </si>
  <si>
    <t xml:space="preserve">          퍼블리싱</t>
    <phoneticPr fontId="1" type="noConversion"/>
  </si>
  <si>
    <t>PC-전본 퍼블리싱</t>
    <phoneticPr fontId="1" type="noConversion"/>
  </si>
  <si>
    <t xml:space="preserve">     전본 퍼블리싱</t>
    <phoneticPr fontId="1" type="noConversion"/>
  </si>
  <si>
    <t>모바일 전본 퍼블리싱</t>
    <phoneticPr fontId="1" type="noConversion"/>
  </si>
  <si>
    <t xml:space="preserve">    기획</t>
    <phoneticPr fontId="1" type="noConversion"/>
  </si>
  <si>
    <t xml:space="preserve">    디자인</t>
    <phoneticPr fontId="1" type="noConversion"/>
  </si>
  <si>
    <t xml:space="preserve">    퍼블리싱</t>
    <phoneticPr fontId="1" type="noConversion"/>
  </si>
  <si>
    <t>정산/회계 SUB-PL</t>
    <phoneticPr fontId="1" type="noConversion"/>
  </si>
  <si>
    <t>개발</t>
    <phoneticPr fontId="1" type="noConversion"/>
  </si>
  <si>
    <t>협력사 포탈 SUB-PL</t>
    <phoneticPr fontId="1" type="noConversion"/>
  </si>
  <si>
    <t>배치</t>
    <phoneticPr fontId="1" type="noConversion"/>
  </si>
  <si>
    <t>조회/분석/통계</t>
    <phoneticPr fontId="1" type="noConversion"/>
  </si>
  <si>
    <t>투비소프트</t>
    <phoneticPr fontId="1" type="noConversion"/>
  </si>
  <si>
    <t>사업관리(김정현차장, 최성락차장)</t>
    <phoneticPr fontId="1" type="noConversion"/>
  </si>
  <si>
    <t>김정현,최성락(2~4월)-&gt;
공정우차장(그룹사업팀:5월)</t>
    <phoneticPr fontId="1" type="noConversion"/>
  </si>
  <si>
    <t>초급</t>
    <phoneticPr fontId="1" type="noConversion"/>
  </si>
  <si>
    <t>이상능(김민성차장)</t>
    <phoneticPr fontId="1" type="noConversion"/>
  </si>
  <si>
    <t>계획</t>
    <phoneticPr fontId="1" type="noConversion"/>
  </si>
  <si>
    <t>성명</t>
    <phoneticPr fontId="1" type="noConversion"/>
  </si>
  <si>
    <t>박순영</t>
    <phoneticPr fontId="1" type="noConversion"/>
  </si>
  <si>
    <t>장영진</t>
    <phoneticPr fontId="1" type="noConversion"/>
  </si>
  <si>
    <t>이상욱</t>
    <phoneticPr fontId="1" type="noConversion"/>
  </si>
  <si>
    <t>김정현</t>
    <phoneticPr fontId="1" type="noConversion"/>
  </si>
  <si>
    <t>주지선</t>
    <phoneticPr fontId="1" type="noConversion"/>
  </si>
  <si>
    <t>강신재</t>
    <phoneticPr fontId="1" type="noConversion"/>
  </si>
  <si>
    <t>최해용</t>
    <phoneticPr fontId="1" type="noConversion"/>
  </si>
  <si>
    <t>윤하림</t>
    <phoneticPr fontId="1" type="noConversion"/>
  </si>
  <si>
    <t>고영석</t>
    <phoneticPr fontId="1" type="noConversion"/>
  </si>
  <si>
    <t>전재기</t>
    <phoneticPr fontId="1" type="noConversion"/>
  </si>
  <si>
    <t>이귀행</t>
    <phoneticPr fontId="1" type="noConversion"/>
  </si>
  <si>
    <t>이상민</t>
    <phoneticPr fontId="1" type="noConversion"/>
  </si>
  <si>
    <t>유시혁</t>
    <phoneticPr fontId="1" type="noConversion"/>
  </si>
  <si>
    <t>신동민</t>
    <phoneticPr fontId="1" type="noConversion"/>
  </si>
  <si>
    <t>이경현</t>
    <phoneticPr fontId="1" type="noConversion"/>
  </si>
  <si>
    <t>하윤정</t>
    <phoneticPr fontId="1" type="noConversion"/>
  </si>
  <si>
    <t>공통 PL</t>
  </si>
  <si>
    <t>상품/마케팅(프로모션/쿠폰/교차할인 등) PL  -&gt; F/O 파트 리더</t>
  </si>
  <si>
    <t>주문/점 기반 서비스 PL</t>
  </si>
  <si>
    <t>회원 PL</t>
  </si>
  <si>
    <t>중급</t>
  </si>
  <si>
    <t>선수림</t>
  </si>
  <si>
    <t>장윤정</t>
  </si>
  <si>
    <t>조민하</t>
  </si>
  <si>
    <t>최욱일</t>
  </si>
  <si>
    <t>안희주</t>
  </si>
  <si>
    <t>이풍호</t>
  </si>
  <si>
    <t>조현근</t>
  </si>
  <si>
    <t>장범석</t>
  </si>
  <si>
    <t>신희창</t>
  </si>
  <si>
    <t>대응개발(E)해외MD</t>
  </si>
  <si>
    <t>모바일 (APP) - Android</t>
  </si>
  <si>
    <t>모바일 (APP) - IOS</t>
  </si>
  <si>
    <t>정유정</t>
  </si>
  <si>
    <t>마현</t>
  </si>
  <si>
    <t>정수현</t>
  </si>
  <si>
    <t>김영석</t>
  </si>
  <si>
    <t>박은진</t>
  </si>
  <si>
    <t>이지호</t>
  </si>
  <si>
    <t>TBD</t>
  </si>
  <si>
    <t>윤주빈</t>
  </si>
  <si>
    <t>김동영</t>
  </si>
  <si>
    <t>최태준</t>
  </si>
  <si>
    <t>마케팅(프로모션/쿠폰/교차할인 등) PL</t>
  </si>
  <si>
    <t>주문/점기반 서비스 PL</t>
  </si>
  <si>
    <t>점 기반 서비스 PL -&gt; 분석/설계</t>
  </si>
  <si>
    <t>박진우</t>
  </si>
  <si>
    <t>박정진</t>
  </si>
  <si>
    <t>강석형</t>
  </si>
  <si>
    <t>OPEN/배치 API PL</t>
  </si>
  <si>
    <t>황인철</t>
  </si>
  <si>
    <t>김지민</t>
  </si>
  <si>
    <t>최희진</t>
  </si>
  <si>
    <t>한혜린</t>
  </si>
  <si>
    <t>김영웅</t>
  </si>
  <si>
    <t>천승헌</t>
  </si>
  <si>
    <t>천지원</t>
  </si>
  <si>
    <t>신동익</t>
  </si>
  <si>
    <t>임수현</t>
  </si>
  <si>
    <t>변진배</t>
  </si>
  <si>
    <t>김현욱</t>
  </si>
  <si>
    <t>정영희</t>
  </si>
  <si>
    <t>O4O_쿠폰 /상세 개발</t>
  </si>
  <si>
    <t>김민지</t>
  </si>
  <si>
    <t>송유빈</t>
  </si>
  <si>
    <t>김남욱</t>
  </si>
  <si>
    <t>황세진</t>
  </si>
  <si>
    <t>투입일</t>
    <phoneticPr fontId="1" type="noConversion"/>
  </si>
  <si>
    <t>철수일</t>
    <phoneticPr fontId="1" type="noConversion"/>
  </si>
  <si>
    <t>PL (제작가이드, 산출물 검수)</t>
    <phoneticPr fontId="21" type="noConversion"/>
  </si>
  <si>
    <t>고우정</t>
  </si>
  <si>
    <t>우미숙</t>
  </si>
  <si>
    <t>정수정</t>
  </si>
  <si>
    <t>김강현</t>
  </si>
  <si>
    <t>김세진</t>
  </si>
  <si>
    <t>이태림</t>
  </si>
  <si>
    <t>배지효</t>
  </si>
  <si>
    <t>박민정</t>
  </si>
  <si>
    <t>이경진</t>
  </si>
  <si>
    <t>민수연</t>
  </si>
  <si>
    <t>박성호</t>
  </si>
  <si>
    <t>앱웹 화면 UI 디자인</t>
    <phoneticPr fontId="21" type="noConversion"/>
  </si>
  <si>
    <t>최수연</t>
    <phoneticPr fontId="1" type="noConversion"/>
  </si>
  <si>
    <t>이광용</t>
    <phoneticPr fontId="1" type="noConversion"/>
  </si>
  <si>
    <t>철수 예정일</t>
    <phoneticPr fontId="1" type="noConversion"/>
  </si>
  <si>
    <t>아이온</t>
    <phoneticPr fontId="1" type="noConversion"/>
  </si>
  <si>
    <t>표준화</t>
    <phoneticPr fontId="1" type="noConversion"/>
  </si>
  <si>
    <t>조경탁</t>
  </si>
  <si>
    <t>신화연</t>
  </si>
  <si>
    <t>홍성진</t>
  </si>
  <si>
    <t>오재균</t>
  </si>
  <si>
    <t>박재영</t>
  </si>
  <si>
    <t>임해군</t>
  </si>
  <si>
    <t>황태현</t>
  </si>
  <si>
    <t>공통 PL - 현장관리자,투비 개발 부분 총괄</t>
    <phoneticPr fontId="1" type="noConversion"/>
  </si>
  <si>
    <t>백다혜</t>
  </si>
  <si>
    <t>류호권</t>
  </si>
  <si>
    <t>김근태</t>
  </si>
  <si>
    <t>이찬호</t>
    <phoneticPr fontId="1" type="noConversion"/>
  </si>
  <si>
    <t>김지영2</t>
    <phoneticPr fontId="1" type="noConversion"/>
  </si>
  <si>
    <t>이명진</t>
    <phoneticPr fontId="1" type="noConversion"/>
  </si>
  <si>
    <t>김재완</t>
    <phoneticPr fontId="1" type="noConversion"/>
  </si>
  <si>
    <t>양지웅</t>
    <phoneticPr fontId="1" type="noConversion"/>
  </si>
  <si>
    <t>송태우</t>
  </si>
  <si>
    <t>김일환</t>
  </si>
  <si>
    <t>이학민</t>
  </si>
  <si>
    <t>이흔서</t>
  </si>
  <si>
    <t>홍성민</t>
  </si>
  <si>
    <t>임대진</t>
  </si>
  <si>
    <t>김경무</t>
  </si>
  <si>
    <t>조성미</t>
  </si>
  <si>
    <t>휴일</t>
  </si>
  <si>
    <t>휴일명</t>
  </si>
  <si>
    <t>구분</t>
  </si>
  <si>
    <t>신정</t>
    <phoneticPr fontId="18" type="noConversion"/>
  </si>
  <si>
    <t>설날연휴</t>
    <phoneticPr fontId="18" type="noConversion"/>
  </si>
  <si>
    <t>대체공휴일</t>
    <phoneticPr fontId="18" type="noConversion"/>
  </si>
  <si>
    <t>어린이날</t>
    <phoneticPr fontId="18" type="noConversion"/>
  </si>
  <si>
    <t>현충일</t>
    <phoneticPr fontId="18" type="noConversion"/>
  </si>
  <si>
    <t>광복절</t>
    <phoneticPr fontId="18" type="noConversion"/>
  </si>
  <si>
    <t>개천절</t>
    <phoneticPr fontId="18" type="noConversion"/>
  </si>
  <si>
    <t>추석연휴</t>
    <phoneticPr fontId="18" type="noConversion"/>
  </si>
  <si>
    <t>한글날</t>
    <phoneticPr fontId="18" type="noConversion"/>
  </si>
  <si>
    <t>성탄절</t>
    <phoneticPr fontId="18" type="noConversion"/>
  </si>
  <si>
    <t>대체연휴</t>
    <phoneticPr fontId="18" type="noConversion"/>
  </si>
  <si>
    <t>최승철</t>
    <phoneticPr fontId="1" type="noConversion"/>
  </si>
  <si>
    <t>비상주</t>
    <phoneticPr fontId="1" type="noConversion"/>
  </si>
  <si>
    <t>김지영1</t>
    <phoneticPr fontId="1" type="noConversion"/>
  </si>
  <si>
    <t>조민성</t>
    <phoneticPr fontId="1" type="noConversion"/>
  </si>
  <si>
    <t>홍유미</t>
    <phoneticPr fontId="1" type="noConversion"/>
  </si>
  <si>
    <t>솔루션 AA</t>
  </si>
  <si>
    <t>웹빌드/CMS/분석/설계/개발</t>
  </si>
  <si>
    <t>웹빌드/CMS/전시관리 개발 지원</t>
  </si>
  <si>
    <t>백상용</t>
  </si>
  <si>
    <t>조재호</t>
  </si>
  <si>
    <t>유광일</t>
  </si>
  <si>
    <t>양정찬</t>
  </si>
  <si>
    <t>부분상주</t>
  </si>
  <si>
    <t>비상주</t>
  </si>
  <si>
    <t>김국영</t>
    <phoneticPr fontId="1" type="noConversion"/>
  </si>
  <si>
    <t>김준성</t>
    <phoneticPr fontId="1" type="noConversion"/>
  </si>
  <si>
    <t>지정우</t>
    <phoneticPr fontId="1" type="noConversion"/>
  </si>
  <si>
    <t>백성윤</t>
  </si>
  <si>
    <t>조선하</t>
  </si>
  <si>
    <t>자연인</t>
    <phoneticPr fontId="1" type="noConversion"/>
  </si>
  <si>
    <t>M/M</t>
    <phoneticPr fontId="1" type="noConversion"/>
  </si>
  <si>
    <t>12월</t>
  </si>
  <si>
    <t>1월</t>
  </si>
  <si>
    <t>2월</t>
  </si>
  <si>
    <t>diff</t>
    <phoneticPr fontId="1" type="noConversion"/>
  </si>
  <si>
    <t>선정 후 견적</t>
    <phoneticPr fontId="1" type="noConversion"/>
  </si>
  <si>
    <t>당사등급</t>
    <phoneticPr fontId="1" type="noConversion"/>
  </si>
  <si>
    <t>AA/공통</t>
    <phoneticPr fontId="1" type="noConversion"/>
  </si>
  <si>
    <t>TBD(권성광 유사스펙)</t>
    <phoneticPr fontId="1" type="noConversion"/>
  </si>
  <si>
    <t>아키텍처</t>
    <phoneticPr fontId="1" type="noConversion"/>
  </si>
  <si>
    <t>기획</t>
    <phoneticPr fontId="1" type="noConversion"/>
  </si>
  <si>
    <t>디자인</t>
  </si>
  <si>
    <t>공통 PL</t>
    <phoneticPr fontId="1" type="noConversion"/>
  </si>
  <si>
    <t>선수림</t>
    <phoneticPr fontId="1" type="noConversion"/>
  </si>
  <si>
    <t>장윤정</t>
    <phoneticPr fontId="1" type="noConversion"/>
  </si>
  <si>
    <t>상품/마케팅(프로모션/쿠폰/교차할인 등) PL  -&gt; F/O 파트 리더</t>
    <phoneticPr fontId="1" type="noConversion"/>
  </si>
  <si>
    <t>조민하</t>
    <phoneticPr fontId="1" type="noConversion"/>
  </si>
  <si>
    <t>주문/점 기반 서비스 PL</t>
    <phoneticPr fontId="1" type="noConversion"/>
  </si>
  <si>
    <t>최욱일</t>
    <phoneticPr fontId="1" type="noConversion"/>
  </si>
  <si>
    <t>회원 PL</t>
    <phoneticPr fontId="1" type="noConversion"/>
  </si>
  <si>
    <t>신희창</t>
    <phoneticPr fontId="1" type="noConversion"/>
  </si>
  <si>
    <t>이풍호</t>
    <phoneticPr fontId="1" type="noConversion"/>
  </si>
  <si>
    <t>조현근</t>
    <phoneticPr fontId="1" type="noConversion"/>
  </si>
  <si>
    <t>장범석</t>
    <phoneticPr fontId="1" type="noConversion"/>
  </si>
  <si>
    <t>안희주</t>
    <phoneticPr fontId="1" type="noConversion"/>
  </si>
  <si>
    <t>정유정</t>
    <phoneticPr fontId="1" type="noConversion"/>
  </si>
  <si>
    <t>마현</t>
    <phoneticPr fontId="1" type="noConversion"/>
  </si>
  <si>
    <t>정수현</t>
    <phoneticPr fontId="1" type="noConversion"/>
  </si>
  <si>
    <t>김영석</t>
    <phoneticPr fontId="1" type="noConversion"/>
  </si>
  <si>
    <t>박은진</t>
    <phoneticPr fontId="1" type="noConversion"/>
  </si>
  <si>
    <t>이지호</t>
    <phoneticPr fontId="1" type="noConversion"/>
  </si>
  <si>
    <t>대응개발(E)해외MD</t>
    <phoneticPr fontId="1" type="noConversion"/>
  </si>
  <si>
    <t>윤주빈</t>
    <phoneticPr fontId="1" type="noConversion"/>
  </si>
  <si>
    <t>모바일 (APP) - Android</t>
    <phoneticPr fontId="1" type="noConversion"/>
  </si>
  <si>
    <t>모바일 (APP) - IOS</t>
    <phoneticPr fontId="1" type="noConversion"/>
  </si>
  <si>
    <t>웹빌드/CMS/AA/SA (라이선스에 넣음)</t>
    <phoneticPr fontId="1" type="noConversion"/>
  </si>
  <si>
    <t>웹빌드/CMS/분석/설계 2개월만 상주</t>
    <phoneticPr fontId="1" type="noConversion"/>
  </si>
  <si>
    <t>웹빌드/CMS/전시관리 개발 지원/Test</t>
    <phoneticPr fontId="1" type="noConversion"/>
  </si>
  <si>
    <t>웹빌드/CMS/전시관리 개발 지원</t>
    <phoneticPr fontId="1" type="noConversion"/>
  </si>
  <si>
    <t>웹빌드/CMS/전시관리 개발 지원 VN</t>
    <phoneticPr fontId="1" type="noConversion"/>
  </si>
  <si>
    <t>김동영</t>
    <phoneticPr fontId="1" type="noConversion"/>
  </si>
  <si>
    <t>최태준</t>
    <phoneticPr fontId="1" type="noConversion"/>
  </si>
  <si>
    <t>마케팅(프로모션/쿠폰/교차할인 등) PL</t>
    <phoneticPr fontId="1" type="noConversion"/>
  </si>
  <si>
    <t>박진우</t>
    <phoneticPr fontId="1" type="noConversion"/>
  </si>
  <si>
    <t>주문/점기반 서비스 PL</t>
    <phoneticPr fontId="1" type="noConversion"/>
  </si>
  <si>
    <t>박정진</t>
    <phoneticPr fontId="1" type="noConversion"/>
  </si>
  <si>
    <t>점 기반 서비스 PL -&gt; 분석/설계</t>
    <phoneticPr fontId="1" type="noConversion"/>
  </si>
  <si>
    <t>강석형</t>
    <phoneticPr fontId="1" type="noConversion"/>
  </si>
  <si>
    <t>OPEN/배치 API PL</t>
    <phoneticPr fontId="1" type="noConversion"/>
  </si>
  <si>
    <t>최수빈</t>
    <phoneticPr fontId="1" type="noConversion"/>
  </si>
  <si>
    <t>김지민</t>
    <phoneticPr fontId="1" type="noConversion"/>
  </si>
  <si>
    <t>최희진</t>
    <phoneticPr fontId="1" type="noConversion"/>
  </si>
  <si>
    <t>한혜린</t>
    <phoneticPr fontId="1" type="noConversion"/>
  </si>
  <si>
    <t>김영웅</t>
    <phoneticPr fontId="1" type="noConversion"/>
  </si>
  <si>
    <t>천승헌</t>
    <phoneticPr fontId="1" type="noConversion"/>
  </si>
  <si>
    <t>천지원</t>
    <phoneticPr fontId="1" type="noConversion"/>
  </si>
  <si>
    <t>신동익</t>
    <phoneticPr fontId="1" type="noConversion"/>
  </si>
  <si>
    <t>임수현</t>
    <phoneticPr fontId="1" type="noConversion"/>
  </si>
  <si>
    <t>변진배</t>
    <phoneticPr fontId="1" type="noConversion"/>
  </si>
  <si>
    <t>김현욱</t>
    <phoneticPr fontId="1" type="noConversion"/>
  </si>
  <si>
    <t>정영희</t>
    <phoneticPr fontId="1" type="noConversion"/>
  </si>
  <si>
    <t>O4O_쿠폰 /상세 개발</t>
    <phoneticPr fontId="1" type="noConversion"/>
  </si>
  <si>
    <t>김민지</t>
    <phoneticPr fontId="1" type="noConversion"/>
  </si>
  <si>
    <t>송유빈</t>
    <phoneticPr fontId="1" type="noConversion"/>
  </si>
  <si>
    <t>김남욱</t>
    <phoneticPr fontId="1" type="noConversion"/>
  </si>
  <si>
    <t>제안기준</t>
    <phoneticPr fontId="1" type="noConversion"/>
  </si>
  <si>
    <t>구분</t>
    <phoneticPr fontId="1" type="noConversion"/>
  </si>
  <si>
    <t>실투입</t>
    <phoneticPr fontId="1" type="noConversion"/>
  </si>
  <si>
    <t>차이내역(실투입-제안기준)</t>
    <phoneticPr fontId="1" type="noConversion"/>
  </si>
  <si>
    <t>견적</t>
    <phoneticPr fontId="1" type="noConversion"/>
  </si>
  <si>
    <t>차이</t>
    <phoneticPr fontId="1" type="noConversion"/>
  </si>
  <si>
    <t>누적차이</t>
    <phoneticPr fontId="1" type="noConversion"/>
  </si>
  <si>
    <t>25.2월</t>
    <phoneticPr fontId="1" type="noConversion"/>
  </si>
  <si>
    <t>25.3월</t>
    <phoneticPr fontId="1" type="noConversion"/>
  </si>
  <si>
    <t>25.4월</t>
    <phoneticPr fontId="1" type="noConversion"/>
  </si>
  <si>
    <t>25.5월</t>
    <phoneticPr fontId="1" type="noConversion"/>
  </si>
  <si>
    <t>25.6월</t>
    <phoneticPr fontId="1" type="noConversion"/>
  </si>
  <si>
    <t>25.7월</t>
    <phoneticPr fontId="1" type="noConversion"/>
  </si>
  <si>
    <t>25.8월</t>
    <phoneticPr fontId="1" type="noConversion"/>
  </si>
  <si>
    <t>25.9월</t>
    <phoneticPr fontId="1" type="noConversion"/>
  </si>
  <si>
    <t>25.10월</t>
    <phoneticPr fontId="1" type="noConversion"/>
  </si>
  <si>
    <t>25.11월</t>
    <phoneticPr fontId="1" type="noConversion"/>
  </si>
  <si>
    <t>25.12월</t>
    <phoneticPr fontId="1" type="noConversion"/>
  </si>
  <si>
    <t>26.01월</t>
    <phoneticPr fontId="1" type="noConversion"/>
  </si>
  <si>
    <t>26.02월</t>
    <phoneticPr fontId="1" type="noConversion"/>
  </si>
  <si>
    <t>26.03월</t>
    <phoneticPr fontId="1" type="noConversion"/>
  </si>
  <si>
    <t>26.04월</t>
    <phoneticPr fontId="1" type="noConversion"/>
  </si>
  <si>
    <t>총합</t>
    <phoneticPr fontId="1" type="noConversion"/>
  </si>
  <si>
    <t>최성락</t>
    <phoneticPr fontId="1" type="noConversion"/>
  </si>
  <si>
    <t>사업관리(이슈,리스크,범위관리 )</t>
    <phoneticPr fontId="1" type="noConversion"/>
  </si>
  <si>
    <t>ktds</t>
    <phoneticPr fontId="1" type="noConversion"/>
  </si>
  <si>
    <t>임연주</t>
    <phoneticPr fontId="1" type="noConversion"/>
  </si>
  <si>
    <t>주문 개발</t>
    <phoneticPr fontId="1" type="noConversion"/>
  </si>
  <si>
    <t>전시/검색 PL -&gt; 주문 PL</t>
    <phoneticPr fontId="1" type="noConversion"/>
  </si>
  <si>
    <t>전시/상품 PL</t>
    <phoneticPr fontId="1" type="noConversion"/>
  </si>
  <si>
    <t>실적</t>
    <phoneticPr fontId="1" type="noConversion"/>
  </si>
  <si>
    <t>인터페이스 PL (Backoffice focal)</t>
    <phoneticPr fontId="1" type="noConversion"/>
  </si>
  <si>
    <t>기획/디자인 총괄 (바이널씨 PM) - PL</t>
    <phoneticPr fontId="1" type="noConversion"/>
  </si>
  <si>
    <t>솔루션 사업관리 PL</t>
    <phoneticPr fontId="1" type="noConversion"/>
  </si>
  <si>
    <t>전시/검색/상품 (B/O 파트리더) PL</t>
    <phoneticPr fontId="1" type="noConversion"/>
  </si>
  <si>
    <t>물류(분석/설계) PL</t>
    <phoneticPr fontId="1" type="noConversion"/>
  </si>
  <si>
    <t>솔루션 커스텀 및 기술지원</t>
    <phoneticPr fontId="1" type="noConversion"/>
  </si>
  <si>
    <t>캠페인 - 프로젝트관리 PL
- 범위관리, 위험관리, 의사소통관리</t>
    <phoneticPr fontId="1" type="noConversion"/>
  </si>
  <si>
    <t>특이사항</t>
    <phoneticPr fontId="1" type="noConversion"/>
  </si>
  <si>
    <t>월별투입(계획)</t>
    <phoneticPr fontId="1" type="noConversion"/>
  </si>
  <si>
    <t>K</t>
    <phoneticPr fontId="1" type="noConversion"/>
  </si>
  <si>
    <t>M</t>
    <phoneticPr fontId="5" type="noConversion"/>
  </si>
  <si>
    <t>O</t>
    <phoneticPr fontId="1" type="noConversion"/>
  </si>
  <si>
    <t>Q</t>
    <phoneticPr fontId="1" type="noConversion"/>
  </si>
  <si>
    <t>S</t>
    <phoneticPr fontId="1" type="noConversion"/>
  </si>
  <si>
    <t>U</t>
    <phoneticPr fontId="1" type="noConversion"/>
  </si>
  <si>
    <t>W</t>
    <phoneticPr fontId="1" type="noConversion"/>
  </si>
  <si>
    <t>Y</t>
    <phoneticPr fontId="1" type="noConversion"/>
  </si>
  <si>
    <t>AA</t>
    <phoneticPr fontId="1" type="noConversion"/>
  </si>
  <si>
    <t>AC</t>
    <phoneticPr fontId="1" type="noConversion"/>
  </si>
  <si>
    <t>AE</t>
    <phoneticPr fontId="1" type="noConversion"/>
  </si>
  <si>
    <t>AG</t>
    <phoneticPr fontId="1" type="noConversion"/>
  </si>
  <si>
    <t>AI</t>
    <phoneticPr fontId="1" type="noConversion"/>
  </si>
  <si>
    <t>AK</t>
    <phoneticPr fontId="1" type="noConversion"/>
  </si>
  <si>
    <t>AM</t>
    <phoneticPr fontId="1" type="noConversion"/>
  </si>
  <si>
    <t>(자연인)</t>
    <phoneticPr fontId="1" type="noConversion"/>
  </si>
  <si>
    <t>주간보고 (M/M)</t>
    <phoneticPr fontId="1" type="noConversion"/>
  </si>
  <si>
    <t>월 (M/M)</t>
    <phoneticPr fontId="1" type="noConversion"/>
  </si>
  <si>
    <t>Diff(검산)</t>
    <phoneticPr fontId="1" type="noConversion"/>
  </si>
  <si>
    <t>실적-계획</t>
    <phoneticPr fontId="1" type="noConversion"/>
  </si>
  <si>
    <t xml:space="preserve">주간 산출비율: </t>
    <phoneticPr fontId="1" type="noConversion"/>
  </si>
  <si>
    <t>전시관리 PL</t>
    <phoneticPr fontId="1" type="noConversion"/>
  </si>
  <si>
    <t>노종완</t>
    <phoneticPr fontId="1" type="noConversion"/>
  </si>
  <si>
    <t>특급</t>
    <phoneticPr fontId="1" type="noConversion"/>
  </si>
  <si>
    <t>이재학</t>
    <phoneticPr fontId="1" type="noConversion"/>
  </si>
  <si>
    <t>데이터이행 및 검증 자동화 프로그램 개발 및 모니터링</t>
    <phoneticPr fontId="1" type="noConversion"/>
  </si>
  <si>
    <t>매핑정의서관리, 검증, 데이터 이행 실행 SQL 생성</t>
    <phoneticPr fontId="1" type="noConversion"/>
  </si>
  <si>
    <t>앱웹 Front UXUI 상세 화면설계</t>
    <phoneticPr fontId="21" type="noConversion"/>
  </si>
  <si>
    <t>캠페인 -캠페인 프로세스 분석/설계, 공통 업무(DRM, 단축 URL, 컨텐츠 연결, SFTP 등)</t>
    <phoneticPr fontId="1" type="noConversion"/>
  </si>
  <si>
    <t>전주</t>
    <phoneticPr fontId="1" type="noConversion"/>
  </si>
  <si>
    <t>50+2</t>
    <phoneticPr fontId="1" type="noConversion"/>
  </si>
  <si>
    <t>금주투입</t>
    <phoneticPr fontId="1" type="noConversion"/>
  </si>
  <si>
    <t>7+1</t>
    <phoneticPr fontId="1" type="noConversion"/>
  </si>
  <si>
    <t>50명(48명+비상주 2명)</t>
    <phoneticPr fontId="1" type="noConversion"/>
  </si>
  <si>
    <t>차주계획</t>
    <phoneticPr fontId="1" type="noConversion"/>
  </si>
  <si>
    <t>+3</t>
    <phoneticPr fontId="1" type="noConversion"/>
  </si>
  <si>
    <t>61명(58명+비상주 3명)</t>
    <phoneticPr fontId="1" type="noConversion"/>
  </si>
  <si>
    <t>장익준</t>
    <phoneticPr fontId="1" type="noConversion"/>
  </si>
  <si>
    <t>김영근</t>
    <phoneticPr fontId="1" type="noConversion"/>
  </si>
  <si>
    <t>60명 (상주 58명 + 비상주 2명)</t>
    <phoneticPr fontId="1" type="noConversion"/>
  </si>
  <si>
    <t>58명(55명+비상주 3명-아이온1명비상주)</t>
    <phoneticPr fontId="1" type="noConversion"/>
  </si>
  <si>
    <t>58명(55명+비상주2명(아이온1명제외)</t>
    <phoneticPr fontId="1" type="noConversion"/>
  </si>
  <si>
    <t>2/25일 기준</t>
    <phoneticPr fontId="1" type="noConversion"/>
  </si>
  <si>
    <t>최준태</t>
    <phoneticPr fontId="1" type="noConversion"/>
  </si>
  <si>
    <t>추가투입</t>
    <phoneticPr fontId="1" type="noConversion"/>
  </si>
  <si>
    <t>개발</t>
  </si>
  <si>
    <t>투비소프트</t>
  </si>
  <si>
    <t>중급-&gt;초급</t>
    <phoneticPr fontId="1" type="noConversion"/>
  </si>
  <si>
    <t>신규(초급)</t>
    <phoneticPr fontId="1" type="noConversion"/>
  </si>
  <si>
    <t>2월말 기준</t>
    <phoneticPr fontId="1" type="noConversion"/>
  </si>
  <si>
    <t>3월말 기준</t>
    <phoneticPr fontId="1" type="noConversion"/>
  </si>
  <si>
    <t>74명 (상주 69명 + 비상주 2명+3명)</t>
    <phoneticPr fontId="1" type="noConversion"/>
  </si>
  <si>
    <t>차주투입 14명 (상주 11명 + 비상주 3명)</t>
    <phoneticPr fontId="1" type="noConversion"/>
  </si>
  <si>
    <t>금주투입 (상주 3명)</t>
    <phoneticPr fontId="1" type="noConversion"/>
  </si>
  <si>
    <t>김기흠</t>
    <phoneticPr fontId="1" type="noConversion"/>
  </si>
  <si>
    <t>61명(상주 59명 + 비상주 2명)</t>
    <phoneticPr fontId="1" type="noConversion"/>
  </si>
  <si>
    <t>86명(상주 81명 + 비상주 5명)</t>
    <phoneticPr fontId="1" type="noConversion"/>
  </si>
  <si>
    <t>3월 투입(상주 22명+ 비상주 3명)</t>
    <phoneticPr fontId="1" type="noConversion"/>
  </si>
  <si>
    <t>조주형</t>
    <phoneticPr fontId="1" type="noConversion"/>
  </si>
  <si>
    <t>주윤재</t>
    <phoneticPr fontId="1" type="noConversion"/>
  </si>
  <si>
    <t>이문수</t>
    <phoneticPr fontId="1" type="noConversion"/>
  </si>
  <si>
    <t>권우석</t>
    <phoneticPr fontId="1" type="noConversion"/>
  </si>
  <si>
    <t>강남주</t>
    <phoneticPr fontId="1" type="noConversion"/>
  </si>
  <si>
    <t>차이
(실적-계획)</t>
    <phoneticPr fontId="1" type="noConversion"/>
  </si>
  <si>
    <t>윤혜림</t>
    <phoneticPr fontId="1" type="noConversion"/>
  </si>
  <si>
    <t>지종진</t>
    <phoneticPr fontId="1" type="noConversion"/>
  </si>
  <si>
    <t>이병재</t>
    <phoneticPr fontId="1" type="noConversion"/>
  </si>
  <si>
    <t>유경구</t>
    <phoneticPr fontId="1" type="noConversion"/>
  </si>
  <si>
    <t>테스트/이행</t>
    <phoneticPr fontId="1" type="noConversion"/>
  </si>
  <si>
    <t>최민서</t>
    <phoneticPr fontId="1" type="noConversion"/>
  </si>
  <si>
    <t>주석진</t>
    <phoneticPr fontId="1" type="noConversion"/>
  </si>
  <si>
    <t>김호훈</t>
    <phoneticPr fontId="1" type="noConversion"/>
  </si>
  <si>
    <t>배진용</t>
    <phoneticPr fontId="1" type="noConversion"/>
  </si>
  <si>
    <t>Sub Application Architect</t>
    <phoneticPr fontId="1" type="noConversion"/>
  </si>
  <si>
    <t>성정훈</t>
    <phoneticPr fontId="1" type="noConversion"/>
  </si>
  <si>
    <t>변진의</t>
    <phoneticPr fontId="1" type="noConversion"/>
  </si>
  <si>
    <t>대응개발 분석/설계/WEB</t>
    <phoneticPr fontId="1" type="noConversion"/>
  </si>
  <si>
    <t>대응개발/IF/Batch</t>
    <phoneticPr fontId="1" type="noConversion"/>
  </si>
  <si>
    <t>대응개발/Admin</t>
    <phoneticPr fontId="1" type="noConversion"/>
  </si>
  <si>
    <t>대응개발/Admin/APP</t>
    <phoneticPr fontId="1" type="noConversion"/>
  </si>
  <si>
    <t>대응개발/WEB</t>
    <phoneticPr fontId="1" type="noConversion"/>
  </si>
  <si>
    <t>김제성</t>
    <phoneticPr fontId="1" type="noConversion"/>
  </si>
  <si>
    <t>UI/UX/퍼블리싱</t>
    <phoneticPr fontId="1" type="noConversion"/>
  </si>
  <si>
    <t>조선자</t>
    <phoneticPr fontId="1" type="noConversion"/>
  </si>
  <si>
    <t>안광훈</t>
    <phoneticPr fontId="1" type="noConversion"/>
  </si>
  <si>
    <t>철수</t>
    <phoneticPr fontId="1" type="noConversion"/>
  </si>
  <si>
    <t>Web/개발/시스템현황</t>
    <phoneticPr fontId="1" type="noConversion"/>
  </si>
  <si>
    <t>APP/AOS개발/모바일TAS/매장앱</t>
    <phoneticPr fontId="1" type="noConversion"/>
  </si>
  <si>
    <t>APP/IOS개발/모바일TAS</t>
    <phoneticPr fontId="1" type="noConversion"/>
  </si>
  <si>
    <t>라드씨엔에스</t>
  </si>
  <si>
    <t>라드씨엔에스</t>
    <phoneticPr fontId="1" type="noConversion"/>
  </si>
  <si>
    <t>PL - Web/개발/권한관리</t>
    <phoneticPr fontId="1" type="noConversion"/>
  </si>
  <si>
    <t>송미지</t>
    <phoneticPr fontId="1" type="noConversion"/>
  </si>
  <si>
    <t>김태원</t>
    <phoneticPr fontId="1" type="noConversion"/>
  </si>
  <si>
    <t>박광배</t>
    <phoneticPr fontId="1" type="noConversion"/>
  </si>
  <si>
    <t>정연욱</t>
    <phoneticPr fontId="1" type="noConversion"/>
  </si>
  <si>
    <t>안수현</t>
    <phoneticPr fontId="1" type="noConversion"/>
  </si>
  <si>
    <t>서주영</t>
    <phoneticPr fontId="1" type="noConversion"/>
  </si>
  <si>
    <t>최보윤</t>
    <phoneticPr fontId="1" type="noConversion"/>
  </si>
  <si>
    <t>박성조</t>
    <phoneticPr fontId="1" type="noConversion"/>
  </si>
  <si>
    <t>박성진</t>
    <phoneticPr fontId="1" type="noConversion"/>
  </si>
  <si>
    <t>이해창</t>
    <phoneticPr fontId="1" type="noConversion"/>
  </si>
  <si>
    <t>신유리</t>
    <phoneticPr fontId="1" type="noConversion"/>
  </si>
  <si>
    <t>사업관리(이슈,변화관리,테스트 )</t>
    <phoneticPr fontId="1" type="noConversion"/>
  </si>
  <si>
    <t>Framework Front Office 공통 영역</t>
    <phoneticPr fontId="1" type="noConversion"/>
  </si>
  <si>
    <t>상품 개발 -&gt; kt ds(커머스웨어)</t>
    <phoneticPr fontId="1" type="noConversion"/>
  </si>
  <si>
    <t>주문 개발 -&gt; kt ds(커머스웨어)</t>
    <phoneticPr fontId="1" type="noConversion"/>
  </si>
  <si>
    <t>상담원 개발 -&gt; kt ds(커머스웨어)</t>
    <phoneticPr fontId="1" type="noConversion"/>
  </si>
  <si>
    <t>배치 개발 -&gt; kt ds(커머스웨어)</t>
    <phoneticPr fontId="1" type="noConversion"/>
  </si>
  <si>
    <t>정산/회계 영역-&gt;ktds(투비소프트)</t>
    <phoneticPr fontId="1" type="noConversion"/>
  </si>
  <si>
    <t>배치_DB제휴-&gt;ktds(A&amp;T)</t>
    <phoneticPr fontId="18" type="noConversion"/>
  </si>
  <si>
    <t>김철</t>
    <phoneticPr fontId="1" type="noConversion"/>
  </si>
  <si>
    <t xml:space="preserve">신승현 </t>
    <phoneticPr fontId="1" type="noConversion"/>
  </si>
  <si>
    <t>오동현</t>
    <phoneticPr fontId="1" type="noConversion"/>
  </si>
  <si>
    <t>이경용</t>
    <phoneticPr fontId="1" type="noConversion"/>
  </si>
  <si>
    <t xml:space="preserve">철수 </t>
    <phoneticPr fontId="1" type="noConversion"/>
  </si>
  <si>
    <t>2025-04.21</t>
    <phoneticPr fontId="1" type="noConversion"/>
  </si>
  <si>
    <t>기준날짜</t>
    <phoneticPr fontId="1" type="noConversion"/>
  </si>
  <si>
    <t>투입 날짜</t>
    <phoneticPr fontId="1" type="noConversion"/>
  </si>
  <si>
    <t>남은 %</t>
    <phoneticPr fontId="1" type="noConversion"/>
  </si>
  <si>
    <t>총일수</t>
    <phoneticPr fontId="1" type="noConversion"/>
  </si>
  <si>
    <t>남은 일수</t>
    <phoneticPr fontId="1" type="noConversion"/>
  </si>
  <si>
    <t>개발 계약 준비</t>
    <phoneticPr fontId="1" type="noConversion"/>
  </si>
  <si>
    <t>미정(6월)</t>
    <phoneticPr fontId="1" type="noConversion"/>
  </si>
  <si>
    <t>UI/UX/기획</t>
    <phoneticPr fontId="1" type="noConversion"/>
  </si>
  <si>
    <t>커머스웨어</t>
    <phoneticPr fontId="1" type="noConversion"/>
  </si>
  <si>
    <t>최창식</t>
    <phoneticPr fontId="1" type="noConversion"/>
  </si>
  <si>
    <t>박병호</t>
    <phoneticPr fontId="1" type="noConversion"/>
  </si>
  <si>
    <t>고급</t>
    <phoneticPr fontId="1" type="noConversion"/>
  </si>
  <si>
    <t>중급</t>
    <phoneticPr fontId="1" type="noConversion"/>
  </si>
  <si>
    <t>최인철</t>
    <phoneticPr fontId="1" type="noConversion"/>
  </si>
  <si>
    <t>장태현</t>
    <phoneticPr fontId="1" type="noConversion"/>
  </si>
  <si>
    <t>조성욱</t>
    <phoneticPr fontId="1" type="noConversion"/>
  </si>
  <si>
    <t>분석/설계</t>
    <phoneticPr fontId="1" type="noConversion"/>
  </si>
  <si>
    <t>추가 투입</t>
    <phoneticPr fontId="1" type="noConversion"/>
  </si>
  <si>
    <t>계획</t>
    <phoneticPr fontId="1" type="noConversion"/>
  </si>
  <si>
    <t>실적</t>
    <phoneticPr fontId="1" type="noConversion"/>
  </si>
  <si>
    <t>추가투입</t>
    <phoneticPr fontId="1" type="noConversion"/>
  </si>
  <si>
    <t>총계</t>
    <phoneticPr fontId="1" type="noConversion"/>
  </si>
  <si>
    <t>정지우</t>
    <phoneticPr fontId="1" type="noConversion"/>
  </si>
  <si>
    <t>채은미</t>
    <phoneticPr fontId="1" type="noConversion"/>
  </si>
  <si>
    <t>철수</t>
    <phoneticPr fontId="1" type="noConversion"/>
  </si>
  <si>
    <t>전지훈</t>
    <phoneticPr fontId="1" type="noConversion"/>
  </si>
  <si>
    <t>김광민</t>
    <phoneticPr fontId="1" type="noConversion"/>
  </si>
  <si>
    <t>특급</t>
    <phoneticPr fontId="1" type="noConversion"/>
  </si>
  <si>
    <t>중급</t>
    <phoneticPr fontId="1" type="noConversion"/>
  </si>
  <si>
    <t>하성호</t>
    <phoneticPr fontId="1" type="noConversion"/>
  </si>
  <si>
    <t>TBD</t>
    <phoneticPr fontId="1" type="noConversion"/>
  </si>
  <si>
    <t>바이널씨</t>
    <phoneticPr fontId="1" type="noConversion"/>
  </si>
  <si>
    <t>박지황</t>
    <phoneticPr fontId="1" type="noConversion"/>
  </si>
  <si>
    <t>고급</t>
    <phoneticPr fontId="1" type="noConversion"/>
  </si>
  <si>
    <t>회계/정산/파트너</t>
    <phoneticPr fontId="1" type="noConversion"/>
  </si>
  <si>
    <t>나종식</t>
    <phoneticPr fontId="1" type="noConversion"/>
  </si>
  <si>
    <t>이은심</t>
    <phoneticPr fontId="1" type="noConversion"/>
  </si>
  <si>
    <t>디자인/퍼블리싱</t>
    <phoneticPr fontId="1" type="noConversion"/>
  </si>
  <si>
    <t>초급</t>
    <phoneticPr fontId="1" type="noConversion"/>
  </si>
  <si>
    <t>손정욱</t>
    <phoneticPr fontId="1" type="noConversion"/>
  </si>
  <si>
    <t>Swagger 기반 API 문서화,swagger 기반 postman Json파일 제공</t>
    <phoneticPr fontId="1" type="noConversion"/>
  </si>
  <si>
    <t xml:space="preserve">퍼블리싱
초기 Front 환경 구성
개발 Framework  구성 : 노수윤 차장님 지원예정 </t>
    <phoneticPr fontId="1" type="noConversion"/>
  </si>
  <si>
    <t>철수</t>
    <phoneticPr fontId="1" type="noConversion"/>
  </si>
  <si>
    <t>설계/개발</t>
    <phoneticPr fontId="1" type="noConversion"/>
  </si>
  <si>
    <t>설계/개발</t>
    <phoneticPr fontId="1" type="noConversion"/>
  </si>
  <si>
    <t>UI/UX/디자인</t>
    <phoneticPr fontId="1" type="noConversion"/>
  </si>
  <si>
    <t>왕수정</t>
    <phoneticPr fontId="1" type="noConversion"/>
  </si>
  <si>
    <t>TBD</t>
    <phoneticPr fontId="1" type="noConversion"/>
  </si>
  <si>
    <t>비상주/ 추가투입</t>
    <phoneticPr fontId="1" type="noConversion"/>
  </si>
  <si>
    <t>이승종</t>
    <phoneticPr fontId="1" type="noConversion"/>
  </si>
  <si>
    <t>오승호</t>
    <phoneticPr fontId="1" type="noConversion"/>
  </si>
  <si>
    <t>철수</t>
    <phoneticPr fontId="1" type="noConversion"/>
  </si>
  <si>
    <t>9월이후비상주 0.2(9월~ 3월)</t>
    <phoneticPr fontId="1" type="noConversion"/>
  </si>
  <si>
    <t>김정호</t>
    <phoneticPr fontId="1" type="noConversion"/>
  </si>
  <si>
    <t>선투입 ~5월</t>
    <phoneticPr fontId="1" type="noConversion"/>
  </si>
  <si>
    <t>추가투입</t>
    <phoneticPr fontId="1" type="noConversion"/>
  </si>
  <si>
    <t>추가투입</t>
    <phoneticPr fontId="1" type="noConversion"/>
  </si>
  <si>
    <t>선투입 ~4월</t>
    <phoneticPr fontId="1" type="noConversion"/>
  </si>
  <si>
    <t>철수</t>
    <phoneticPr fontId="1" type="noConversion"/>
  </si>
  <si>
    <t>A&amp;T</t>
    <phoneticPr fontId="1" type="noConversion"/>
  </si>
  <si>
    <t>고급</t>
    <phoneticPr fontId="1" type="noConversion"/>
  </si>
  <si>
    <t>중급</t>
    <phoneticPr fontId="1" type="noConversion"/>
  </si>
  <si>
    <t>박성일</t>
    <phoneticPr fontId="1" type="noConversion"/>
  </si>
  <si>
    <t>김용희</t>
    <phoneticPr fontId="1" type="noConversion"/>
  </si>
  <si>
    <t>철수</t>
    <phoneticPr fontId="1" type="noConversion"/>
  </si>
  <si>
    <t>철수</t>
    <phoneticPr fontId="1" type="noConversion"/>
  </si>
  <si>
    <t>X</t>
    <phoneticPr fontId="1" type="noConversion"/>
  </si>
  <si>
    <t>ktds-&gt;A&amp;T</t>
    <phoneticPr fontId="1" type="noConversion"/>
  </si>
  <si>
    <t>-15 -&gt; 커머스 전달 빠진영역 확인</t>
    <phoneticPr fontId="1" type="noConversion"/>
  </si>
  <si>
    <t>중분류</t>
    <phoneticPr fontId="5" type="noConversion"/>
  </si>
  <si>
    <t>등급</t>
    <phoneticPr fontId="5" type="noConversion"/>
  </si>
  <si>
    <t>수행사</t>
    <phoneticPr fontId="5" type="noConversion"/>
  </si>
  <si>
    <t>M+1</t>
    <phoneticPr fontId="5" type="noConversion"/>
  </si>
  <si>
    <t>M+2</t>
  </si>
  <si>
    <t>M+3</t>
  </si>
  <si>
    <t>M+4</t>
  </si>
  <si>
    <t>M+5</t>
  </si>
  <si>
    <t>M+6</t>
  </si>
  <si>
    <t>M+7</t>
  </si>
  <si>
    <t>M+8</t>
  </si>
  <si>
    <t>M+9</t>
  </si>
  <si>
    <t>M+10</t>
  </si>
  <si>
    <t>M+11</t>
  </si>
  <si>
    <t>M+12</t>
  </si>
  <si>
    <t>M+13</t>
  </si>
  <si>
    <t>M+14</t>
  </si>
  <si>
    <t>M+15</t>
  </si>
  <si>
    <t>소계</t>
    <phoneticPr fontId="5" type="noConversion"/>
  </si>
  <si>
    <t>비고</t>
    <phoneticPr fontId="5" type="noConversion"/>
  </si>
  <si>
    <t>당사등급</t>
    <phoneticPr fontId="5" type="noConversion"/>
  </si>
  <si>
    <t>당사인력</t>
    <phoneticPr fontId="5" type="noConversion"/>
  </si>
  <si>
    <t>분석/설계</t>
    <phoneticPr fontId="5" type="noConversion"/>
  </si>
  <si>
    <t>개발 및 단위테스트</t>
    <phoneticPr fontId="5" type="noConversion"/>
  </si>
  <si>
    <t>통합테스트</t>
    <phoneticPr fontId="5" type="noConversion"/>
  </si>
  <si>
    <t>오픈/안정화</t>
    <phoneticPr fontId="5" type="noConversion"/>
  </si>
  <si>
    <t>F/O 파트 리더</t>
    <phoneticPr fontId="5" type="noConversion"/>
  </si>
  <si>
    <t>PL</t>
    <phoneticPr fontId="5" type="noConversion"/>
  </si>
  <si>
    <t>특급</t>
    <phoneticPr fontId="5" type="noConversion"/>
  </si>
  <si>
    <t>커머스웨어</t>
    <phoneticPr fontId="5" type="noConversion"/>
  </si>
  <si>
    <t>조민하</t>
    <phoneticPr fontId="5" type="noConversion"/>
  </si>
  <si>
    <t>v</t>
    <phoneticPr fontId="21" type="noConversion"/>
  </si>
  <si>
    <t>현장 대리인(F/O 리더)</t>
    <phoneticPr fontId="5" type="noConversion"/>
  </si>
  <si>
    <t>Front(A)</t>
    <phoneticPr fontId="5" type="noConversion"/>
  </si>
  <si>
    <t>공통 PL</t>
    <phoneticPr fontId="5" type="noConversion"/>
  </si>
  <si>
    <t>커머스웨어</t>
    <phoneticPr fontId="5" type="noConversion"/>
  </si>
  <si>
    <t>선수림</t>
    <phoneticPr fontId="5" type="noConversion"/>
  </si>
  <si>
    <t>v</t>
    <phoneticPr fontId="21" type="noConversion"/>
  </si>
  <si>
    <t>전시(상품) PL</t>
    <phoneticPr fontId="5" type="noConversion"/>
  </si>
  <si>
    <t>고급</t>
    <phoneticPr fontId="5" type="noConversion"/>
  </si>
  <si>
    <t>임연주</t>
    <phoneticPr fontId="5" type="noConversion"/>
  </si>
  <si>
    <t>0.2 실투입 장표 0.2차이</t>
    <phoneticPr fontId="21" type="noConversion"/>
  </si>
  <si>
    <t>주문 PL</t>
    <phoneticPr fontId="5" type="noConversion"/>
  </si>
  <si>
    <t>장윤정</t>
    <phoneticPr fontId="5" type="noConversion"/>
  </si>
  <si>
    <t>PL</t>
    <phoneticPr fontId="5" type="noConversion"/>
  </si>
  <si>
    <t>고급</t>
    <phoneticPr fontId="21" type="noConversion"/>
  </si>
  <si>
    <t>최준태</t>
    <phoneticPr fontId="21" type="noConversion"/>
  </si>
  <si>
    <t>회원 PL</t>
    <phoneticPr fontId="5" type="noConversion"/>
  </si>
  <si>
    <t>커머스웨어</t>
    <phoneticPr fontId="5" type="noConversion"/>
  </si>
  <si>
    <t>안희주</t>
    <phoneticPr fontId="5" type="noConversion"/>
  </si>
  <si>
    <t>공통 개발</t>
    <phoneticPr fontId="21" type="noConversion"/>
  </si>
  <si>
    <t>최욱일</t>
    <phoneticPr fontId="5" type="noConversion"/>
  </si>
  <si>
    <t>전시(상품) 분석/개발</t>
    <phoneticPr fontId="21" type="noConversion"/>
  </si>
  <si>
    <t>고급</t>
    <phoneticPr fontId="5" type="noConversion"/>
  </si>
  <si>
    <t>정수현</t>
    <phoneticPr fontId="5" type="noConversion"/>
  </si>
  <si>
    <t>전시(상품) 개발</t>
    <phoneticPr fontId="21" type="noConversion"/>
  </si>
  <si>
    <t>초급</t>
    <phoneticPr fontId="5" type="noConversion"/>
  </si>
  <si>
    <t>김영석</t>
    <phoneticPr fontId="5" type="noConversion"/>
  </si>
  <si>
    <t>전시(상품) 개발</t>
    <phoneticPr fontId="21" type="noConversion"/>
  </si>
  <si>
    <t>조현근</t>
    <phoneticPr fontId="5" type="noConversion"/>
  </si>
  <si>
    <t>안성현</t>
    <phoneticPr fontId="5" type="noConversion"/>
  </si>
  <si>
    <t>마현</t>
    <phoneticPr fontId="5" type="noConversion"/>
  </si>
  <si>
    <t>초급</t>
    <phoneticPr fontId="5" type="noConversion"/>
  </si>
  <si>
    <t>변진배</t>
    <phoneticPr fontId="5" type="noConversion"/>
  </si>
  <si>
    <t>윤주빈</t>
    <phoneticPr fontId="5" type="noConversion"/>
  </si>
  <si>
    <t>회원 분석/개발</t>
    <phoneticPr fontId="21" type="noConversion"/>
  </si>
  <si>
    <t>중급</t>
    <phoneticPr fontId="5" type="noConversion"/>
  </si>
  <si>
    <t>정유정</t>
    <phoneticPr fontId="5" type="noConversion"/>
  </si>
  <si>
    <t>중급</t>
    <phoneticPr fontId="5" type="noConversion"/>
  </si>
  <si>
    <t>이지호</t>
    <phoneticPr fontId="5" type="noConversion"/>
  </si>
  <si>
    <t>이벤트/검색 분석/개발</t>
    <phoneticPr fontId="21" type="noConversion"/>
  </si>
  <si>
    <t>중급</t>
    <phoneticPr fontId="5" type="noConversion"/>
  </si>
  <si>
    <t>장범석</t>
    <phoneticPr fontId="5" type="noConversion"/>
  </si>
  <si>
    <t>이벤트/검색 개발</t>
    <phoneticPr fontId="21" type="noConversion"/>
  </si>
  <si>
    <t>박은진</t>
    <phoneticPr fontId="5" type="noConversion"/>
  </si>
  <si>
    <t>해외브랜드 개발</t>
    <phoneticPr fontId="5" type="noConversion"/>
  </si>
  <si>
    <t>이풍호</t>
    <phoneticPr fontId="5" type="noConversion"/>
  </si>
  <si>
    <t>해외브랜드 개발</t>
    <phoneticPr fontId="5" type="noConversion"/>
  </si>
  <si>
    <t>천승헌</t>
    <phoneticPr fontId="5" type="noConversion"/>
  </si>
  <si>
    <t xml:space="preserve"> </t>
    <phoneticPr fontId="21" type="noConversion"/>
  </si>
  <si>
    <t>모바일 (APP) - Android</t>
    <phoneticPr fontId="5" type="noConversion"/>
  </si>
  <si>
    <t>모바일 (APP) - IOS</t>
    <phoneticPr fontId="5" type="noConversion"/>
  </si>
  <si>
    <t>신희창</t>
    <phoneticPr fontId="5" type="noConversion"/>
  </si>
  <si>
    <t>소계</t>
    <phoneticPr fontId="5" type="noConversion"/>
  </si>
  <si>
    <t>전시/검색/상품 PL -&gt; B/O 파트리더</t>
    <phoneticPr fontId="5" type="noConversion"/>
  </si>
  <si>
    <t>특급</t>
    <phoneticPr fontId="5" type="noConversion"/>
  </si>
  <si>
    <t>최태준</t>
    <phoneticPr fontId="5" type="noConversion"/>
  </si>
  <si>
    <t>분석/설계 업무 리딩</t>
    <phoneticPr fontId="21" type="noConversion"/>
  </si>
  <si>
    <t>Back Office(B)</t>
    <phoneticPr fontId="5" type="noConversion"/>
  </si>
  <si>
    <t>마케팅(프로모션/쿠폰/교차할인 등) PL</t>
    <phoneticPr fontId="5" type="noConversion"/>
  </si>
  <si>
    <t>김동영</t>
    <phoneticPr fontId="5" type="noConversion"/>
  </si>
  <si>
    <t>고급</t>
    <phoneticPr fontId="21" type="noConversion"/>
  </si>
  <si>
    <t>노종완</t>
    <phoneticPr fontId="21" type="noConversion"/>
  </si>
  <si>
    <t>상품 PL/개발</t>
    <phoneticPr fontId="5" type="noConversion"/>
  </si>
  <si>
    <t>특급</t>
    <phoneticPr fontId="5" type="noConversion"/>
  </si>
  <si>
    <t>황인철</t>
    <phoneticPr fontId="5" type="noConversion"/>
  </si>
  <si>
    <t>주문 PL/개발</t>
    <phoneticPr fontId="5" type="noConversion"/>
  </si>
  <si>
    <t>PL</t>
    <phoneticPr fontId="5" type="noConversion"/>
  </si>
  <si>
    <t>김민지</t>
    <phoneticPr fontId="5" type="noConversion"/>
  </si>
  <si>
    <t>기준정보 PL/개발</t>
    <phoneticPr fontId="5" type="noConversion"/>
  </si>
  <si>
    <t>강석형</t>
    <phoneticPr fontId="5" type="noConversion"/>
  </si>
  <si>
    <t>점 기반 서비스/이벤트 검색 PL/개발</t>
    <phoneticPr fontId="5" type="noConversion"/>
  </si>
  <si>
    <t>고급</t>
    <phoneticPr fontId="5" type="noConversion"/>
  </si>
  <si>
    <t>박정진</t>
    <phoneticPr fontId="5" type="noConversion"/>
  </si>
  <si>
    <t>공통 개발</t>
    <phoneticPr fontId="21" type="noConversion"/>
  </si>
  <si>
    <t>박성준</t>
    <phoneticPr fontId="5" type="noConversion"/>
  </si>
  <si>
    <t>공통 개발</t>
    <phoneticPr fontId="21" type="noConversion"/>
  </si>
  <si>
    <t>초급</t>
    <phoneticPr fontId="21" type="noConversion"/>
  </si>
  <si>
    <t>조현근</t>
    <phoneticPr fontId="21" type="noConversion"/>
  </si>
  <si>
    <t>공통 개발</t>
    <phoneticPr fontId="21" type="noConversion"/>
  </si>
  <si>
    <t>상품 분석/개발</t>
    <phoneticPr fontId="21" type="noConversion"/>
  </si>
  <si>
    <t>홍창기</t>
    <phoneticPr fontId="5" type="noConversion"/>
  </si>
  <si>
    <t>상품 분석/개발</t>
    <phoneticPr fontId="21" type="noConversion"/>
  </si>
  <si>
    <t>최희진</t>
    <phoneticPr fontId="5" type="noConversion"/>
  </si>
  <si>
    <t>상품 개발</t>
    <phoneticPr fontId="21" type="noConversion"/>
  </si>
  <si>
    <t>초급</t>
    <phoneticPr fontId="5" type="noConversion"/>
  </si>
  <si>
    <t>TBD1</t>
    <phoneticPr fontId="5" type="noConversion"/>
  </si>
  <si>
    <t>상품 개발 -&gt; kt ds</t>
    <phoneticPr fontId="5" type="noConversion"/>
  </si>
  <si>
    <t>kt ds (초급)</t>
    <phoneticPr fontId="5" type="noConversion"/>
  </si>
  <si>
    <t xml:space="preserve">kt ds 로 변경 </t>
    <phoneticPr fontId="5" type="noConversion"/>
  </si>
  <si>
    <t>전시(상품) 분석/개발</t>
    <phoneticPr fontId="21" type="noConversion"/>
  </si>
  <si>
    <t>박진우</t>
    <phoneticPr fontId="5" type="noConversion"/>
  </si>
  <si>
    <t>중급</t>
    <phoneticPr fontId="21" type="noConversion"/>
  </si>
  <si>
    <t>김지민</t>
    <phoneticPr fontId="5" type="noConversion"/>
  </si>
  <si>
    <t>전시(상품) 개발 -&gt; kt ds</t>
    <phoneticPr fontId="5" type="noConversion"/>
  </si>
  <si>
    <t>kt ds (초급)</t>
    <phoneticPr fontId="5" type="noConversion"/>
  </si>
  <si>
    <t xml:space="preserve">kt ds 로 변경 </t>
    <phoneticPr fontId="5" type="noConversion"/>
  </si>
  <si>
    <t>프로모션 분석/개발</t>
    <phoneticPr fontId="21" type="noConversion"/>
  </si>
  <si>
    <t>김남욱</t>
    <phoneticPr fontId="5" type="noConversion"/>
  </si>
  <si>
    <t>프로모션 개발</t>
    <phoneticPr fontId="21" type="noConversion"/>
  </si>
  <si>
    <t>초급</t>
    <phoneticPr fontId="5" type="noConversion"/>
  </si>
  <si>
    <t>신동익</t>
    <phoneticPr fontId="5" type="noConversion"/>
  </si>
  <si>
    <t>프로모션 개발 -&gt; kt ds</t>
    <phoneticPr fontId="5" type="noConversion"/>
  </si>
  <si>
    <t>kt ds 로 변경</t>
    <phoneticPr fontId="5" type="noConversion"/>
  </si>
  <si>
    <t>주문 개발</t>
    <phoneticPr fontId="21" type="noConversion"/>
  </si>
  <si>
    <t>윤영민</t>
    <phoneticPr fontId="5" type="noConversion"/>
  </si>
  <si>
    <t>TBD2</t>
  </si>
  <si>
    <t>회원/상담 분석/개발</t>
    <phoneticPr fontId="5" type="noConversion"/>
  </si>
  <si>
    <t>이재학</t>
    <phoneticPr fontId="5" type="noConversion"/>
  </si>
  <si>
    <t>회원/상담 개발</t>
    <phoneticPr fontId="5" type="noConversion"/>
  </si>
  <si>
    <t>정영희</t>
    <phoneticPr fontId="5" type="noConversion"/>
  </si>
  <si>
    <t>회원/상담 -&gt; kt ds</t>
    <phoneticPr fontId="5" type="noConversion"/>
  </si>
  <si>
    <t>kt ds로 변경</t>
    <phoneticPr fontId="5" type="noConversion"/>
  </si>
  <si>
    <t>점 기반 서비스 개발</t>
    <phoneticPr fontId="21" type="noConversion"/>
  </si>
  <si>
    <t>임수현</t>
    <phoneticPr fontId="5" type="noConversion"/>
  </si>
  <si>
    <t>이벤트/검색 개발</t>
    <phoneticPr fontId="21" type="noConversion"/>
  </si>
  <si>
    <t>천지원</t>
    <phoneticPr fontId="5" type="noConversion"/>
  </si>
  <si>
    <t>TBD3</t>
  </si>
  <si>
    <t>해외브랜드 개발</t>
    <phoneticPr fontId="21" type="noConversion"/>
  </si>
  <si>
    <t>김민환</t>
    <phoneticPr fontId="5" type="noConversion"/>
  </si>
  <si>
    <t>기준정보 개발</t>
    <phoneticPr fontId="21" type="noConversion"/>
  </si>
  <si>
    <t>TBD4</t>
    <phoneticPr fontId="21" type="noConversion"/>
  </si>
  <si>
    <t>강민주</t>
    <phoneticPr fontId="5" type="noConversion"/>
  </si>
  <si>
    <t>박성준</t>
    <phoneticPr fontId="5" type="noConversion"/>
  </si>
  <si>
    <t>TBD5</t>
    <phoneticPr fontId="21" type="noConversion"/>
  </si>
  <si>
    <t>커머스웨어계</t>
    <phoneticPr fontId="5" type="noConversion"/>
  </si>
  <si>
    <t>ktds계</t>
    <phoneticPr fontId="5" type="noConversion"/>
  </si>
  <si>
    <t>총계</t>
    <phoneticPr fontId="5" type="noConversion"/>
  </si>
  <si>
    <t>커머스웨어계</t>
    <phoneticPr fontId="5" type="noConversion"/>
  </si>
  <si>
    <t xml:space="preserve"> </t>
    <phoneticPr fontId="5" type="noConversion"/>
  </si>
  <si>
    <t>소계</t>
    <phoneticPr fontId="21" type="noConversion"/>
  </si>
  <si>
    <t>합계</t>
    <phoneticPr fontId="21" type="noConversion"/>
  </si>
  <si>
    <t>오버</t>
    <phoneticPr fontId="1" type="noConversion"/>
  </si>
  <si>
    <t>부족</t>
    <phoneticPr fontId="1" type="noConversion"/>
  </si>
  <si>
    <t>as-is</t>
    <phoneticPr fontId="1" type="noConversion"/>
  </si>
  <si>
    <t>변경계약</t>
    <phoneticPr fontId="1" type="noConversion"/>
  </si>
  <si>
    <t>기존 공수 차이</t>
    <phoneticPr fontId="1" type="noConversion"/>
  </si>
  <si>
    <t>오버, 5월 철수로 표기됨(25.02~25.05)</t>
    <phoneticPr fontId="1" type="noConversion"/>
  </si>
  <si>
    <t>v</t>
    <phoneticPr fontId="1" type="noConversion"/>
  </si>
  <si>
    <t>추가 투입에서 실투입으로 변경됨</t>
    <phoneticPr fontId="1" type="noConversion"/>
  </si>
  <si>
    <t>특급</t>
    <phoneticPr fontId="1" type="noConversion"/>
  </si>
  <si>
    <t>김동민</t>
    <phoneticPr fontId="1" type="noConversion"/>
  </si>
  <si>
    <t>철수</t>
    <phoneticPr fontId="1" type="noConversion"/>
  </si>
  <si>
    <t>v</t>
    <phoneticPr fontId="1" type="noConversion"/>
  </si>
  <si>
    <t>v</t>
    <phoneticPr fontId="1" type="noConversion"/>
  </si>
  <si>
    <t>김태현</t>
    <phoneticPr fontId="1" type="noConversion"/>
  </si>
  <si>
    <t>추가투입(김지영2 대체)</t>
    <phoneticPr fontId="1" type="noConversion"/>
  </si>
  <si>
    <t>철수</t>
    <phoneticPr fontId="1" type="noConversion"/>
  </si>
  <si>
    <t>철수</t>
    <phoneticPr fontId="1" type="noConversion"/>
  </si>
  <si>
    <t>v</t>
    <phoneticPr fontId="1" type="noConversion"/>
  </si>
  <si>
    <t>v</t>
    <phoneticPr fontId="1" type="noConversion"/>
  </si>
  <si>
    <t>v</t>
    <phoneticPr fontId="1" type="noConversion"/>
  </si>
  <si>
    <t>??</t>
    <phoneticPr fontId="1" type="noConversion"/>
  </si>
  <si>
    <t>??</t>
    <phoneticPr fontId="1" type="noConversion"/>
  </si>
  <si>
    <t>공통개발영역의 '최욱일과 동일인'</t>
    <phoneticPr fontId="1" type="noConversion"/>
  </si>
  <si>
    <t>v</t>
    <phoneticPr fontId="1" type="noConversion"/>
  </si>
  <si>
    <t>v</t>
    <phoneticPr fontId="1" type="noConversion"/>
  </si>
  <si>
    <t>v</t>
    <phoneticPr fontId="1" type="noConversion"/>
  </si>
  <si>
    <t>v</t>
    <phoneticPr fontId="1" type="noConversion"/>
  </si>
  <si>
    <t>v</t>
    <phoneticPr fontId="1" type="noConversion"/>
  </si>
  <si>
    <t>v</t>
    <phoneticPr fontId="1" type="noConversion"/>
  </si>
  <si>
    <t>v</t>
    <phoneticPr fontId="1" type="noConversion"/>
  </si>
  <si>
    <t>강가영</t>
    <phoneticPr fontId="1" type="noConversion"/>
  </si>
  <si>
    <t>정나린</t>
    <phoneticPr fontId="1" type="noConversion"/>
  </si>
  <si>
    <t>초급</t>
    <phoneticPr fontId="18" type="noConversion"/>
  </si>
  <si>
    <t>이소연</t>
    <phoneticPr fontId="1" type="noConversion"/>
  </si>
  <si>
    <t>v</t>
    <phoneticPr fontId="1" type="noConversion"/>
  </si>
  <si>
    <t>특급</t>
    <phoneticPr fontId="5" type="noConversion"/>
  </si>
  <si>
    <t>커머스웨어</t>
    <phoneticPr fontId="1" type="noConversion"/>
  </si>
  <si>
    <t>고급</t>
    <phoneticPr fontId="5" type="noConversion"/>
  </si>
  <si>
    <t>초급</t>
    <phoneticPr fontId="5" type="noConversion"/>
  </si>
  <si>
    <t>선투입 ~5월</t>
    <phoneticPr fontId="1" type="noConversion"/>
  </si>
  <si>
    <t>중급</t>
    <phoneticPr fontId="5" type="noConversion"/>
  </si>
  <si>
    <t>전시/검색/상품 PL -&gt; B/O 파트리더</t>
    <phoneticPr fontId="5" type="noConversion"/>
  </si>
  <si>
    <t>커머스웨어</t>
    <phoneticPr fontId="5" type="noConversion"/>
  </si>
  <si>
    <t>최태준</t>
    <phoneticPr fontId="5" type="noConversion"/>
  </si>
  <si>
    <t xml:space="preserve">철수 </t>
    <phoneticPr fontId="1" type="noConversion"/>
  </si>
  <si>
    <t>마케팅(프로모션/쿠폰/교차할인 등) PL</t>
    <phoneticPr fontId="5" type="noConversion"/>
  </si>
  <si>
    <t>김동영</t>
    <phoneticPr fontId="5" type="noConversion"/>
  </si>
  <si>
    <t>노종완</t>
    <phoneticPr fontId="21" type="noConversion"/>
  </si>
  <si>
    <t>상품 PL/개발</t>
    <phoneticPr fontId="5" type="noConversion"/>
  </si>
  <si>
    <t>주문 PL/개발</t>
    <phoneticPr fontId="5" type="noConversion"/>
  </si>
  <si>
    <t>김민지</t>
    <phoneticPr fontId="5" type="noConversion"/>
  </si>
  <si>
    <t>기준정보 PL/개발</t>
    <phoneticPr fontId="5" type="noConversion"/>
  </si>
  <si>
    <t>강석형</t>
    <phoneticPr fontId="5" type="noConversion"/>
  </si>
  <si>
    <t>점 기반 서비스/이벤트 검색 PL/개발</t>
    <phoneticPr fontId="5" type="noConversion"/>
  </si>
  <si>
    <t>박정진</t>
    <phoneticPr fontId="5" type="noConversion"/>
  </si>
  <si>
    <t>공통 개발</t>
    <phoneticPr fontId="21" type="noConversion"/>
  </si>
  <si>
    <t>박성준</t>
    <phoneticPr fontId="5" type="noConversion"/>
  </si>
  <si>
    <t>초급</t>
    <phoneticPr fontId="21" type="noConversion"/>
  </si>
  <si>
    <t>초급</t>
    <phoneticPr fontId="21" type="noConversion"/>
  </si>
  <si>
    <t>커머스웨어</t>
  </si>
  <si>
    <t>조현근</t>
    <phoneticPr fontId="21" type="noConversion"/>
  </si>
  <si>
    <t>홍창기</t>
    <phoneticPr fontId="5" type="noConversion"/>
  </si>
  <si>
    <t>최희진</t>
    <phoneticPr fontId="5" type="noConversion"/>
  </si>
  <si>
    <t>상품 개발</t>
    <phoneticPr fontId="21" type="noConversion"/>
  </si>
  <si>
    <t>TBD1</t>
    <phoneticPr fontId="5" type="noConversion"/>
  </si>
  <si>
    <t>상품 개발 -&gt; kt ds</t>
    <phoneticPr fontId="5" type="noConversion"/>
  </si>
  <si>
    <t>전시(상품) 분석/개발</t>
    <phoneticPr fontId="21" type="noConversion"/>
  </si>
  <si>
    <t>중급</t>
    <phoneticPr fontId="5" type="noConversion"/>
  </si>
  <si>
    <t>박진우</t>
    <phoneticPr fontId="5" type="noConversion"/>
  </si>
  <si>
    <t>전시(상품) 개발</t>
    <phoneticPr fontId="21" type="noConversion"/>
  </si>
  <si>
    <t>중급</t>
    <phoneticPr fontId="21" type="noConversion"/>
  </si>
  <si>
    <t>김지민</t>
    <phoneticPr fontId="5" type="noConversion"/>
  </si>
  <si>
    <t>전시(상품) 개발 -&gt; kt ds</t>
    <phoneticPr fontId="5" type="noConversion"/>
  </si>
  <si>
    <t>초급</t>
    <phoneticPr fontId="1" type="noConversion"/>
  </si>
  <si>
    <t>TBD</t>
    <phoneticPr fontId="1" type="noConversion"/>
  </si>
  <si>
    <t>프로모션 분석/개발</t>
    <phoneticPr fontId="21" type="noConversion"/>
  </si>
  <si>
    <t>김남욱</t>
    <phoneticPr fontId="5" type="noConversion"/>
  </si>
  <si>
    <t>프로모션 개발 -&gt; kt ds</t>
    <phoneticPr fontId="5" type="noConversion"/>
  </si>
  <si>
    <t>주문 개발</t>
    <phoneticPr fontId="21" type="noConversion"/>
  </si>
  <si>
    <t>초급</t>
    <phoneticPr fontId="5" type="noConversion"/>
  </si>
  <si>
    <t>회원/상담 분석/개발</t>
    <phoneticPr fontId="5" type="noConversion"/>
  </si>
  <si>
    <t>회원/상담 개발</t>
    <phoneticPr fontId="5" type="noConversion"/>
  </si>
  <si>
    <t>회원/상담 -&gt; kt ds</t>
    <phoneticPr fontId="5" type="noConversion"/>
  </si>
  <si>
    <t>초급</t>
    <phoneticPr fontId="1" type="noConversion"/>
  </si>
  <si>
    <t>점 기반 서비스 개발</t>
    <phoneticPr fontId="21" type="noConversion"/>
  </si>
  <si>
    <t>임수현</t>
    <phoneticPr fontId="5" type="noConversion"/>
  </si>
  <si>
    <t>천지원</t>
    <phoneticPr fontId="5" type="noConversion"/>
  </si>
  <si>
    <t>이벤트/검색 개발</t>
    <phoneticPr fontId="21" type="noConversion"/>
  </si>
  <si>
    <t>해외브랜드 개발</t>
    <phoneticPr fontId="21" type="noConversion"/>
  </si>
  <si>
    <t>김민환</t>
    <phoneticPr fontId="5" type="noConversion"/>
  </si>
  <si>
    <t>TBD4</t>
    <phoneticPr fontId="21" type="noConversion"/>
  </si>
  <si>
    <t>강민주</t>
    <phoneticPr fontId="5" type="noConversion"/>
  </si>
  <si>
    <t>TBD5</t>
    <phoneticPr fontId="21" type="noConversion"/>
  </si>
  <si>
    <t>김단비</t>
    <phoneticPr fontId="1" type="noConversion"/>
  </si>
  <si>
    <t>김원경</t>
    <phoneticPr fontId="1" type="noConversion"/>
  </si>
  <si>
    <t>이선영</t>
    <phoneticPr fontId="1" type="noConversion"/>
  </si>
  <si>
    <t>안병윤</t>
    <phoneticPr fontId="1" type="noConversion"/>
  </si>
  <si>
    <t>이연우</t>
    <phoneticPr fontId="1" type="noConversion"/>
  </si>
  <si>
    <t>한현우</t>
    <phoneticPr fontId="1" type="noConversion"/>
  </si>
  <si>
    <t>F/O 파트 리더</t>
    <phoneticPr fontId="5" type="noConversion"/>
  </si>
  <si>
    <t>전시(상품) PL</t>
    <phoneticPr fontId="5" type="noConversion"/>
  </si>
  <si>
    <t>고급</t>
    <phoneticPr fontId="5" type="noConversion"/>
  </si>
  <si>
    <t>주문 PL</t>
    <phoneticPr fontId="5" type="noConversion"/>
  </si>
  <si>
    <t>고급</t>
    <phoneticPr fontId="21" type="noConversion"/>
  </si>
  <si>
    <t>회원 PL</t>
    <phoneticPr fontId="5" type="noConversion"/>
  </si>
  <si>
    <t>공통 개발</t>
    <phoneticPr fontId="21" type="noConversion"/>
  </si>
  <si>
    <t>전시(상품) 개발</t>
    <phoneticPr fontId="21" type="noConversion"/>
  </si>
  <si>
    <t>초급</t>
    <phoneticPr fontId="5" type="noConversion"/>
  </si>
  <si>
    <t>회원 분석/개발</t>
    <phoneticPr fontId="21" type="noConversion"/>
  </si>
  <si>
    <t>중급</t>
    <phoneticPr fontId="5" type="noConversion"/>
  </si>
  <si>
    <t>이벤트/검색 개발</t>
    <phoneticPr fontId="21" type="noConversion"/>
  </si>
  <si>
    <t>해외브랜드 개발</t>
    <phoneticPr fontId="5" type="noConversion"/>
  </si>
  <si>
    <t>모바일 (APP) - Android</t>
    <phoneticPr fontId="5" type="noConversion"/>
  </si>
  <si>
    <t>공통 PL</t>
    <phoneticPr fontId="5" type="noConversion"/>
  </si>
  <si>
    <t>전시(상품) 분석/개발</t>
    <phoneticPr fontId="21" type="noConversion"/>
  </si>
  <si>
    <t>이벤트/검색 분석/개발</t>
    <phoneticPr fontId="21" type="noConversion"/>
  </si>
  <si>
    <t>모바일 (APP) - IOS</t>
    <phoneticPr fontId="5" type="noConversion"/>
  </si>
  <si>
    <t>특급</t>
    <phoneticPr fontId="5" type="noConversion"/>
  </si>
  <si>
    <t>고급</t>
    <phoneticPr fontId="5" type="noConversion"/>
  </si>
  <si>
    <t>초급</t>
    <phoneticPr fontId="5" type="noConversion"/>
  </si>
  <si>
    <t>조민하</t>
    <phoneticPr fontId="5" type="noConversion"/>
  </si>
  <si>
    <t>선수림</t>
    <phoneticPr fontId="5" type="noConversion"/>
  </si>
  <si>
    <t>임연주</t>
    <phoneticPr fontId="5" type="noConversion"/>
  </si>
  <si>
    <t>장윤정</t>
    <phoneticPr fontId="5" type="noConversion"/>
  </si>
  <si>
    <t>최준태</t>
    <phoneticPr fontId="21" type="noConversion"/>
  </si>
  <si>
    <t>안희주</t>
    <phoneticPr fontId="5" type="noConversion"/>
  </si>
  <si>
    <t>최욱일</t>
    <phoneticPr fontId="5" type="noConversion"/>
  </si>
  <si>
    <t>정수현</t>
    <phoneticPr fontId="5" type="noConversion"/>
  </si>
  <si>
    <t>김영석</t>
    <phoneticPr fontId="5" type="noConversion"/>
  </si>
  <si>
    <t>조현근</t>
    <phoneticPr fontId="5" type="noConversion"/>
  </si>
  <si>
    <t>안성현</t>
    <phoneticPr fontId="5" type="noConversion"/>
  </si>
  <si>
    <t>마현</t>
    <phoneticPr fontId="5" type="noConversion"/>
  </si>
  <si>
    <t>변진배</t>
    <phoneticPr fontId="5" type="noConversion"/>
  </si>
  <si>
    <t>윤주빈</t>
    <phoneticPr fontId="5" type="noConversion"/>
  </si>
  <si>
    <t>정유정</t>
    <phoneticPr fontId="5" type="noConversion"/>
  </si>
  <si>
    <t>이지호</t>
    <phoneticPr fontId="5" type="noConversion"/>
  </si>
  <si>
    <t>장범석</t>
    <phoneticPr fontId="5" type="noConversion"/>
  </si>
  <si>
    <t>박은진</t>
    <phoneticPr fontId="5" type="noConversion"/>
  </si>
  <si>
    <t>이풍호</t>
    <phoneticPr fontId="5" type="noConversion"/>
  </si>
  <si>
    <t>천승헌</t>
    <phoneticPr fontId="5" type="noConversion"/>
  </si>
  <si>
    <t>선투입 ~5월</t>
    <phoneticPr fontId="1" type="noConversion"/>
  </si>
  <si>
    <t xml:space="preserve">퍼블리싱 초기 Front 환경 구성
개발 Framework  구성 : 노수윤 차장님 지원예정 </t>
    <phoneticPr fontId="1" type="noConversion"/>
  </si>
  <si>
    <t>특급</t>
    <phoneticPr fontId="1" type="noConversion"/>
  </si>
  <si>
    <t>이노다임</t>
    <phoneticPr fontId="1" type="noConversion"/>
  </si>
  <si>
    <t>TBD</t>
    <phoneticPr fontId="1" type="noConversion"/>
  </si>
  <si>
    <t>초급</t>
    <phoneticPr fontId="1" type="noConversion"/>
  </si>
  <si>
    <t>강사랑</t>
    <phoneticPr fontId="1" type="noConversion"/>
  </si>
  <si>
    <t>고급</t>
    <phoneticPr fontId="1" type="noConversion"/>
  </si>
  <si>
    <t>OPEN API</t>
    <phoneticPr fontId="1" type="noConversion"/>
  </si>
  <si>
    <t>마이그레이션</t>
    <phoneticPr fontId="1" type="noConversion"/>
  </si>
  <si>
    <t>HBSS</t>
    <phoneticPr fontId="1" type="noConversion"/>
  </si>
  <si>
    <t>OPEN API</t>
    <phoneticPr fontId="1" type="noConversion"/>
  </si>
  <si>
    <t>QA개발(QC 상품 품질관리)</t>
    <phoneticPr fontId="1" type="noConversion"/>
  </si>
  <si>
    <t>이노다임</t>
    <phoneticPr fontId="1" type="noConversion"/>
  </si>
  <si>
    <t>이노다임</t>
    <phoneticPr fontId="1" type="noConversion"/>
  </si>
  <si>
    <t>선투입 ~ 5월</t>
    <phoneticPr fontId="1" type="noConversion"/>
  </si>
  <si>
    <t>v</t>
    <phoneticPr fontId="1" type="noConversion"/>
  </si>
  <si>
    <t>v</t>
    <phoneticPr fontId="1" type="noConversion"/>
  </si>
  <si>
    <t>v</t>
    <phoneticPr fontId="1" type="noConversion"/>
  </si>
  <si>
    <t>컨넥티드</t>
    <phoneticPr fontId="1" type="noConversion"/>
  </si>
  <si>
    <t>이용주</t>
    <phoneticPr fontId="1" type="noConversion"/>
  </si>
  <si>
    <t>컨넥티드</t>
    <phoneticPr fontId="1" type="noConversion"/>
  </si>
  <si>
    <t>유승연</t>
    <phoneticPr fontId="1" type="noConversion"/>
  </si>
  <si>
    <t>TBD</t>
    <phoneticPr fontId="1" type="noConversion"/>
  </si>
  <si>
    <t>그룹장 PL(총괄 관리)</t>
    <phoneticPr fontId="1" type="noConversion"/>
  </si>
  <si>
    <t>최승일</t>
    <phoneticPr fontId="1" type="noConversion"/>
  </si>
  <si>
    <t>추가투입</t>
    <phoneticPr fontId="1" type="noConversion"/>
  </si>
  <si>
    <t>철수</t>
    <phoneticPr fontId="1" type="noConversion"/>
  </si>
  <si>
    <t>유승용</t>
    <phoneticPr fontId="1" type="noConversion"/>
  </si>
  <si>
    <t>추가투입</t>
    <phoneticPr fontId="1" type="noConversion"/>
  </si>
  <si>
    <t>유지현</t>
    <phoneticPr fontId="1" type="noConversion"/>
  </si>
  <si>
    <t>고급</t>
    <phoneticPr fontId="1" type="noConversion"/>
  </si>
  <si>
    <t>백진현</t>
    <phoneticPr fontId="1" type="noConversion"/>
  </si>
  <si>
    <t>나현종</t>
    <phoneticPr fontId="1" type="noConversion"/>
  </si>
  <si>
    <t>이홍규</t>
    <phoneticPr fontId="1" type="noConversion"/>
  </si>
  <si>
    <t>서하운</t>
    <phoneticPr fontId="1" type="noConversion"/>
  </si>
  <si>
    <t>주명빈</t>
    <phoneticPr fontId="1" type="noConversion"/>
  </si>
  <si>
    <t>박순복</t>
    <phoneticPr fontId="1" type="noConversion"/>
  </si>
  <si>
    <t>kt ds -&gt; 너우리시스템</t>
    <phoneticPr fontId="1" type="noConversion"/>
  </si>
  <si>
    <t>권정기</t>
    <phoneticPr fontId="1" type="noConversion"/>
  </si>
  <si>
    <t>kt ds</t>
    <phoneticPr fontId="1" type="noConversion"/>
  </si>
  <si>
    <t>개발 계약 준비, 변화관리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</si>
</sst>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-* #,##0_-;\-* #,##0_-;_-* &quot;-&quot;_-;_-@_-"/>
    <numFmt numFmtId="177" formatCode="_-* #,##0.00_-;\-* #,##0.00_-;_-* &quot;-&quot;??_-;_-@_-"/>
    <numFmt numFmtId="178" formatCode="0.0_ "/>
    <numFmt numFmtId="179" formatCode="_-* #,##0.0_-;\-* #,##0.0_-;_-* &quot;-&quot;?_-;_-@_-"/>
    <numFmt numFmtId="180" formatCode="0.0"/>
    <numFmt numFmtId="181" formatCode="0.00_ "/>
    <numFmt numFmtId="182" formatCode="_-* #,##0.00_-;\-* #,##0.00_-;_-* &quot;-&quot;?_-;_-@_-"/>
    <numFmt numFmtId="183" formatCode="0.0%"/>
    <numFmt numFmtId="184" formatCode="_-* #,##0.0_-;\-* #,##0.0_-;_-* &quot;-&quot;_-;_-@_-"/>
    <numFmt numFmtId="185" formatCode="#,##0.0_ "/>
    <numFmt numFmtId="186" formatCode="mm\/dd"/>
    <numFmt numFmtId="187" formatCode="0.0_);[Red]\(0.0\)"/>
    <numFmt numFmtId="188" formatCode="yyyy\-mm\-dd"/>
    <numFmt numFmtId="189" formatCode="_-* #,##0.00_-;\-* #,##0.00_-;_-* &quot;-&quot;_-;_-@_-"/>
    <numFmt numFmtId="190" formatCode="0.000_ "/>
    <numFmt numFmtId="191" formatCode="#,##0.0_);\(#,##0.0\)"/>
    <numFmt numFmtId="192" formatCode="0_);[Red]\(0\)"/>
    <numFmt numFmtId="193" formatCode="mm&quot;월&quot;\ dd&quot;일&quot;"/>
  </numFmts>
  <fonts count="4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theme="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9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0"/>
      <color rgb="FF00206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맑은 고딕"/>
      <family val="2"/>
      <charset val="129"/>
    </font>
    <font>
      <b/>
      <sz val="10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0"/>
      <color rgb="FF000000"/>
      <name val="맑은 고딕"/>
      <family val="2"/>
      <charset val="129"/>
    </font>
    <font>
      <sz val="10"/>
      <name val="돋움"/>
      <family val="3"/>
      <charset val="129"/>
    </font>
    <font>
      <b/>
      <sz val="10"/>
      <name val="맑은 고딕"/>
      <family val="3"/>
      <charset val="129"/>
    </font>
  </fonts>
  <fills count="4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gray125">
        <bgColor theme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gray125">
        <bgColor rgb="FFFFFF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lightGray">
        <bgColor rgb="FFFFFF00"/>
      </patternFill>
    </fill>
    <fill>
      <patternFill patternType="solid">
        <fgColor indexed="6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-0.249977111117893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3" tint="0.79998168889431442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lightGray">
        <bgColor theme="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rgb="FF000000"/>
      </patternFill>
    </fill>
  </fills>
  <borders count="2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thin">
        <color theme="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medium">
        <color theme="1"/>
      </right>
      <top style="thin">
        <color indexed="64"/>
      </top>
      <bottom/>
      <diagonal/>
    </border>
    <border>
      <left style="thin">
        <color theme="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/>
      <bottom style="thin">
        <color indexed="64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/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 style="medium">
        <color indexed="64"/>
      </right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0"/>
      </left>
      <right style="medium">
        <color theme="1"/>
      </right>
      <top style="medium">
        <color theme="0"/>
      </top>
      <bottom style="medium">
        <color theme="0"/>
      </bottom>
      <diagonal/>
    </border>
    <border>
      <left/>
      <right style="medium">
        <color theme="1"/>
      </right>
      <top/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 style="thin">
        <color indexed="64"/>
      </top>
      <bottom/>
      <diagonal/>
    </border>
    <border>
      <left/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medium">
        <color theme="0"/>
      </right>
      <top style="medium">
        <color theme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1"/>
      </top>
      <bottom/>
      <diagonal/>
    </border>
    <border>
      <left style="medium">
        <color theme="0"/>
      </left>
      <right style="medium">
        <color theme="1"/>
      </right>
      <top style="medium">
        <color theme="1"/>
      </top>
      <bottom style="medium">
        <color theme="0"/>
      </bottom>
      <diagonal/>
    </border>
    <border>
      <left style="medium">
        <color theme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1"/>
      </left>
      <right style="medium">
        <color theme="0"/>
      </right>
      <top style="medium">
        <color theme="0"/>
      </top>
      <bottom style="medium">
        <color theme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1"/>
      </bottom>
      <diagonal/>
    </border>
    <border>
      <left style="medium">
        <color theme="0"/>
      </left>
      <right style="medium">
        <color theme="1"/>
      </right>
      <top style="medium">
        <color theme="0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indexed="64"/>
      </bottom>
      <diagonal/>
    </border>
    <border>
      <left/>
      <right style="medium">
        <color theme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/>
      <bottom style="thin">
        <color indexed="64"/>
      </bottom>
      <diagonal/>
    </border>
    <border>
      <left style="medium">
        <color theme="0"/>
      </left>
      <right/>
      <top style="medium">
        <color theme="1"/>
      </top>
      <bottom style="medium">
        <color theme="0"/>
      </bottom>
      <diagonal/>
    </border>
    <border>
      <left/>
      <right style="medium">
        <color theme="0"/>
      </right>
      <top style="medium">
        <color theme="1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 style="medium">
        <color theme="1"/>
      </left>
      <right/>
      <top style="medium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theme="1"/>
      </right>
      <top/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medium">
        <color theme="1"/>
      </left>
      <right style="medium">
        <color indexed="64"/>
      </right>
      <top/>
      <bottom/>
      <diagonal/>
    </border>
    <border>
      <left/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/>
      <bottom/>
      <diagonal/>
    </border>
    <border>
      <left/>
      <right style="thin">
        <color rgb="FFFFFFFF"/>
      </right>
      <top style="medium">
        <color indexed="64"/>
      </top>
      <bottom/>
      <diagonal/>
    </border>
    <border>
      <left style="thin">
        <color rgb="FFFFFFFF"/>
      </left>
      <right style="thin">
        <color rgb="FFFFFFFF"/>
      </right>
      <top style="medium">
        <color indexed="64"/>
      </top>
      <bottom style="thin">
        <color rgb="FFFFFFFF"/>
      </bottom>
      <diagonal/>
    </border>
    <border>
      <left style="thin">
        <color rgb="FFFFFFFF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indexed="64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medium">
        <color theme="1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1924">
    <xf numFmtId="0" fontId="0" fillId="0" borderId="0" xfId="0">
      <alignment vertical="center"/>
    </xf>
    <xf numFmtId="0" fontId="7" fillId="0" borderId="1" xfId="2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8" fontId="7" fillId="0" borderId="1" xfId="2" applyNumberFormat="1" applyFont="1" applyBorder="1" applyAlignment="1">
      <alignment horizontal="center" vertical="center"/>
    </xf>
    <xf numFmtId="178" fontId="7" fillId="0" borderId="2" xfId="2" applyNumberFormat="1" applyFont="1" applyBorder="1" applyAlignment="1">
      <alignment horizontal="center" vertical="center"/>
    </xf>
    <xf numFmtId="178" fontId="7" fillId="0" borderId="3" xfId="2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8" fontId="7" fillId="0" borderId="8" xfId="2" applyNumberFormat="1" applyFont="1" applyBorder="1" applyAlignment="1">
      <alignment horizontal="center" vertical="center"/>
    </xf>
    <xf numFmtId="178" fontId="7" fillId="0" borderId="12" xfId="2" applyNumberFormat="1" applyFont="1" applyBorder="1" applyAlignment="1">
      <alignment horizontal="center" vertical="center"/>
    </xf>
    <xf numFmtId="0" fontId="7" fillId="0" borderId="8" xfId="2" applyFont="1" applyBorder="1" applyAlignment="1">
      <alignment horizontal="center" vertical="center"/>
    </xf>
    <xf numFmtId="0" fontId="6" fillId="2" borderId="20" xfId="2" applyFont="1" applyFill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8" fontId="7" fillId="0" borderId="7" xfId="2" applyNumberFormat="1" applyFont="1" applyBorder="1" applyAlignment="1">
      <alignment horizontal="center" vertical="center"/>
    </xf>
    <xf numFmtId="178" fontId="7" fillId="0" borderId="9" xfId="2" applyNumberFormat="1" applyFont="1" applyBorder="1" applyAlignment="1">
      <alignment horizontal="center" vertical="center"/>
    </xf>
    <xf numFmtId="178" fontId="7" fillId="0" borderId="10" xfId="2" applyNumberFormat="1" applyFont="1" applyBorder="1" applyAlignment="1">
      <alignment horizontal="center" vertical="center"/>
    </xf>
    <xf numFmtId="178" fontId="7" fillId="0" borderId="41" xfId="2" applyNumberFormat="1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7" fillId="0" borderId="15" xfId="2" applyFont="1" applyBorder="1" applyAlignment="1">
      <alignment horizontal="center" vertical="center"/>
    </xf>
    <xf numFmtId="178" fontId="7" fillId="0" borderId="14" xfId="2" applyNumberFormat="1" applyFont="1" applyBorder="1" applyAlignment="1">
      <alignment horizontal="center" vertical="center"/>
    </xf>
    <xf numFmtId="178" fontId="7" fillId="0" borderId="44" xfId="2" applyNumberFormat="1" applyFont="1" applyBorder="1" applyAlignment="1">
      <alignment horizontal="center" vertical="center"/>
    </xf>
    <xf numFmtId="178" fontId="7" fillId="0" borderId="11" xfId="2" applyNumberFormat="1" applyFont="1" applyBorder="1" applyAlignment="1">
      <alignment horizontal="center" vertical="center"/>
    </xf>
    <xf numFmtId="178" fontId="7" fillId="0" borderId="13" xfId="2" applyNumberFormat="1" applyFont="1" applyBorder="1" applyAlignment="1">
      <alignment horizontal="center" vertical="center"/>
    </xf>
    <xf numFmtId="178" fontId="7" fillId="0" borderId="45" xfId="2" applyNumberFormat="1" applyFont="1" applyBorder="1" applyAlignment="1">
      <alignment horizontal="center" vertical="center"/>
    </xf>
    <xf numFmtId="178" fontId="7" fillId="0" borderId="46" xfId="2" applyNumberFormat="1" applyFont="1" applyBorder="1" applyAlignment="1">
      <alignment horizontal="center" vertical="center"/>
    </xf>
    <xf numFmtId="178" fontId="7" fillId="4" borderId="41" xfId="2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8" fontId="7" fillId="4" borderId="10" xfId="2" applyNumberFormat="1" applyFont="1" applyFill="1" applyBorder="1" applyAlignment="1">
      <alignment horizontal="center" vertical="center"/>
    </xf>
    <xf numFmtId="178" fontId="7" fillId="4" borderId="1" xfId="2" applyNumberFormat="1" applyFont="1" applyFill="1" applyBorder="1" applyAlignment="1">
      <alignment horizontal="center" vertical="center"/>
    </xf>
    <xf numFmtId="178" fontId="7" fillId="4" borderId="5" xfId="2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42" xfId="0" applyFont="1" applyFill="1" applyBorder="1" applyAlignment="1">
      <alignment horizontal="center" vertical="center"/>
    </xf>
    <xf numFmtId="0" fontId="6" fillId="2" borderId="24" xfId="2" applyFont="1" applyFill="1" applyBorder="1" applyAlignment="1">
      <alignment horizontal="center" vertical="center"/>
    </xf>
    <xf numFmtId="0" fontId="7" fillId="0" borderId="41" xfId="2" applyFont="1" applyBorder="1" applyAlignment="1">
      <alignment horizontal="center" vertical="center"/>
    </xf>
    <xf numFmtId="179" fontId="2" fillId="0" borderId="30" xfId="1" applyNumberFormat="1" applyFont="1" applyBorder="1">
      <alignment vertical="center"/>
    </xf>
    <xf numFmtId="179" fontId="2" fillId="0" borderId="58" xfId="1" applyNumberFormat="1" applyFont="1" applyBorder="1">
      <alignment vertical="center"/>
    </xf>
    <xf numFmtId="179" fontId="2" fillId="0" borderId="31" xfId="1" applyNumberFormat="1" applyFont="1" applyBorder="1">
      <alignment vertical="center"/>
    </xf>
    <xf numFmtId="179" fontId="2" fillId="0" borderId="59" xfId="1" applyNumberFormat="1" applyFont="1" applyBorder="1">
      <alignment vertical="center"/>
    </xf>
    <xf numFmtId="178" fontId="7" fillId="4" borderId="45" xfId="2" applyNumberFormat="1" applyFont="1" applyFill="1" applyBorder="1" applyAlignment="1">
      <alignment horizontal="center" vertical="center"/>
    </xf>
    <xf numFmtId="178" fontId="7" fillId="4" borderId="3" xfId="2" applyNumberFormat="1" applyFont="1" applyFill="1" applyBorder="1" applyAlignment="1">
      <alignment horizontal="center" vertical="center"/>
    </xf>
    <xf numFmtId="0" fontId="6" fillId="2" borderId="23" xfId="2" applyFont="1" applyFill="1" applyBorder="1" applyAlignment="1">
      <alignment horizontal="center" vertical="center"/>
    </xf>
    <xf numFmtId="0" fontId="6" fillId="2" borderId="43" xfId="2" applyFont="1" applyFill="1" applyBorder="1">
      <alignment vertical="center"/>
    </xf>
    <xf numFmtId="178" fontId="7" fillId="0" borderId="35" xfId="2" applyNumberFormat="1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16" xfId="2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178" fontId="7" fillId="4" borderId="52" xfId="2" applyNumberFormat="1" applyFont="1" applyFill="1" applyBorder="1" applyAlignment="1">
      <alignment horizontal="center" vertical="center"/>
    </xf>
    <xf numFmtId="178" fontId="7" fillId="4" borderId="7" xfId="2" applyNumberFormat="1" applyFont="1" applyFill="1" applyBorder="1" applyAlignment="1">
      <alignment horizontal="center" vertical="center"/>
    </xf>
    <xf numFmtId="178" fontId="7" fillId="4" borderId="8" xfId="2" applyNumberFormat="1" applyFont="1" applyFill="1" applyBorder="1" applyAlignment="1">
      <alignment horizontal="center" vertical="center"/>
    </xf>
    <xf numFmtId="178" fontId="7" fillId="4" borderId="9" xfId="2" applyNumberFormat="1" applyFont="1" applyFill="1" applyBorder="1" applyAlignment="1">
      <alignment horizontal="center" vertical="center"/>
    </xf>
    <xf numFmtId="178" fontId="7" fillId="4" borderId="11" xfId="2" applyNumberFormat="1" applyFont="1" applyFill="1" applyBorder="1" applyAlignment="1">
      <alignment horizontal="center" vertical="center"/>
    </xf>
    <xf numFmtId="178" fontId="7" fillId="4" borderId="14" xfId="2" applyNumberFormat="1" applyFont="1" applyFill="1" applyBorder="1" applyAlignment="1">
      <alignment horizontal="center" vertical="center"/>
    </xf>
    <xf numFmtId="178" fontId="7" fillId="4" borderId="2" xfId="2" applyNumberFormat="1" applyFont="1" applyFill="1" applyBorder="1" applyAlignment="1">
      <alignment horizontal="center" vertical="center"/>
    </xf>
    <xf numFmtId="178" fontId="7" fillId="4" borderId="44" xfId="2" applyNumberFormat="1" applyFont="1" applyFill="1" applyBorder="1" applyAlignment="1">
      <alignment horizontal="center" vertical="center"/>
    </xf>
    <xf numFmtId="181" fontId="7" fillId="0" borderId="10" xfId="2" applyNumberFormat="1" applyFont="1" applyBorder="1" applyAlignment="1">
      <alignment horizontal="center" vertical="center"/>
    </xf>
    <xf numFmtId="181" fontId="7" fillId="0" borderId="1" xfId="2" applyNumberFormat="1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179" fontId="2" fillId="0" borderId="58" xfId="1" applyNumberFormat="1" applyFont="1" applyFill="1" applyBorder="1">
      <alignment vertical="center"/>
    </xf>
    <xf numFmtId="0" fontId="6" fillId="2" borderId="43" xfId="2" applyFont="1" applyFill="1" applyBorder="1" applyAlignment="1">
      <alignment horizontal="center" vertical="center"/>
    </xf>
    <xf numFmtId="0" fontId="6" fillId="2" borderId="6" xfId="2" applyFont="1" applyFill="1" applyBorder="1" applyAlignment="1">
      <alignment horizontal="center" vertical="center"/>
    </xf>
    <xf numFmtId="0" fontId="7" fillId="0" borderId="23" xfId="2" applyFont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182" fontId="2" fillId="0" borderId="58" xfId="1" applyNumberFormat="1" applyFont="1" applyFill="1" applyBorder="1">
      <alignment vertical="center"/>
    </xf>
    <xf numFmtId="179" fontId="2" fillId="0" borderId="59" xfId="1" applyNumberFormat="1" applyFont="1" applyFill="1" applyBorder="1">
      <alignment vertical="center"/>
    </xf>
    <xf numFmtId="178" fontId="12" fillId="0" borderId="1" xfId="2" applyNumberFormat="1" applyFont="1" applyBorder="1" applyAlignment="1">
      <alignment horizontal="center" vertical="center"/>
    </xf>
    <xf numFmtId="178" fontId="12" fillId="0" borderId="5" xfId="2" applyNumberFormat="1" applyFont="1" applyBorder="1" applyAlignment="1">
      <alignment horizontal="center" vertical="center"/>
    </xf>
    <xf numFmtId="178" fontId="12" fillId="0" borderId="41" xfId="2" applyNumberFormat="1" applyFont="1" applyBorder="1" applyAlignment="1">
      <alignment horizontal="center" vertical="center"/>
    </xf>
    <xf numFmtId="178" fontId="12" fillId="0" borderId="10" xfId="2" applyNumberFormat="1" applyFont="1" applyBorder="1" applyAlignment="1">
      <alignment horizontal="center" vertical="center"/>
    </xf>
    <xf numFmtId="178" fontId="12" fillId="0" borderId="42" xfId="2" applyNumberFormat="1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6" fillId="2" borderId="34" xfId="2" applyFont="1" applyFill="1" applyBorder="1" applyAlignment="1">
      <alignment horizontal="center" vertical="center"/>
    </xf>
    <xf numFmtId="178" fontId="12" fillId="4" borderId="10" xfId="2" applyNumberFormat="1" applyFont="1" applyFill="1" applyBorder="1" applyAlignment="1">
      <alignment horizontal="center" vertical="center"/>
    </xf>
    <xf numFmtId="179" fontId="2" fillId="0" borderId="31" xfId="1" applyNumberFormat="1" applyFont="1" applyFill="1" applyBorder="1">
      <alignment vertical="center"/>
    </xf>
    <xf numFmtId="179" fontId="2" fillId="4" borderId="58" xfId="1" applyNumberFormat="1" applyFont="1" applyFill="1" applyBorder="1">
      <alignment vertical="center"/>
    </xf>
    <xf numFmtId="0" fontId="2" fillId="8" borderId="1" xfId="0" applyFont="1" applyFill="1" applyBorder="1" applyAlignment="1">
      <alignment horizontal="center" vertical="center"/>
    </xf>
    <xf numFmtId="0" fontId="7" fillId="4" borderId="1" xfId="2" applyFont="1" applyFill="1" applyBorder="1">
      <alignment vertical="center"/>
    </xf>
    <xf numFmtId="0" fontId="7" fillId="4" borderId="8" xfId="2" applyFont="1" applyFill="1" applyBorder="1">
      <alignment vertical="center"/>
    </xf>
    <xf numFmtId="0" fontId="2" fillId="4" borderId="3" xfId="0" applyFont="1" applyFill="1" applyBorder="1">
      <alignment vertical="center"/>
    </xf>
    <xf numFmtId="0" fontId="7" fillId="4" borderId="3" xfId="2" applyFont="1" applyFill="1" applyBorder="1" applyAlignment="1">
      <alignment horizontal="left" vertical="center"/>
    </xf>
    <xf numFmtId="0" fontId="7" fillId="4" borderId="35" xfId="2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13" fillId="4" borderId="5" xfId="2" applyFont="1" applyFill="1" applyBorder="1">
      <alignment vertical="center"/>
    </xf>
    <xf numFmtId="0" fontId="2" fillId="4" borderId="8" xfId="0" applyFont="1" applyFill="1" applyBorder="1" applyAlignment="1">
      <alignment horizontal="left" vertical="center"/>
    </xf>
    <xf numFmtId="178" fontId="7" fillId="9" borderId="1" xfId="2" applyNumberFormat="1" applyFont="1" applyFill="1" applyBorder="1" applyAlignment="1">
      <alignment horizontal="center" vertical="center"/>
    </xf>
    <xf numFmtId="178" fontId="7" fillId="9" borderId="10" xfId="2" applyNumberFormat="1" applyFont="1" applyFill="1" applyBorder="1" applyAlignment="1">
      <alignment horizontal="center" vertical="center"/>
    </xf>
    <xf numFmtId="178" fontId="7" fillId="9" borderId="41" xfId="2" applyNumberFormat="1" applyFont="1" applyFill="1" applyBorder="1" applyAlignment="1">
      <alignment horizontal="center" vertical="center"/>
    </xf>
    <xf numFmtId="178" fontId="7" fillId="9" borderId="3" xfId="2" applyNumberFormat="1" applyFont="1" applyFill="1" applyBorder="1" applyAlignment="1">
      <alignment horizontal="center" vertical="center"/>
    </xf>
    <xf numFmtId="178" fontId="7" fillId="9" borderId="45" xfId="2" applyNumberFormat="1" applyFont="1" applyFill="1" applyBorder="1" applyAlignment="1">
      <alignment horizontal="center" vertical="center"/>
    </xf>
    <xf numFmtId="178" fontId="7" fillId="9" borderId="46" xfId="2" applyNumberFormat="1" applyFont="1" applyFill="1" applyBorder="1" applyAlignment="1">
      <alignment horizontal="center" vertical="center"/>
    </xf>
    <xf numFmtId="0" fontId="7" fillId="4" borderId="8" xfId="2" applyFont="1" applyFill="1" applyBorder="1" applyAlignment="1">
      <alignment horizontal="center" vertical="center"/>
    </xf>
    <xf numFmtId="0" fontId="7" fillId="4" borderId="2" xfId="2" applyFont="1" applyFill="1" applyBorder="1" applyAlignment="1">
      <alignment horizontal="center" vertical="center"/>
    </xf>
    <xf numFmtId="0" fontId="7" fillId="4" borderId="1" xfId="2" applyFont="1" applyFill="1" applyBorder="1" applyAlignment="1">
      <alignment horizontal="center" vertical="center"/>
    </xf>
    <xf numFmtId="0" fontId="6" fillId="2" borderId="70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7" fillId="10" borderId="35" xfId="2" applyFont="1" applyFill="1" applyBorder="1" applyAlignment="1">
      <alignment horizontal="left" vertical="center"/>
    </xf>
    <xf numFmtId="0" fontId="7" fillId="10" borderId="1" xfId="2" applyFont="1" applyFill="1" applyBorder="1">
      <alignment vertical="center"/>
    </xf>
    <xf numFmtId="0" fontId="7" fillId="0" borderId="27" xfId="2" applyFont="1" applyBorder="1" applyAlignment="1">
      <alignment horizontal="center" vertical="center"/>
    </xf>
    <xf numFmtId="0" fontId="7" fillId="4" borderId="27" xfId="2" applyFont="1" applyFill="1" applyBorder="1" applyAlignment="1">
      <alignment horizontal="center" vertical="center"/>
    </xf>
    <xf numFmtId="0" fontId="7" fillId="4" borderId="12" xfId="2" applyFont="1" applyFill="1" applyBorder="1">
      <alignment vertical="center"/>
    </xf>
    <xf numFmtId="0" fontId="7" fillId="0" borderId="12" xfId="2" applyFont="1" applyBorder="1" applyAlignment="1">
      <alignment horizontal="center" vertical="center"/>
    </xf>
    <xf numFmtId="0" fontId="7" fillId="0" borderId="13" xfId="2" applyFont="1" applyBorder="1" applyAlignment="1">
      <alignment horizontal="center" vertical="center"/>
    </xf>
    <xf numFmtId="0" fontId="7" fillId="4" borderId="72" xfId="2" applyFont="1" applyFill="1" applyBorder="1" applyAlignment="1">
      <alignment horizontal="center" vertical="center"/>
    </xf>
    <xf numFmtId="0" fontId="7" fillId="4" borderId="25" xfId="2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14" fillId="4" borderId="2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4" fillId="4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/>
    </xf>
    <xf numFmtId="0" fontId="14" fillId="4" borderId="2" xfId="0" applyFont="1" applyFill="1" applyBorder="1" applyAlignment="1">
      <alignment horizontal="left" vertical="center"/>
    </xf>
    <xf numFmtId="0" fontId="14" fillId="4" borderId="4" xfId="0" applyFont="1" applyFill="1" applyBorder="1" applyAlignment="1">
      <alignment horizontal="center" vertical="center"/>
    </xf>
    <xf numFmtId="0" fontId="7" fillId="5" borderId="19" xfId="2" applyFont="1" applyFill="1" applyBorder="1" applyAlignment="1">
      <alignment vertical="center" wrapText="1"/>
    </xf>
    <xf numFmtId="178" fontId="12" fillId="10" borderId="1" xfId="2" applyNumberFormat="1" applyFont="1" applyFill="1" applyBorder="1" applyAlignment="1">
      <alignment horizontal="center" vertical="center"/>
    </xf>
    <xf numFmtId="0" fontId="7" fillId="4" borderId="4" xfId="2" applyFont="1" applyFill="1" applyBorder="1" applyAlignment="1">
      <alignment horizontal="center" vertical="center"/>
    </xf>
    <xf numFmtId="0" fontId="7" fillId="4" borderId="15" xfId="2" applyFont="1" applyFill="1" applyBorder="1" applyAlignment="1">
      <alignment horizontal="center" vertical="center"/>
    </xf>
    <xf numFmtId="178" fontId="7" fillId="0" borderId="61" xfId="2" applyNumberFormat="1" applyFont="1" applyBorder="1" applyAlignment="1">
      <alignment horizontal="center" vertical="center"/>
    </xf>
    <xf numFmtId="178" fontId="7" fillId="4" borderId="46" xfId="2" applyNumberFormat="1" applyFont="1" applyFill="1" applyBorder="1" applyAlignment="1">
      <alignment horizontal="center" vertical="center"/>
    </xf>
    <xf numFmtId="0" fontId="7" fillId="6" borderId="1" xfId="2" applyFont="1" applyFill="1" applyBorder="1">
      <alignment vertical="center"/>
    </xf>
    <xf numFmtId="0" fontId="7" fillId="6" borderId="3" xfId="2" applyFont="1" applyFill="1" applyBorder="1" applyAlignment="1">
      <alignment horizontal="left" vertical="center" wrapText="1"/>
    </xf>
    <xf numFmtId="0" fontId="7" fillId="6" borderId="35" xfId="2" applyFont="1" applyFill="1" applyBorder="1" applyAlignment="1">
      <alignment horizontal="left" vertical="center" wrapText="1"/>
    </xf>
    <xf numFmtId="0" fontId="7" fillId="6" borderId="2" xfId="2" applyFont="1" applyFill="1" applyBorder="1" applyAlignment="1">
      <alignment horizontal="left" vertical="center" wrapText="1"/>
    </xf>
    <xf numFmtId="178" fontId="12" fillId="10" borderId="2" xfId="2" applyNumberFormat="1" applyFont="1" applyFill="1" applyBorder="1" applyAlignment="1">
      <alignment horizontal="center" vertical="center"/>
    </xf>
    <xf numFmtId="178" fontId="12" fillId="0" borderId="2" xfId="2" applyNumberFormat="1" applyFont="1" applyBorder="1" applyAlignment="1">
      <alignment horizontal="center" vertical="center"/>
    </xf>
    <xf numFmtId="178" fontId="12" fillId="0" borderId="44" xfId="2" applyNumberFormat="1" applyFont="1" applyBorder="1" applyAlignment="1">
      <alignment horizontal="center" vertical="center"/>
    </xf>
    <xf numFmtId="178" fontId="12" fillId="0" borderId="14" xfId="2" applyNumberFormat="1" applyFont="1" applyBorder="1" applyAlignment="1">
      <alignment horizontal="center" vertical="center"/>
    </xf>
    <xf numFmtId="178" fontId="12" fillId="0" borderId="29" xfId="2" applyNumberFormat="1" applyFont="1" applyBorder="1" applyAlignment="1">
      <alignment horizontal="center" vertical="center"/>
    </xf>
    <xf numFmtId="179" fontId="2" fillId="11" borderId="0" xfId="1" applyNumberFormat="1" applyFont="1" applyFill="1" applyBorder="1">
      <alignment vertical="center"/>
    </xf>
    <xf numFmtId="0" fontId="7" fillId="11" borderId="19" xfId="2" applyFont="1" applyFill="1" applyBorder="1" applyAlignment="1">
      <alignment vertical="center" wrapText="1"/>
    </xf>
    <xf numFmtId="0" fontId="2" fillId="11" borderId="50" xfId="0" applyFont="1" applyFill="1" applyBorder="1">
      <alignment vertical="center"/>
    </xf>
    <xf numFmtId="182" fontId="2" fillId="0" borderId="30" xfId="1" applyNumberFormat="1" applyFont="1" applyFill="1" applyBorder="1">
      <alignment vertical="center"/>
    </xf>
    <xf numFmtId="182" fontId="2" fillId="0" borderId="32" xfId="1" applyNumberFormat="1" applyFont="1" applyFill="1" applyBorder="1">
      <alignment vertical="center"/>
    </xf>
    <xf numFmtId="0" fontId="2" fillId="4" borderId="15" xfId="0" applyFont="1" applyFill="1" applyBorder="1" applyAlignment="1">
      <alignment horizontal="center" vertical="center"/>
    </xf>
    <xf numFmtId="0" fontId="14" fillId="4" borderId="15" xfId="0" applyFont="1" applyFill="1" applyBorder="1" applyAlignment="1">
      <alignment horizontal="center" vertical="center"/>
    </xf>
    <xf numFmtId="0" fontId="6" fillId="2" borderId="34" xfId="2" applyFont="1" applyFill="1" applyBorder="1">
      <alignment vertical="center"/>
    </xf>
    <xf numFmtId="0" fontId="2" fillId="0" borderId="0" xfId="0" applyFont="1">
      <alignment vertical="center"/>
    </xf>
    <xf numFmtId="183" fontId="2" fillId="0" borderId="1" xfId="4" applyNumberFormat="1" applyFont="1" applyBorder="1">
      <alignment vertical="center"/>
    </xf>
    <xf numFmtId="0" fontId="16" fillId="0" borderId="1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80" fontId="2" fillId="4" borderId="41" xfId="0" applyNumberFormat="1" applyFont="1" applyFill="1" applyBorder="1" applyAlignment="1">
      <alignment horizontal="center" vertical="center"/>
    </xf>
    <xf numFmtId="180" fontId="2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65" xfId="0" applyFont="1" applyBorder="1">
      <alignment vertical="center"/>
    </xf>
    <xf numFmtId="0" fontId="2" fillId="0" borderId="66" xfId="0" applyFont="1" applyBorder="1">
      <alignment vertical="center"/>
    </xf>
    <xf numFmtId="0" fontId="2" fillId="4" borderId="1" xfId="0" applyFont="1" applyFill="1" applyBorder="1">
      <alignment vertical="center"/>
    </xf>
    <xf numFmtId="0" fontId="2" fillId="11" borderId="0" xfId="0" applyFont="1" applyFill="1">
      <alignment vertical="center"/>
    </xf>
    <xf numFmtId="0" fontId="2" fillId="0" borderId="4" xfId="0" applyFont="1" applyBorder="1">
      <alignment vertical="center"/>
    </xf>
    <xf numFmtId="0" fontId="7" fillId="6" borderId="2" xfId="2" applyFont="1" applyFill="1" applyBorder="1">
      <alignment vertical="center"/>
    </xf>
    <xf numFmtId="0" fontId="7" fillId="4" borderId="47" xfId="2" applyFont="1" applyFill="1" applyBorder="1" applyAlignment="1">
      <alignment horizontal="center" vertical="center"/>
    </xf>
    <xf numFmtId="178" fontId="7" fillId="0" borderId="22" xfId="2" applyNumberFormat="1" applyFont="1" applyBorder="1" applyAlignment="1">
      <alignment horizontal="center" vertical="center"/>
    </xf>
    <xf numFmtId="178" fontId="7" fillId="0" borderId="47" xfId="2" applyNumberFormat="1" applyFont="1" applyBorder="1" applyAlignment="1">
      <alignment horizontal="center" vertical="center"/>
    </xf>
    <xf numFmtId="179" fontId="2" fillId="0" borderId="56" xfId="1" applyNumberFormat="1" applyFont="1" applyFill="1" applyBorder="1">
      <alignment vertical="center"/>
    </xf>
    <xf numFmtId="0" fontId="7" fillId="11" borderId="54" xfId="2" applyFont="1" applyFill="1" applyBorder="1">
      <alignment vertical="center"/>
    </xf>
    <xf numFmtId="0" fontId="7" fillId="11" borderId="22" xfId="2" applyFont="1" applyFill="1" applyBorder="1">
      <alignment vertical="center"/>
    </xf>
    <xf numFmtId="178" fontId="7" fillId="11" borderId="72" xfId="2" applyNumberFormat="1" applyFont="1" applyFill="1" applyBorder="1" applyAlignment="1">
      <alignment horizontal="center" vertical="center"/>
    </xf>
    <xf numFmtId="178" fontId="7" fillId="11" borderId="77" xfId="2" applyNumberFormat="1" applyFont="1" applyFill="1" applyBorder="1" applyAlignment="1">
      <alignment horizontal="center" vertical="center"/>
    </xf>
    <xf numFmtId="178" fontId="7" fillId="11" borderId="47" xfId="2" applyNumberFormat="1" applyFont="1" applyFill="1" applyBorder="1" applyAlignment="1">
      <alignment horizontal="center" vertical="center"/>
    </xf>
    <xf numFmtId="179" fontId="2" fillId="11" borderId="56" xfId="1" applyNumberFormat="1" applyFont="1" applyFill="1" applyBorder="1">
      <alignment vertical="center"/>
    </xf>
    <xf numFmtId="0" fontId="2" fillId="0" borderId="41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7" fillId="4" borderId="18" xfId="2" applyFont="1" applyFill="1" applyBorder="1" applyAlignment="1">
      <alignment horizontal="left" vertical="center"/>
    </xf>
    <xf numFmtId="0" fontId="7" fillId="4" borderId="29" xfId="2" applyFont="1" applyFill="1" applyBorder="1">
      <alignment vertical="center"/>
    </xf>
    <xf numFmtId="0" fontId="2" fillId="4" borderId="7" xfId="0" applyFont="1" applyFill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0" fontId="7" fillId="0" borderId="14" xfId="2" applyFont="1" applyBorder="1">
      <alignment vertical="center"/>
    </xf>
    <xf numFmtId="0" fontId="7" fillId="0" borderId="10" xfId="2" applyFont="1" applyBorder="1">
      <alignment vertical="center"/>
    </xf>
    <xf numFmtId="0" fontId="7" fillId="0" borderId="11" xfId="2" applyFont="1" applyBorder="1" applyAlignment="1">
      <alignment vertical="center" wrapText="1"/>
    </xf>
    <xf numFmtId="0" fontId="7" fillId="6" borderId="28" xfId="2" applyFont="1" applyFill="1" applyBorder="1" applyAlignment="1">
      <alignment vertical="center" wrapText="1"/>
    </xf>
    <xf numFmtId="0" fontId="7" fillId="4" borderId="7" xfId="2" applyFont="1" applyFill="1" applyBorder="1">
      <alignment vertical="center"/>
    </xf>
    <xf numFmtId="0" fontId="7" fillId="4" borderId="12" xfId="2" applyFont="1" applyFill="1" applyBorder="1" applyAlignment="1">
      <alignment horizontal="center" vertical="center"/>
    </xf>
    <xf numFmtId="0" fontId="2" fillId="4" borderId="45" xfId="0" applyFont="1" applyFill="1" applyBorder="1">
      <alignment vertical="center"/>
    </xf>
    <xf numFmtId="0" fontId="2" fillId="4" borderId="45" xfId="0" applyFont="1" applyFill="1" applyBorder="1" applyAlignment="1">
      <alignment horizontal="left" vertical="center"/>
    </xf>
    <xf numFmtId="178" fontId="7" fillId="11" borderId="22" xfId="2" applyNumberFormat="1" applyFont="1" applyFill="1" applyBorder="1" applyAlignment="1">
      <alignment horizontal="center" vertical="center"/>
    </xf>
    <xf numFmtId="178" fontId="12" fillId="0" borderId="3" xfId="2" applyNumberFormat="1" applyFont="1" applyBorder="1" applyAlignment="1">
      <alignment horizontal="center" vertical="center"/>
    </xf>
    <xf numFmtId="178" fontId="12" fillId="0" borderId="46" xfId="2" applyNumberFormat="1" applyFont="1" applyBorder="1" applyAlignment="1">
      <alignment horizontal="center" vertical="center"/>
    </xf>
    <xf numFmtId="178" fontId="12" fillId="0" borderId="45" xfId="2" applyNumberFormat="1" applyFont="1" applyBorder="1" applyAlignment="1">
      <alignment horizontal="center" vertical="center"/>
    </xf>
    <xf numFmtId="178" fontId="12" fillId="0" borderId="51" xfId="2" applyNumberFormat="1" applyFont="1" applyBorder="1" applyAlignment="1">
      <alignment horizontal="center" vertical="center"/>
    </xf>
    <xf numFmtId="0" fontId="7" fillId="4" borderId="3" xfId="2" applyFont="1" applyFill="1" applyBorder="1">
      <alignment vertical="center"/>
    </xf>
    <xf numFmtId="182" fontId="2" fillId="0" borderId="31" xfId="1" applyNumberFormat="1" applyFont="1" applyFill="1" applyBorder="1">
      <alignment vertical="center"/>
    </xf>
    <xf numFmtId="178" fontId="7" fillId="11" borderId="73" xfId="2" applyNumberFormat="1" applyFont="1" applyFill="1" applyBorder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0" fontId="14" fillId="4" borderId="3" xfId="0" applyFont="1" applyFill="1" applyBorder="1" applyAlignment="1">
      <alignment horizontal="center" vertical="center"/>
    </xf>
    <xf numFmtId="0" fontId="2" fillId="0" borderId="79" xfId="0" applyFont="1" applyBorder="1" applyAlignment="1">
      <alignment horizontal="center" vertical="center"/>
    </xf>
    <xf numFmtId="0" fontId="7" fillId="11" borderId="26" xfId="2" applyFont="1" applyFill="1" applyBorder="1">
      <alignment vertical="center"/>
    </xf>
    <xf numFmtId="179" fontId="2" fillId="4" borderId="31" xfId="1" applyNumberFormat="1" applyFont="1" applyFill="1" applyBorder="1">
      <alignment vertical="center"/>
    </xf>
    <xf numFmtId="0" fontId="2" fillId="11" borderId="54" xfId="0" applyFont="1" applyFill="1" applyBorder="1">
      <alignment vertical="center"/>
    </xf>
    <xf numFmtId="0" fontId="2" fillId="11" borderId="22" xfId="0" applyFont="1" applyFill="1" applyBorder="1">
      <alignment vertical="center"/>
    </xf>
    <xf numFmtId="0" fontId="2" fillId="0" borderId="10" xfId="0" applyFont="1" applyBorder="1">
      <alignment vertical="center"/>
    </xf>
    <xf numFmtId="179" fontId="2" fillId="11" borderId="56" xfId="0" applyNumberFormat="1" applyFont="1" applyFill="1" applyBorder="1">
      <alignment vertical="center"/>
    </xf>
    <xf numFmtId="0" fontId="7" fillId="4" borderId="22" xfId="2" applyFont="1" applyFill="1" applyBorder="1" applyAlignment="1">
      <alignment horizontal="center" vertical="center"/>
    </xf>
    <xf numFmtId="0" fontId="7" fillId="4" borderId="26" xfId="2" applyFont="1" applyFill="1" applyBorder="1" applyAlignment="1">
      <alignment horizontal="center" vertical="center"/>
    </xf>
    <xf numFmtId="0" fontId="7" fillId="11" borderId="18" xfId="2" applyFont="1" applyFill="1" applyBorder="1">
      <alignment vertical="center"/>
    </xf>
    <xf numFmtId="178" fontId="7" fillId="11" borderId="18" xfId="2" applyNumberFormat="1" applyFont="1" applyFill="1" applyBorder="1" applyAlignment="1">
      <alignment horizontal="center" vertical="center"/>
    </xf>
    <xf numFmtId="179" fontId="2" fillId="11" borderId="80" xfId="1" applyNumberFormat="1" applyFont="1" applyFill="1" applyBorder="1">
      <alignment vertical="center"/>
    </xf>
    <xf numFmtId="0" fontId="17" fillId="0" borderId="7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17" fillId="0" borderId="81" xfId="0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/>
    </xf>
    <xf numFmtId="0" fontId="7" fillId="4" borderId="0" xfId="2" applyFont="1" applyFill="1">
      <alignment vertical="center"/>
    </xf>
    <xf numFmtId="0" fontId="2" fillId="4" borderId="10" xfId="0" applyFont="1" applyFill="1" applyBorder="1" applyAlignment="1">
      <alignment horizontal="left" vertical="center" wrapText="1"/>
    </xf>
    <xf numFmtId="181" fontId="7" fillId="4" borderId="41" xfId="2" applyNumberFormat="1" applyFont="1" applyFill="1" applyBorder="1" applyAlignment="1">
      <alignment horizontal="center" vertical="center"/>
    </xf>
    <xf numFmtId="181" fontId="7" fillId="4" borderId="46" xfId="2" applyNumberFormat="1" applyFont="1" applyFill="1" applyBorder="1" applyAlignment="1">
      <alignment horizontal="center" vertical="center"/>
    </xf>
    <xf numFmtId="178" fontId="7" fillId="4" borderId="22" xfId="2" applyNumberFormat="1" applyFont="1" applyFill="1" applyBorder="1" applyAlignment="1">
      <alignment horizontal="center" vertical="center"/>
    </xf>
    <xf numFmtId="180" fontId="2" fillId="4" borderId="10" xfId="0" applyNumberFormat="1" applyFont="1" applyFill="1" applyBorder="1" applyAlignment="1">
      <alignment horizontal="center" vertical="center"/>
    </xf>
    <xf numFmtId="180" fontId="2" fillId="4" borderId="2" xfId="0" applyNumberFormat="1" applyFont="1" applyFill="1" applyBorder="1" applyAlignment="1">
      <alignment horizontal="center" vertical="center"/>
    </xf>
    <xf numFmtId="180" fontId="2" fillId="4" borderId="44" xfId="0" applyNumberFormat="1" applyFont="1" applyFill="1" applyBorder="1" applyAlignment="1">
      <alignment horizontal="center" vertical="center"/>
    </xf>
    <xf numFmtId="180" fontId="2" fillId="4" borderId="14" xfId="0" applyNumberFormat="1" applyFont="1" applyFill="1" applyBorder="1" applyAlignment="1">
      <alignment horizontal="center" vertical="center"/>
    </xf>
    <xf numFmtId="179" fontId="2" fillId="4" borderId="59" xfId="1" applyNumberFormat="1" applyFont="1" applyFill="1" applyBorder="1">
      <alignment vertical="center"/>
    </xf>
    <xf numFmtId="0" fontId="2" fillId="4" borderId="45" xfId="0" applyFont="1" applyFill="1" applyBorder="1" applyAlignment="1">
      <alignment vertical="center" wrapText="1"/>
    </xf>
    <xf numFmtId="185" fontId="14" fillId="8" borderId="5" xfId="2" applyNumberFormat="1" applyFont="1" applyFill="1" applyBorder="1" applyAlignment="1">
      <alignment horizontal="center" vertical="center" wrapText="1"/>
    </xf>
    <xf numFmtId="184" fontId="14" fillId="0" borderId="82" xfId="1" applyNumberFormat="1" applyFont="1" applyFill="1" applyBorder="1" applyAlignment="1">
      <alignment horizontal="center" vertical="center"/>
    </xf>
    <xf numFmtId="181" fontId="14" fillId="4" borderId="1" xfId="2" applyNumberFormat="1" applyFont="1" applyFill="1" applyBorder="1" applyAlignment="1">
      <alignment horizontal="center" vertical="center"/>
    </xf>
    <xf numFmtId="181" fontId="14" fillId="4" borderId="3" xfId="2" applyNumberFormat="1" applyFont="1" applyFill="1" applyBorder="1" applyAlignment="1">
      <alignment horizontal="center" vertical="center"/>
    </xf>
    <xf numFmtId="181" fontId="14" fillId="4" borderId="35" xfId="2" applyNumberFormat="1" applyFont="1" applyFill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7" fillId="0" borderId="45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7" fillId="4" borderId="1" xfId="2" applyFont="1" applyFill="1" applyBorder="1" applyAlignment="1">
      <alignment horizontal="left" vertical="center"/>
    </xf>
    <xf numFmtId="180" fontId="2" fillId="4" borderId="1" xfId="0" applyNumberFormat="1" applyFont="1" applyFill="1" applyBorder="1">
      <alignment vertical="center"/>
    </xf>
    <xf numFmtId="0" fontId="12" fillId="4" borderId="1" xfId="2" applyFont="1" applyFill="1" applyBorder="1" applyAlignment="1">
      <alignment horizontal="left" vertical="center"/>
    </xf>
    <xf numFmtId="0" fontId="2" fillId="12" borderId="8" xfId="0" applyFont="1" applyFill="1" applyBorder="1" applyAlignment="1">
      <alignment horizontal="center" vertical="center"/>
    </xf>
    <xf numFmtId="0" fontId="7" fillId="6" borderId="34" xfId="2" applyFont="1" applyFill="1" applyBorder="1" applyAlignment="1">
      <alignment horizontal="left" vertical="center" wrapText="1"/>
    </xf>
    <xf numFmtId="0" fontId="7" fillId="12" borderId="1" xfId="2" applyFont="1" applyFill="1" applyBorder="1" applyAlignment="1">
      <alignment horizontal="center" vertical="center"/>
    </xf>
    <xf numFmtId="0" fontId="2" fillId="4" borderId="44" xfId="0" applyFont="1" applyFill="1" applyBorder="1" applyAlignment="1">
      <alignment horizontal="center" vertical="center"/>
    </xf>
    <xf numFmtId="0" fontId="2" fillId="4" borderId="41" xfId="0" applyFont="1" applyFill="1" applyBorder="1" applyAlignment="1">
      <alignment horizontal="center" vertical="center"/>
    </xf>
    <xf numFmtId="0" fontId="2" fillId="4" borderId="46" xfId="0" applyFont="1" applyFill="1" applyBorder="1" applyAlignment="1">
      <alignment horizontal="center" vertical="center"/>
    </xf>
    <xf numFmtId="178" fontId="7" fillId="12" borderId="1" xfId="2" applyNumberFormat="1" applyFont="1" applyFill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2" fillId="11" borderId="56" xfId="0" applyFont="1" applyFill="1" applyBorder="1">
      <alignment vertical="center"/>
    </xf>
    <xf numFmtId="0" fontId="13" fillId="4" borderId="21" xfId="2" applyFont="1" applyFill="1" applyBorder="1">
      <alignment vertical="center"/>
    </xf>
    <xf numFmtId="0" fontId="7" fillId="4" borderId="10" xfId="2" applyFont="1" applyFill="1" applyBorder="1">
      <alignment vertical="center"/>
    </xf>
    <xf numFmtId="0" fontId="7" fillId="4" borderId="11" xfId="2" applyFont="1" applyFill="1" applyBorder="1">
      <alignment vertical="center"/>
    </xf>
    <xf numFmtId="49" fontId="7" fillId="4" borderId="7" xfId="2" applyNumberFormat="1" applyFont="1" applyFill="1" applyBorder="1">
      <alignment vertical="center"/>
    </xf>
    <xf numFmtId="49" fontId="7" fillId="4" borderId="8" xfId="2" applyNumberFormat="1" applyFont="1" applyFill="1" applyBorder="1">
      <alignment vertical="center"/>
    </xf>
    <xf numFmtId="49" fontId="7" fillId="4" borderId="10" xfId="2" applyNumberFormat="1" applyFont="1" applyFill="1" applyBorder="1">
      <alignment vertical="center"/>
    </xf>
    <xf numFmtId="49" fontId="7" fillId="4" borderId="1" xfId="2" applyNumberFormat="1" applyFont="1" applyFill="1" applyBorder="1">
      <alignment vertical="center"/>
    </xf>
    <xf numFmtId="49" fontId="8" fillId="4" borderId="10" xfId="2" applyNumberFormat="1" applyFont="1" applyFill="1" applyBorder="1">
      <alignment vertical="center"/>
    </xf>
    <xf numFmtId="49" fontId="8" fillId="4" borderId="3" xfId="2" applyNumberFormat="1" applyFont="1" applyFill="1" applyBorder="1">
      <alignment vertical="center"/>
    </xf>
    <xf numFmtId="49" fontId="8" fillId="4" borderId="45" xfId="2" applyNumberFormat="1" applyFont="1" applyFill="1" applyBorder="1">
      <alignment vertical="center"/>
    </xf>
    <xf numFmtId="0" fontId="7" fillId="5" borderId="17" xfId="2" applyFont="1" applyFill="1" applyBorder="1" applyAlignment="1">
      <alignment vertical="center" wrapText="1"/>
    </xf>
    <xf numFmtId="0" fontId="7" fillId="4" borderId="9" xfId="2" applyFont="1" applyFill="1" applyBorder="1" applyAlignment="1">
      <alignment horizontal="center" vertical="center"/>
    </xf>
    <xf numFmtId="0" fontId="7" fillId="4" borderId="41" xfId="2" applyFont="1" applyFill="1" applyBorder="1" applyAlignment="1">
      <alignment horizontal="center" vertical="center"/>
    </xf>
    <xf numFmtId="0" fontId="7" fillId="4" borderId="41" xfId="2" applyFont="1" applyFill="1" applyBorder="1" applyAlignment="1">
      <alignment horizontal="center" vertical="center" wrapText="1"/>
    </xf>
    <xf numFmtId="0" fontId="7" fillId="4" borderId="46" xfId="2" applyFont="1" applyFill="1" applyBorder="1" applyAlignment="1">
      <alignment horizontal="center" vertical="center"/>
    </xf>
    <xf numFmtId="0" fontId="7" fillId="11" borderId="73" xfId="2" applyFont="1" applyFill="1" applyBorder="1">
      <alignment vertical="center"/>
    </xf>
    <xf numFmtId="0" fontId="7" fillId="4" borderId="44" xfId="2" applyFont="1" applyFill="1" applyBorder="1" applyAlignment="1">
      <alignment horizontal="center" vertical="center"/>
    </xf>
    <xf numFmtId="0" fontId="7" fillId="4" borderId="45" xfId="2" applyFont="1" applyFill="1" applyBorder="1">
      <alignment vertical="center"/>
    </xf>
    <xf numFmtId="0" fontId="7" fillId="0" borderId="46" xfId="2" applyFont="1" applyBorder="1" applyAlignment="1">
      <alignment horizontal="center" vertical="center"/>
    </xf>
    <xf numFmtId="0" fontId="7" fillId="4" borderId="13" xfId="2" applyFont="1" applyFill="1" applyBorder="1" applyAlignment="1">
      <alignment horizontal="center" vertical="center"/>
    </xf>
    <xf numFmtId="0" fontId="7" fillId="4" borderId="73" xfId="2" applyFont="1" applyFill="1" applyBorder="1" applyAlignment="1">
      <alignment horizontal="center" vertical="center"/>
    </xf>
    <xf numFmtId="0" fontId="7" fillId="0" borderId="44" xfId="2" applyFont="1" applyBorder="1" applyAlignment="1">
      <alignment horizontal="center" vertical="center"/>
    </xf>
    <xf numFmtId="0" fontId="14" fillId="4" borderId="14" xfId="0" applyFont="1" applyFill="1" applyBorder="1" applyAlignment="1">
      <alignment horizontal="left" vertical="center"/>
    </xf>
    <xf numFmtId="0" fontId="14" fillId="4" borderId="10" xfId="0" applyFont="1" applyFill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0" fontId="14" fillId="0" borderId="45" xfId="0" applyFont="1" applyBorder="1" applyAlignment="1">
      <alignment horizontal="left" vertical="center"/>
    </xf>
    <xf numFmtId="0" fontId="2" fillId="4" borderId="61" xfId="0" applyFont="1" applyFill="1" applyBorder="1" applyAlignment="1">
      <alignment horizontal="left" vertical="center"/>
    </xf>
    <xf numFmtId="0" fontId="14" fillId="4" borderId="41" xfId="0" applyFont="1" applyFill="1" applyBorder="1" applyAlignment="1">
      <alignment horizontal="center" vertical="center"/>
    </xf>
    <xf numFmtId="0" fontId="2" fillId="11" borderId="73" xfId="0" applyFont="1" applyFill="1" applyBorder="1">
      <alignment vertical="center"/>
    </xf>
    <xf numFmtId="0" fontId="2" fillId="4" borderId="14" xfId="0" applyFont="1" applyFill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67" xfId="0" applyFont="1" applyBorder="1">
      <alignment vertical="center"/>
    </xf>
    <xf numFmtId="0" fontId="7" fillId="11" borderId="47" xfId="2" applyFont="1" applyFill="1" applyBorder="1">
      <alignment vertical="center"/>
    </xf>
    <xf numFmtId="0" fontId="2" fillId="0" borderId="45" xfId="0" applyFont="1" applyBorder="1" applyAlignment="1">
      <alignment horizontal="center" vertical="center"/>
    </xf>
    <xf numFmtId="0" fontId="7" fillId="0" borderId="47" xfId="2" applyFont="1" applyBorder="1" applyAlignment="1">
      <alignment horizontal="center" vertical="center"/>
    </xf>
    <xf numFmtId="0" fontId="7" fillId="4" borderId="10" xfId="2" applyFont="1" applyFill="1" applyBorder="1" applyAlignment="1">
      <alignment horizontal="center" vertical="center"/>
    </xf>
    <xf numFmtId="0" fontId="7" fillId="4" borderId="11" xfId="2" applyFont="1" applyFill="1" applyBorder="1" applyAlignment="1">
      <alignment horizontal="center" vertical="center"/>
    </xf>
    <xf numFmtId="0" fontId="2" fillId="11" borderId="47" xfId="0" applyFont="1" applyFill="1" applyBorder="1">
      <alignment vertical="center"/>
    </xf>
    <xf numFmtId="0" fontId="7" fillId="4" borderId="45" xfId="2" applyFont="1" applyFill="1" applyBorder="1" applyAlignment="1">
      <alignment horizontal="center" vertical="center"/>
    </xf>
    <xf numFmtId="184" fontId="14" fillId="0" borderId="84" xfId="1" applyNumberFormat="1" applyFont="1" applyFill="1" applyBorder="1" applyAlignment="1">
      <alignment horizontal="center" vertical="center"/>
    </xf>
    <xf numFmtId="184" fontId="14" fillId="0" borderId="85" xfId="1" applyNumberFormat="1" applyFont="1" applyFill="1" applyBorder="1" applyAlignment="1">
      <alignment horizontal="center" vertical="center"/>
    </xf>
    <xf numFmtId="181" fontId="14" fillId="4" borderId="10" xfId="2" applyNumberFormat="1" applyFont="1" applyFill="1" applyBorder="1" applyAlignment="1">
      <alignment horizontal="center" vertical="center"/>
    </xf>
    <xf numFmtId="181" fontId="14" fillId="4" borderId="41" xfId="2" applyNumberFormat="1" applyFont="1" applyFill="1" applyBorder="1" applyAlignment="1">
      <alignment horizontal="center" vertical="center"/>
    </xf>
    <xf numFmtId="0" fontId="10" fillId="4" borderId="0" xfId="0" applyFont="1" applyFill="1">
      <alignment vertical="center"/>
    </xf>
    <xf numFmtId="0" fontId="10" fillId="4" borderId="48" xfId="0" applyFont="1" applyFill="1" applyBorder="1">
      <alignment vertical="center"/>
    </xf>
    <xf numFmtId="178" fontId="7" fillId="4" borderId="47" xfId="2" applyNumberFormat="1" applyFont="1" applyFill="1" applyBorder="1" applyAlignment="1">
      <alignment horizontal="center" vertical="center"/>
    </xf>
    <xf numFmtId="178" fontId="7" fillId="0" borderId="77" xfId="2" applyNumberFormat="1" applyFont="1" applyBorder="1" applyAlignment="1">
      <alignment horizontal="center" vertical="center"/>
    </xf>
    <xf numFmtId="178" fontId="12" fillId="4" borderId="14" xfId="2" applyNumberFormat="1" applyFont="1" applyFill="1" applyBorder="1" applyAlignment="1">
      <alignment horizontal="center" vertical="center"/>
    </xf>
    <xf numFmtId="178" fontId="12" fillId="4" borderId="45" xfId="2" applyNumberFormat="1" applyFont="1" applyFill="1" applyBorder="1" applyAlignment="1">
      <alignment horizontal="center" vertical="center"/>
    </xf>
    <xf numFmtId="0" fontId="2" fillId="4" borderId="10" xfId="0" applyFont="1" applyFill="1" applyBorder="1">
      <alignment vertical="center"/>
    </xf>
    <xf numFmtId="0" fontId="2" fillId="0" borderId="45" xfId="0" applyFont="1" applyBorder="1">
      <alignment vertical="center"/>
    </xf>
    <xf numFmtId="0" fontId="2" fillId="0" borderId="46" xfId="0" applyFont="1" applyBorder="1">
      <alignment vertical="center"/>
    </xf>
    <xf numFmtId="178" fontId="2" fillId="0" borderId="64" xfId="0" applyNumberFormat="1" applyFont="1" applyBorder="1">
      <alignment vertical="center"/>
    </xf>
    <xf numFmtId="178" fontId="2" fillId="0" borderId="65" xfId="0" applyNumberFormat="1" applyFont="1" applyBorder="1">
      <alignment vertical="center"/>
    </xf>
    <xf numFmtId="178" fontId="2" fillId="0" borderId="67" xfId="0" applyNumberFormat="1" applyFont="1" applyBorder="1">
      <alignment vertical="center"/>
    </xf>
    <xf numFmtId="0" fontId="2" fillId="4" borderId="19" xfId="0" applyFont="1" applyFill="1" applyBorder="1">
      <alignment vertical="center"/>
    </xf>
    <xf numFmtId="181" fontId="14" fillId="4" borderId="0" xfId="2" applyNumberFormat="1" applyFont="1" applyFill="1" applyAlignment="1">
      <alignment horizontal="center" vertical="center"/>
    </xf>
    <xf numFmtId="178" fontId="7" fillId="4" borderId="77" xfId="2" applyNumberFormat="1" applyFont="1" applyFill="1" applyBorder="1" applyAlignment="1">
      <alignment horizontal="center" vertical="center"/>
    </xf>
    <xf numFmtId="178" fontId="2" fillId="0" borderId="68" xfId="0" applyNumberFormat="1" applyFont="1" applyBorder="1">
      <alignment vertical="center"/>
    </xf>
    <xf numFmtId="179" fontId="2" fillId="4" borderId="30" xfId="1" applyNumberFormat="1" applyFont="1" applyFill="1" applyBorder="1">
      <alignment vertical="center"/>
    </xf>
    <xf numFmtId="180" fontId="19" fillId="0" borderId="8" xfId="0" applyNumberFormat="1" applyFont="1" applyBorder="1" applyAlignment="1">
      <alignment horizontal="center" vertical="center"/>
    </xf>
    <xf numFmtId="180" fontId="19" fillId="0" borderId="9" xfId="0" applyNumberFormat="1" applyFont="1" applyBorder="1" applyAlignment="1">
      <alignment horizontal="center" vertical="center"/>
    </xf>
    <xf numFmtId="180" fontId="19" fillId="0" borderId="1" xfId="0" applyNumberFormat="1" applyFont="1" applyBorder="1" applyAlignment="1">
      <alignment horizontal="center" vertical="center"/>
    </xf>
    <xf numFmtId="180" fontId="19" fillId="0" borderId="41" xfId="0" applyNumberFormat="1" applyFont="1" applyBorder="1" applyAlignment="1">
      <alignment horizontal="center" vertical="center"/>
    </xf>
    <xf numFmtId="180" fontId="17" fillId="0" borderId="41" xfId="0" applyNumberFormat="1" applyFont="1" applyBorder="1" applyAlignment="1">
      <alignment horizontal="center" vertical="center"/>
    </xf>
    <xf numFmtId="180" fontId="17" fillId="0" borderId="1" xfId="0" applyNumberFormat="1" applyFont="1" applyBorder="1" applyAlignment="1">
      <alignment horizontal="center" vertical="center"/>
    </xf>
    <xf numFmtId="180" fontId="16" fillId="0" borderId="7" xfId="0" applyNumberFormat="1" applyFont="1" applyBorder="1" applyAlignment="1">
      <alignment horizontal="center" vertical="center"/>
    </xf>
    <xf numFmtId="180" fontId="16" fillId="0" borderId="8" xfId="0" applyNumberFormat="1" applyFont="1" applyBorder="1" applyAlignment="1">
      <alignment horizontal="center" vertical="center"/>
    </xf>
    <xf numFmtId="180" fontId="16" fillId="0" borderId="9" xfId="0" applyNumberFormat="1" applyFont="1" applyBorder="1" applyAlignment="1">
      <alignment horizontal="center" vertical="center"/>
    </xf>
    <xf numFmtId="180" fontId="20" fillId="4" borderId="30" xfId="0" applyNumberFormat="1" applyFont="1" applyFill="1" applyBorder="1" applyAlignment="1">
      <alignment horizontal="center" vertical="center"/>
    </xf>
    <xf numFmtId="180" fontId="16" fillId="0" borderId="10" xfId="0" applyNumberFormat="1" applyFont="1" applyBorder="1" applyAlignment="1">
      <alignment horizontal="center" vertical="center"/>
    </xf>
    <xf numFmtId="180" fontId="16" fillId="0" borderId="1" xfId="0" applyNumberFormat="1" applyFont="1" applyBorder="1" applyAlignment="1">
      <alignment horizontal="center" vertical="center"/>
    </xf>
    <xf numFmtId="180" fontId="16" fillId="0" borderId="41" xfId="0" applyNumberFormat="1" applyFont="1" applyBorder="1" applyAlignment="1">
      <alignment horizontal="center" vertical="center"/>
    </xf>
    <xf numFmtId="180" fontId="20" fillId="4" borderId="58" xfId="0" applyNumberFormat="1" applyFont="1" applyFill="1" applyBorder="1" applyAlignment="1">
      <alignment horizontal="center" vertical="center"/>
    </xf>
    <xf numFmtId="180" fontId="20" fillId="4" borderId="69" xfId="0" applyNumberFormat="1" applyFont="1" applyFill="1" applyBorder="1" applyAlignment="1">
      <alignment horizontal="center" vertical="center"/>
    </xf>
    <xf numFmtId="178" fontId="2" fillId="11" borderId="47" xfId="0" applyNumberFormat="1" applyFont="1" applyFill="1" applyBorder="1">
      <alignment vertical="center"/>
    </xf>
    <xf numFmtId="178" fontId="2" fillId="11" borderId="22" xfId="0" applyNumberFormat="1" applyFont="1" applyFill="1" applyBorder="1">
      <alignment vertical="center"/>
    </xf>
    <xf numFmtId="178" fontId="2" fillId="11" borderId="56" xfId="0" applyNumberFormat="1" applyFont="1" applyFill="1" applyBorder="1">
      <alignment vertical="center"/>
    </xf>
    <xf numFmtId="0" fontId="7" fillId="12" borderId="3" xfId="2" applyFont="1" applyFill="1" applyBorder="1" applyAlignment="1">
      <alignment horizontal="center" vertical="center"/>
    </xf>
    <xf numFmtId="179" fontId="2" fillId="0" borderId="49" xfId="1" applyNumberFormat="1" applyFont="1" applyBorder="1">
      <alignment vertical="center"/>
    </xf>
    <xf numFmtId="179" fontId="2" fillId="0" borderId="42" xfId="1" applyNumberFormat="1" applyFont="1" applyBorder="1">
      <alignment vertical="center"/>
    </xf>
    <xf numFmtId="49" fontId="8" fillId="0" borderId="42" xfId="2" applyNumberFormat="1" applyFont="1" applyBorder="1" applyAlignment="1">
      <alignment vertical="center" wrapText="1"/>
    </xf>
    <xf numFmtId="179" fontId="2" fillId="0" borderId="49" xfId="1" applyNumberFormat="1" applyFont="1" applyFill="1" applyBorder="1">
      <alignment vertical="center"/>
    </xf>
    <xf numFmtId="179" fontId="2" fillId="0" borderId="42" xfId="1" applyNumberFormat="1" applyFont="1" applyFill="1" applyBorder="1">
      <alignment vertical="center"/>
    </xf>
    <xf numFmtId="179" fontId="2" fillId="11" borderId="50" xfId="1" applyNumberFormat="1" applyFont="1" applyFill="1" applyBorder="1">
      <alignment vertical="center"/>
    </xf>
    <xf numFmtId="179" fontId="2" fillId="0" borderId="51" xfId="1" applyNumberFormat="1" applyFont="1" applyFill="1" applyBorder="1">
      <alignment vertical="center"/>
    </xf>
    <xf numFmtId="179" fontId="2" fillId="11" borderId="51" xfId="1" applyNumberFormat="1" applyFont="1" applyFill="1" applyBorder="1">
      <alignment vertical="center"/>
    </xf>
    <xf numFmtId="179" fontId="2" fillId="0" borderId="50" xfId="1" applyNumberFormat="1" applyFont="1" applyFill="1" applyBorder="1">
      <alignment vertical="center"/>
    </xf>
    <xf numFmtId="0" fontId="2" fillId="0" borderId="42" xfId="0" applyFont="1" applyBorder="1">
      <alignment vertical="center"/>
    </xf>
    <xf numFmtId="179" fontId="2" fillId="0" borderId="33" xfId="1" applyNumberFormat="1" applyFont="1" applyBorder="1">
      <alignment vertical="center"/>
    </xf>
    <xf numFmtId="179" fontId="2" fillId="11" borderId="55" xfId="1" applyNumberFormat="1" applyFont="1" applyFill="1" applyBorder="1">
      <alignment vertical="center"/>
    </xf>
    <xf numFmtId="179" fontId="2" fillId="11" borderId="33" xfId="1" applyNumberFormat="1" applyFont="1" applyFill="1" applyBorder="1">
      <alignment vertical="center"/>
    </xf>
    <xf numFmtId="179" fontId="2" fillId="11" borderId="42" xfId="1" applyNumberFormat="1" applyFont="1" applyFill="1" applyBorder="1">
      <alignment vertical="center"/>
    </xf>
    <xf numFmtId="179" fontId="2" fillId="4" borderId="42" xfId="1" applyNumberFormat="1" applyFont="1" applyFill="1" applyBorder="1">
      <alignment vertical="center"/>
    </xf>
    <xf numFmtId="179" fontId="2" fillId="11" borderId="53" xfId="1" applyNumberFormat="1" applyFont="1" applyFill="1" applyBorder="1">
      <alignment vertical="center"/>
    </xf>
    <xf numFmtId="179" fontId="2" fillId="7" borderId="42" xfId="1" applyNumberFormat="1" applyFont="1" applyFill="1" applyBorder="1">
      <alignment vertical="center"/>
    </xf>
    <xf numFmtId="0" fontId="2" fillId="0" borderId="33" xfId="0" applyFont="1" applyBorder="1">
      <alignment vertical="center"/>
    </xf>
    <xf numFmtId="0" fontId="2" fillId="11" borderId="51" xfId="0" applyFont="1" applyFill="1" applyBorder="1">
      <alignment vertical="center"/>
    </xf>
    <xf numFmtId="179" fontId="2" fillId="0" borderId="69" xfId="1" applyNumberFormat="1" applyFont="1" applyBorder="1">
      <alignment vertical="center"/>
    </xf>
    <xf numFmtId="178" fontId="7" fillId="11" borderId="56" xfId="2" applyNumberFormat="1" applyFont="1" applyFill="1" applyBorder="1" applyAlignment="1">
      <alignment horizontal="center" vertical="center"/>
    </xf>
    <xf numFmtId="180" fontId="16" fillId="0" borderId="45" xfId="0" applyNumberFormat="1" applyFont="1" applyBorder="1" applyAlignment="1">
      <alignment horizontal="center" vertical="center"/>
    </xf>
    <xf numFmtId="180" fontId="16" fillId="0" borderId="46" xfId="0" applyNumberFormat="1" applyFont="1" applyBorder="1" applyAlignment="1">
      <alignment horizontal="center" vertical="center"/>
    </xf>
    <xf numFmtId="178" fontId="2" fillId="11" borderId="73" xfId="0" applyNumberFormat="1" applyFont="1" applyFill="1" applyBorder="1">
      <alignment vertical="center"/>
    </xf>
    <xf numFmtId="180" fontId="16" fillId="0" borderId="3" xfId="0" applyNumberFormat="1" applyFont="1" applyBorder="1" applyAlignment="1">
      <alignment horizontal="center" vertical="center"/>
    </xf>
    <xf numFmtId="180" fontId="19" fillId="0" borderId="3" xfId="0" applyNumberFormat="1" applyFont="1" applyBorder="1" applyAlignment="1">
      <alignment horizontal="center" vertical="center"/>
    </xf>
    <xf numFmtId="180" fontId="19" fillId="0" borderId="46" xfId="0" applyNumberFormat="1" applyFont="1" applyBorder="1" applyAlignment="1">
      <alignment horizontal="center" vertical="center"/>
    </xf>
    <xf numFmtId="0" fontId="0" fillId="4" borderId="0" xfId="0" applyFill="1">
      <alignment vertical="center"/>
    </xf>
    <xf numFmtId="0" fontId="2" fillId="4" borderId="0" xfId="0" applyFont="1" applyFill="1">
      <alignment vertical="center"/>
    </xf>
    <xf numFmtId="0" fontId="7" fillId="0" borderId="52" xfId="2" applyFont="1" applyBorder="1" applyAlignment="1">
      <alignment horizontal="center" vertical="center"/>
    </xf>
    <xf numFmtId="186" fontId="7" fillId="11" borderId="47" xfId="2" applyNumberFormat="1" applyFont="1" applyFill="1" applyBorder="1">
      <alignment vertical="center"/>
    </xf>
    <xf numFmtId="0" fontId="11" fillId="0" borderId="0" xfId="0" applyFont="1" applyAlignment="1">
      <alignment horizontal="center"/>
    </xf>
    <xf numFmtId="178" fontId="13" fillId="0" borderId="1" xfId="2" applyNumberFormat="1" applyFont="1" applyBorder="1" applyAlignment="1">
      <alignment horizontal="center" vertical="center"/>
    </xf>
    <xf numFmtId="181" fontId="13" fillId="0" borderId="1" xfId="2" applyNumberFormat="1" applyFont="1" applyBorder="1" applyAlignment="1">
      <alignment horizontal="center" vertical="center"/>
    </xf>
    <xf numFmtId="178" fontId="22" fillId="0" borderId="87" xfId="2" applyNumberFormat="1" applyFont="1" applyBorder="1" applyAlignment="1">
      <alignment vertical="center" wrapText="1"/>
    </xf>
    <xf numFmtId="186" fontId="7" fillId="11" borderId="56" xfId="2" applyNumberFormat="1" applyFont="1" applyFill="1" applyBorder="1">
      <alignment vertical="center"/>
    </xf>
    <xf numFmtId="181" fontId="7" fillId="4" borderId="1" xfId="2" applyNumberFormat="1" applyFont="1" applyFill="1" applyBorder="1" applyAlignment="1">
      <alignment horizontal="center" vertical="center"/>
    </xf>
    <xf numFmtId="186" fontId="2" fillId="0" borderId="14" xfId="0" applyNumberFormat="1" applyFont="1" applyBorder="1" applyAlignment="1">
      <alignment horizontal="center" vertical="center"/>
    </xf>
    <xf numFmtId="178" fontId="7" fillId="4" borderId="88" xfId="2" applyNumberFormat="1" applyFont="1" applyFill="1" applyBorder="1" applyAlignment="1">
      <alignment horizontal="center" vertical="center"/>
    </xf>
    <xf numFmtId="178" fontId="7" fillId="4" borderId="21" xfId="2" applyNumberFormat="1" applyFont="1" applyFill="1" applyBorder="1" applyAlignment="1">
      <alignment horizontal="center" vertical="center"/>
    </xf>
    <xf numFmtId="178" fontId="7" fillId="0" borderId="5" xfId="2" applyNumberFormat="1" applyFont="1" applyBorder="1" applyAlignment="1">
      <alignment horizontal="center" vertical="center"/>
    </xf>
    <xf numFmtId="181" fontId="14" fillId="4" borderId="5" xfId="2" applyNumberFormat="1" applyFont="1" applyFill="1" applyBorder="1" applyAlignment="1">
      <alignment horizontal="center" vertical="center"/>
    </xf>
    <xf numFmtId="178" fontId="7" fillId="0" borderId="21" xfId="2" applyNumberFormat="1" applyFont="1" applyBorder="1" applyAlignment="1">
      <alignment horizontal="center" vertical="center"/>
    </xf>
    <xf numFmtId="180" fontId="2" fillId="4" borderId="29" xfId="0" applyNumberFormat="1" applyFont="1" applyFill="1" applyBorder="1" applyAlignment="1">
      <alignment horizontal="center" vertical="center"/>
    </xf>
    <xf numFmtId="180" fontId="2" fillId="4" borderId="5" xfId="0" applyNumberFormat="1" applyFont="1" applyFill="1" applyBorder="1" applyAlignment="1">
      <alignment horizontal="center" vertical="center"/>
    </xf>
    <xf numFmtId="178" fontId="7" fillId="4" borderId="29" xfId="2" applyNumberFormat="1" applyFont="1" applyFill="1" applyBorder="1" applyAlignment="1">
      <alignment horizontal="center" vertical="center"/>
    </xf>
    <xf numFmtId="181" fontId="7" fillId="0" borderId="5" xfId="2" applyNumberFormat="1" applyFont="1" applyBorder="1" applyAlignment="1">
      <alignment horizontal="center" vertical="center"/>
    </xf>
    <xf numFmtId="178" fontId="7" fillId="11" borderId="43" xfId="2" applyNumberFormat="1" applyFont="1" applyFill="1" applyBorder="1" applyAlignment="1">
      <alignment horizontal="center" vertical="center"/>
    </xf>
    <xf numFmtId="178" fontId="2" fillId="11" borderId="72" xfId="0" applyNumberFormat="1" applyFont="1" applyFill="1" applyBorder="1">
      <alignment vertical="center"/>
    </xf>
    <xf numFmtId="0" fontId="2" fillId="0" borderId="21" xfId="0" applyFont="1" applyBorder="1">
      <alignment vertical="center"/>
    </xf>
    <xf numFmtId="0" fontId="2" fillId="11" borderId="72" xfId="0" applyFont="1" applyFill="1" applyBorder="1">
      <alignment vertical="center"/>
    </xf>
    <xf numFmtId="178" fontId="7" fillId="11" borderId="89" xfId="2" applyNumberFormat="1" applyFont="1" applyFill="1" applyBorder="1" applyAlignment="1">
      <alignment horizontal="center" vertical="center"/>
    </xf>
    <xf numFmtId="178" fontId="7" fillId="4" borderId="25" xfId="2" applyNumberFormat="1" applyFont="1" applyFill="1" applyBorder="1" applyAlignment="1">
      <alignment horizontal="center" vertical="center"/>
    </xf>
    <xf numFmtId="178" fontId="7" fillId="4" borderId="4" xfId="2" applyNumberFormat="1" applyFont="1" applyFill="1" applyBorder="1" applyAlignment="1">
      <alignment horizontal="center" vertical="center"/>
    </xf>
    <xf numFmtId="178" fontId="7" fillId="11" borderId="26" xfId="2" applyNumberFormat="1" applyFont="1" applyFill="1" applyBorder="1" applyAlignment="1">
      <alignment horizontal="center" vertical="center"/>
    </xf>
    <xf numFmtId="178" fontId="7" fillId="4" borderId="16" xfId="2" applyNumberFormat="1" applyFont="1" applyFill="1" applyBorder="1" applyAlignment="1">
      <alignment horizontal="center" vertical="center"/>
    </xf>
    <xf numFmtId="178" fontId="7" fillId="11" borderId="54" xfId="2" applyNumberFormat="1" applyFont="1" applyFill="1" applyBorder="1" applyAlignment="1">
      <alignment horizontal="center" vertical="center"/>
    </xf>
    <xf numFmtId="178" fontId="7" fillId="0" borderId="4" xfId="2" applyNumberFormat="1" applyFont="1" applyBorder="1" applyAlignment="1">
      <alignment horizontal="center" vertical="center"/>
    </xf>
    <xf numFmtId="181" fontId="14" fillId="4" borderId="4" xfId="2" applyNumberFormat="1" applyFont="1" applyFill="1" applyBorder="1" applyAlignment="1">
      <alignment horizontal="center" vertical="center"/>
    </xf>
    <xf numFmtId="178" fontId="7" fillId="0" borderId="16" xfId="2" applyNumberFormat="1" applyFont="1" applyBorder="1" applyAlignment="1">
      <alignment horizontal="center" vertical="center"/>
    </xf>
    <xf numFmtId="180" fontId="2" fillId="4" borderId="15" xfId="0" applyNumberFormat="1" applyFont="1" applyFill="1" applyBorder="1" applyAlignment="1">
      <alignment horizontal="center" vertical="center"/>
    </xf>
    <xf numFmtId="180" fontId="2" fillId="4" borderId="4" xfId="0" applyNumberFormat="1" applyFont="1" applyFill="1" applyBorder="1" applyAlignment="1">
      <alignment horizontal="center" vertical="center"/>
    </xf>
    <xf numFmtId="178" fontId="7" fillId="4" borderId="15" xfId="2" applyNumberFormat="1" applyFont="1" applyFill="1" applyBorder="1" applyAlignment="1">
      <alignment horizontal="center" vertical="center"/>
    </xf>
    <xf numFmtId="178" fontId="7" fillId="11" borderId="23" xfId="2" applyNumberFormat="1" applyFont="1" applyFill="1" applyBorder="1" applyAlignment="1">
      <alignment horizontal="center" vertical="center"/>
    </xf>
    <xf numFmtId="178" fontId="2" fillId="11" borderId="26" xfId="0" applyNumberFormat="1" applyFont="1" applyFill="1" applyBorder="1">
      <alignment vertical="center"/>
    </xf>
    <xf numFmtId="0" fontId="2" fillId="0" borderId="16" xfId="0" applyFont="1" applyBorder="1">
      <alignment vertical="center"/>
    </xf>
    <xf numFmtId="0" fontId="2" fillId="11" borderId="26" xfId="0" applyFont="1" applyFill="1" applyBorder="1">
      <alignment vertical="center"/>
    </xf>
    <xf numFmtId="0" fontId="10" fillId="0" borderId="5" xfId="0" applyFont="1" applyBorder="1">
      <alignment vertical="center"/>
    </xf>
    <xf numFmtId="178" fontId="7" fillId="11" borderId="60" xfId="2" applyNumberFormat="1" applyFont="1" applyFill="1" applyBorder="1" applyAlignment="1">
      <alignment horizontal="center" vertical="center"/>
    </xf>
    <xf numFmtId="178" fontId="7" fillId="0" borderId="15" xfId="2" applyNumberFormat="1" applyFont="1" applyBorder="1" applyAlignment="1">
      <alignment horizontal="center" vertical="center"/>
    </xf>
    <xf numFmtId="178" fontId="7" fillId="4" borderId="42" xfId="2" applyNumberFormat="1" applyFont="1" applyFill="1" applyBorder="1" applyAlignment="1">
      <alignment horizontal="center" vertical="center"/>
    </xf>
    <xf numFmtId="0" fontId="23" fillId="0" borderId="0" xfId="0" applyFont="1">
      <alignment vertical="center"/>
    </xf>
    <xf numFmtId="0" fontId="23" fillId="0" borderId="1" xfId="0" applyFont="1" applyBorder="1">
      <alignment vertical="center"/>
    </xf>
    <xf numFmtId="0" fontId="25" fillId="8" borderId="90" xfId="0" applyFont="1" applyFill="1" applyBorder="1" applyAlignment="1"/>
    <xf numFmtId="188" fontId="25" fillId="0" borderId="90" xfId="0" applyNumberFormat="1" applyFont="1" applyBorder="1" applyAlignment="1"/>
    <xf numFmtId="0" fontId="2" fillId="0" borderId="90" xfId="0" applyFont="1" applyBorder="1" applyAlignment="1"/>
    <xf numFmtId="0" fontId="25" fillId="0" borderId="90" xfId="0" applyFont="1" applyBorder="1" applyAlignment="1"/>
    <xf numFmtId="0" fontId="7" fillId="0" borderId="90" xfId="0" applyFont="1" applyBorder="1" applyAlignment="1"/>
    <xf numFmtId="181" fontId="7" fillId="4" borderId="5" xfId="2" applyNumberFormat="1" applyFont="1" applyFill="1" applyBorder="1" applyAlignment="1">
      <alignment horizontal="center" vertical="center"/>
    </xf>
    <xf numFmtId="181" fontId="7" fillId="4" borderId="4" xfId="2" applyNumberFormat="1" applyFont="1" applyFill="1" applyBorder="1" applyAlignment="1">
      <alignment horizontal="center" vertical="center"/>
    </xf>
    <xf numFmtId="181" fontId="7" fillId="4" borderId="10" xfId="2" applyNumberFormat="1" applyFont="1" applyFill="1" applyBorder="1" applyAlignment="1">
      <alignment horizontal="center" vertical="center"/>
    </xf>
    <xf numFmtId="181" fontId="7" fillId="4" borderId="3" xfId="2" applyNumberFormat="1" applyFont="1" applyFill="1" applyBorder="1" applyAlignment="1">
      <alignment horizontal="center" vertical="center"/>
    </xf>
    <xf numFmtId="181" fontId="7" fillId="4" borderId="21" xfId="2" applyNumberFormat="1" applyFont="1" applyFill="1" applyBorder="1" applyAlignment="1">
      <alignment horizontal="center" vertical="center"/>
    </xf>
    <xf numFmtId="181" fontId="7" fillId="4" borderId="16" xfId="2" applyNumberFormat="1" applyFont="1" applyFill="1" applyBorder="1" applyAlignment="1">
      <alignment horizontal="center" vertical="center"/>
    </xf>
    <xf numFmtId="181" fontId="7" fillId="4" borderId="45" xfId="2" applyNumberFormat="1" applyFont="1" applyFill="1" applyBorder="1" applyAlignment="1">
      <alignment horizontal="center" vertical="center"/>
    </xf>
    <xf numFmtId="180" fontId="2" fillId="0" borderId="1" xfId="0" applyNumberFormat="1" applyFont="1" applyBorder="1">
      <alignment vertical="center"/>
    </xf>
    <xf numFmtId="0" fontId="27" fillId="14" borderId="1" xfId="0" applyFont="1" applyFill="1" applyBorder="1">
      <alignment vertical="center"/>
    </xf>
    <xf numFmtId="180" fontId="27" fillId="15" borderId="1" xfId="0" applyNumberFormat="1" applyFont="1" applyFill="1" applyBorder="1">
      <alignment vertical="center"/>
    </xf>
    <xf numFmtId="181" fontId="7" fillId="0" borderId="3" xfId="2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180" fontId="27" fillId="3" borderId="1" xfId="0" applyNumberFormat="1" applyFont="1" applyFill="1" applyBorder="1">
      <alignment vertical="center"/>
    </xf>
    <xf numFmtId="179" fontId="0" fillId="0" borderId="0" xfId="0" applyNumberFormat="1">
      <alignment vertical="center"/>
    </xf>
    <xf numFmtId="178" fontId="2" fillId="0" borderId="0" xfId="0" applyNumberFormat="1" applyFont="1">
      <alignment vertical="center"/>
    </xf>
    <xf numFmtId="0" fontId="9" fillId="0" borderId="0" xfId="0" applyFont="1" applyAlignment="1"/>
    <xf numFmtId="0" fontId="2" fillId="0" borderId="0" xfId="0" applyFont="1" applyAlignment="1">
      <alignment horizontal="right" vertical="center"/>
    </xf>
    <xf numFmtId="0" fontId="6" fillId="2" borderId="91" xfId="2" applyFont="1" applyFill="1" applyBorder="1" applyAlignment="1">
      <alignment horizontal="center" vertical="center"/>
    </xf>
    <xf numFmtId="0" fontId="6" fillId="2" borderId="91" xfId="2" applyFont="1" applyFill="1" applyBorder="1" applyAlignment="1">
      <alignment horizontal="center" vertical="center" wrapText="1"/>
    </xf>
    <xf numFmtId="178" fontId="7" fillId="3" borderId="1" xfId="2" applyNumberFormat="1" applyFont="1" applyFill="1" applyBorder="1" applyAlignment="1">
      <alignment horizontal="center" vertical="center"/>
    </xf>
    <xf numFmtId="179" fontId="2" fillId="11" borderId="76" xfId="1" applyNumberFormat="1" applyFont="1" applyFill="1" applyBorder="1">
      <alignment vertical="center"/>
    </xf>
    <xf numFmtId="179" fontId="2" fillId="4" borderId="0" xfId="1" applyNumberFormat="1" applyFont="1" applyFill="1" applyBorder="1">
      <alignment vertical="center"/>
    </xf>
    <xf numFmtId="0" fontId="2" fillId="4" borderId="60" xfId="0" applyFont="1" applyFill="1" applyBorder="1">
      <alignment vertical="center"/>
    </xf>
    <xf numFmtId="0" fontId="2" fillId="4" borderId="18" xfId="0" applyFont="1" applyFill="1" applyBorder="1">
      <alignment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9" fontId="2" fillId="4" borderId="0" xfId="0" applyNumberFormat="1" applyFont="1" applyFill="1">
      <alignment vertical="center"/>
    </xf>
    <xf numFmtId="0" fontId="28" fillId="0" borderId="0" xfId="0" applyFont="1">
      <alignment vertical="center"/>
    </xf>
    <xf numFmtId="0" fontId="10" fillId="7" borderId="10" xfId="0" applyFont="1" applyFill="1" applyBorder="1">
      <alignment vertical="center"/>
    </xf>
    <xf numFmtId="0" fontId="10" fillId="7" borderId="1" xfId="0" applyFont="1" applyFill="1" applyBorder="1">
      <alignment vertical="center"/>
    </xf>
    <xf numFmtId="0" fontId="10" fillId="7" borderId="41" xfId="0" applyFont="1" applyFill="1" applyBorder="1">
      <alignment vertical="center"/>
    </xf>
    <xf numFmtId="180" fontId="2" fillId="7" borderId="41" xfId="0" applyNumberFormat="1" applyFont="1" applyFill="1" applyBorder="1" applyAlignment="1">
      <alignment horizontal="center" vertical="center"/>
    </xf>
    <xf numFmtId="179" fontId="2" fillId="7" borderId="58" xfId="1" applyNumberFormat="1" applyFont="1" applyFill="1" applyBorder="1">
      <alignment vertical="center"/>
    </xf>
    <xf numFmtId="0" fontId="7" fillId="4" borderId="14" xfId="2" applyFont="1" applyFill="1" applyBorder="1">
      <alignment vertical="center"/>
    </xf>
    <xf numFmtId="178" fontId="12" fillId="0" borderId="7" xfId="2" applyNumberFormat="1" applyFont="1" applyBorder="1" applyAlignment="1">
      <alignment horizontal="center" vertical="center"/>
    </xf>
    <xf numFmtId="0" fontId="2" fillId="0" borderId="41" xfId="0" applyFont="1" applyBorder="1">
      <alignment vertical="center"/>
    </xf>
    <xf numFmtId="0" fontId="7" fillId="11" borderId="76" xfId="2" applyFont="1" applyFill="1" applyBorder="1">
      <alignment vertical="center"/>
    </xf>
    <xf numFmtId="0" fontId="14" fillId="0" borderId="75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0" fontId="14" fillId="0" borderId="83" xfId="0" applyFont="1" applyBorder="1" applyAlignment="1">
      <alignment horizontal="center" vertical="center"/>
    </xf>
    <xf numFmtId="0" fontId="2" fillId="0" borderId="10" xfId="0" applyFont="1" applyBorder="1" applyAlignment="1">
      <alignment horizontal="fill" vertical="center"/>
    </xf>
    <xf numFmtId="0" fontId="14" fillId="4" borderId="51" xfId="0" applyFont="1" applyFill="1" applyBorder="1" applyAlignment="1">
      <alignment horizontal="center" vertical="center"/>
    </xf>
    <xf numFmtId="0" fontId="2" fillId="4" borderId="52" xfId="0" applyFont="1" applyFill="1" applyBorder="1" applyAlignment="1">
      <alignment horizontal="center" vertical="center"/>
    </xf>
    <xf numFmtId="0" fontId="2" fillId="4" borderId="48" xfId="0" applyFont="1" applyFill="1" applyBorder="1">
      <alignment vertical="center"/>
    </xf>
    <xf numFmtId="185" fontId="14" fillId="4" borderId="5" xfId="2" applyNumberFormat="1" applyFont="1" applyFill="1" applyBorder="1" applyAlignment="1">
      <alignment horizontal="center" vertical="center" wrapText="1"/>
    </xf>
    <xf numFmtId="184" fontId="14" fillId="4" borderId="84" xfId="1" applyNumberFormat="1" applyFont="1" applyFill="1" applyBorder="1" applyAlignment="1">
      <alignment horizontal="center" vertical="center"/>
    </xf>
    <xf numFmtId="184" fontId="14" fillId="4" borderId="82" xfId="1" applyNumberFormat="1" applyFont="1" applyFill="1" applyBorder="1" applyAlignment="1">
      <alignment horizontal="center" vertical="center"/>
    </xf>
    <xf numFmtId="184" fontId="14" fillId="4" borderId="85" xfId="1" applyNumberFormat="1" applyFont="1" applyFill="1" applyBorder="1" applyAlignment="1">
      <alignment horizontal="center" vertical="center"/>
    </xf>
    <xf numFmtId="0" fontId="2" fillId="4" borderId="45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41" xfId="0" applyFont="1" applyFill="1" applyBorder="1" applyAlignment="1">
      <alignment horizontal="left" vertical="center"/>
    </xf>
    <xf numFmtId="178" fontId="7" fillId="4" borderId="94" xfId="2" applyNumberFormat="1" applyFont="1" applyFill="1" applyBorder="1" applyAlignment="1">
      <alignment horizontal="center" vertical="center"/>
    </xf>
    <xf numFmtId="178" fontId="7" fillId="4" borderId="95" xfId="2" applyNumberFormat="1" applyFont="1" applyFill="1" applyBorder="1" applyAlignment="1">
      <alignment horizontal="center" vertical="center"/>
    </xf>
    <xf numFmtId="0" fontId="2" fillId="11" borderId="76" xfId="0" applyFont="1" applyFill="1" applyBorder="1">
      <alignment vertical="center"/>
    </xf>
    <xf numFmtId="178" fontId="7" fillId="12" borderId="41" xfId="2" applyNumberFormat="1" applyFont="1" applyFill="1" applyBorder="1" applyAlignment="1">
      <alignment horizontal="center" vertical="center"/>
    </xf>
    <xf numFmtId="0" fontId="2" fillId="0" borderId="64" xfId="0" applyFont="1" applyBorder="1">
      <alignment vertical="center"/>
    </xf>
    <xf numFmtId="0" fontId="6" fillId="2" borderId="3" xfId="2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6" fillId="2" borderId="53" xfId="2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45" xfId="0" applyFont="1" applyBorder="1" applyAlignment="1">
      <alignment horizontal="fill" vertical="center"/>
    </xf>
    <xf numFmtId="0" fontId="2" fillId="0" borderId="61" xfId="0" applyFont="1" applyBorder="1" applyAlignment="1">
      <alignment horizontal="fill" vertical="center"/>
    </xf>
    <xf numFmtId="0" fontId="2" fillId="4" borderId="83" xfId="0" applyFont="1" applyFill="1" applyBorder="1" applyAlignment="1">
      <alignment horizontal="center" vertical="center"/>
    </xf>
    <xf numFmtId="0" fontId="7" fillId="11" borderId="60" xfId="2" applyFont="1" applyFill="1" applyBorder="1">
      <alignment vertical="center"/>
    </xf>
    <xf numFmtId="183" fontId="0" fillId="0" borderId="1" xfId="4" applyNumberFormat="1" applyFont="1" applyBorder="1">
      <alignment vertical="center"/>
    </xf>
    <xf numFmtId="0" fontId="27" fillId="13" borderId="1" xfId="0" applyFont="1" applyFill="1" applyBorder="1">
      <alignment vertical="center"/>
    </xf>
    <xf numFmtId="0" fontId="0" fillId="13" borderId="1" xfId="0" applyFill="1" applyBorder="1">
      <alignment vertical="center"/>
    </xf>
    <xf numFmtId="0" fontId="7" fillId="13" borderId="1" xfId="2" applyFont="1" applyFill="1" applyBorder="1" applyAlignment="1">
      <alignment horizontal="left" vertical="center"/>
    </xf>
    <xf numFmtId="0" fontId="12" fillId="13" borderId="1" xfId="2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left" vertical="center"/>
    </xf>
    <xf numFmtId="0" fontId="14" fillId="13" borderId="1" xfId="0" applyFont="1" applyFill="1" applyBorder="1" applyAlignment="1">
      <alignment horizontal="left" vertical="center"/>
    </xf>
    <xf numFmtId="180" fontId="0" fillId="13" borderId="1" xfId="0" applyNumberFormat="1" applyFill="1" applyBorder="1">
      <alignment vertical="center"/>
    </xf>
    <xf numFmtId="180" fontId="27" fillId="13" borderId="1" xfId="0" applyNumberFormat="1" applyFont="1" applyFill="1" applyBorder="1">
      <alignment vertical="center"/>
    </xf>
    <xf numFmtId="0" fontId="30" fillId="2" borderId="1" xfId="2" applyFont="1" applyFill="1" applyBorder="1" applyAlignment="1">
      <alignment horizontal="center" vertical="center"/>
    </xf>
    <xf numFmtId="0" fontId="31" fillId="13" borderId="1" xfId="2" applyFont="1" applyFill="1" applyBorder="1" applyAlignment="1">
      <alignment horizontal="left" vertical="center"/>
    </xf>
    <xf numFmtId="0" fontId="23" fillId="13" borderId="1" xfId="0" applyFont="1" applyFill="1" applyBorder="1">
      <alignment vertical="center"/>
    </xf>
    <xf numFmtId="0" fontId="22" fillId="13" borderId="1" xfId="2" applyFont="1" applyFill="1" applyBorder="1" applyAlignment="1">
      <alignment horizontal="left" vertical="center"/>
    </xf>
    <xf numFmtId="0" fontId="23" fillId="13" borderId="1" xfId="0" applyFont="1" applyFill="1" applyBorder="1" applyAlignment="1">
      <alignment horizontal="left" vertical="center"/>
    </xf>
    <xf numFmtId="0" fontId="32" fillId="13" borderId="1" xfId="0" applyFont="1" applyFill="1" applyBorder="1" applyAlignment="1">
      <alignment horizontal="left" vertical="center"/>
    </xf>
    <xf numFmtId="0" fontId="24" fillId="13" borderId="1" xfId="0" applyFont="1" applyFill="1" applyBorder="1">
      <alignment vertical="center"/>
    </xf>
    <xf numFmtId="0" fontId="23" fillId="16" borderId="0" xfId="0" applyFont="1" applyFill="1">
      <alignment vertical="center"/>
    </xf>
    <xf numFmtId="0" fontId="23" fillId="16" borderId="1" xfId="0" applyFont="1" applyFill="1" applyBorder="1">
      <alignment vertical="center"/>
    </xf>
    <xf numFmtId="0" fontId="24" fillId="16" borderId="1" xfId="0" applyFont="1" applyFill="1" applyBorder="1">
      <alignment vertical="center"/>
    </xf>
    <xf numFmtId="176" fontId="23" fillId="16" borderId="1" xfId="1" applyFont="1" applyFill="1" applyBorder="1">
      <alignment vertical="center"/>
    </xf>
    <xf numFmtId="0" fontId="7" fillId="11" borderId="76" xfId="2" applyFont="1" applyFill="1" applyBorder="1" applyAlignment="1">
      <alignment horizontal="center" vertical="center"/>
    </xf>
    <xf numFmtId="0" fontId="7" fillId="0" borderId="75" xfId="2" applyFont="1" applyBorder="1" applyAlignment="1">
      <alignment horizontal="center" vertical="center"/>
    </xf>
    <xf numFmtId="0" fontId="7" fillId="0" borderId="83" xfId="2" applyFont="1" applyBorder="1" applyAlignment="1">
      <alignment horizontal="center" vertical="center"/>
    </xf>
    <xf numFmtId="0" fontId="7" fillId="11" borderId="60" xfId="2" applyFont="1" applyFill="1" applyBorder="1" applyAlignment="1">
      <alignment horizontal="center" vertical="center"/>
    </xf>
    <xf numFmtId="0" fontId="7" fillId="0" borderId="78" xfId="2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178" fontId="7" fillId="3" borderId="4" xfId="2" applyNumberFormat="1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181" fontId="7" fillId="0" borderId="16" xfId="2" applyNumberFormat="1" applyFont="1" applyBorder="1" applyAlignment="1">
      <alignment horizontal="center" vertical="center"/>
    </xf>
    <xf numFmtId="178" fontId="7" fillId="0" borderId="6" xfId="2" applyNumberFormat="1" applyFont="1" applyBorder="1" applyAlignment="1">
      <alignment horizontal="center" vertical="center"/>
    </xf>
    <xf numFmtId="180" fontId="17" fillId="0" borderId="4" xfId="0" applyNumberFormat="1" applyFont="1" applyBorder="1" applyAlignment="1">
      <alignment horizontal="center" vertical="center"/>
    </xf>
    <xf numFmtId="180" fontId="19" fillId="0" borderId="16" xfId="0" applyNumberFormat="1" applyFont="1" applyBorder="1" applyAlignment="1">
      <alignment horizontal="center" vertical="center"/>
    </xf>
    <xf numFmtId="178" fontId="7" fillId="4" borderId="51" xfId="2" applyNumberFormat="1" applyFont="1" applyFill="1" applyBorder="1" applyAlignment="1">
      <alignment horizontal="center" vertical="center"/>
    </xf>
    <xf numFmtId="178" fontId="7" fillId="4" borderId="96" xfId="2" applyNumberFormat="1" applyFont="1" applyFill="1" applyBorder="1" applyAlignment="1">
      <alignment horizontal="center" vertical="center"/>
    </xf>
    <xf numFmtId="178" fontId="7" fillId="4" borderId="97" xfId="2" applyNumberFormat="1" applyFont="1" applyFill="1" applyBorder="1" applyAlignment="1">
      <alignment horizontal="center" vertical="center"/>
    </xf>
    <xf numFmtId="178" fontId="7" fillId="4" borderId="98" xfId="2" applyNumberFormat="1" applyFont="1" applyFill="1" applyBorder="1" applyAlignment="1">
      <alignment horizontal="center" vertical="center"/>
    </xf>
    <xf numFmtId="178" fontId="7" fillId="11" borderId="99" xfId="2" applyNumberFormat="1" applyFont="1" applyFill="1" applyBorder="1" applyAlignment="1">
      <alignment horizontal="center" vertical="center"/>
    </xf>
    <xf numFmtId="178" fontId="7" fillId="4" borderId="101" xfId="2" applyNumberFormat="1" applyFont="1" applyFill="1" applyBorder="1" applyAlignment="1">
      <alignment horizontal="center" vertical="center"/>
    </xf>
    <xf numFmtId="178" fontId="7" fillId="11" borderId="102" xfId="2" applyNumberFormat="1" applyFont="1" applyFill="1" applyBorder="1" applyAlignment="1">
      <alignment horizontal="center" vertical="center"/>
    </xf>
    <xf numFmtId="178" fontId="2" fillId="11" borderId="99" xfId="0" applyNumberFormat="1" applyFont="1" applyFill="1" applyBorder="1">
      <alignment vertical="center"/>
    </xf>
    <xf numFmtId="0" fontId="2" fillId="11" borderId="99" xfId="0" applyFont="1" applyFill="1" applyBorder="1">
      <alignment vertical="center"/>
    </xf>
    <xf numFmtId="178" fontId="7" fillId="4" borderId="73" xfId="2" applyNumberFormat="1" applyFont="1" applyFill="1" applyBorder="1" applyAlignment="1">
      <alignment horizontal="center" vertical="center"/>
    </xf>
    <xf numFmtId="179" fontId="2" fillId="0" borderId="7" xfId="1" applyNumberFormat="1" applyFont="1" applyBorder="1">
      <alignment vertical="center"/>
    </xf>
    <xf numFmtId="179" fontId="2" fillId="0" borderId="8" xfId="1" applyNumberFormat="1" applyFont="1" applyBorder="1">
      <alignment vertical="center"/>
    </xf>
    <xf numFmtId="179" fontId="2" fillId="0" borderId="9" xfId="1" applyNumberFormat="1" applyFont="1" applyBorder="1">
      <alignment vertical="center"/>
    </xf>
    <xf numFmtId="179" fontId="2" fillId="11" borderId="47" xfId="1" applyNumberFormat="1" applyFont="1" applyFill="1" applyBorder="1">
      <alignment vertical="center"/>
    </xf>
    <xf numFmtId="179" fontId="2" fillId="11" borderId="22" xfId="1" applyNumberFormat="1" applyFont="1" applyFill="1" applyBorder="1">
      <alignment vertical="center"/>
    </xf>
    <xf numFmtId="179" fontId="2" fillId="11" borderId="73" xfId="1" applyNumberFormat="1" applyFont="1" applyFill="1" applyBorder="1">
      <alignment vertical="center"/>
    </xf>
    <xf numFmtId="179" fontId="2" fillId="0" borderId="14" xfId="1" applyNumberFormat="1" applyFont="1" applyFill="1" applyBorder="1">
      <alignment vertical="center"/>
    </xf>
    <xf numFmtId="179" fontId="2" fillId="0" borderId="2" xfId="1" applyNumberFormat="1" applyFont="1" applyFill="1" applyBorder="1">
      <alignment vertical="center"/>
    </xf>
    <xf numFmtId="179" fontId="2" fillId="0" borderId="44" xfId="1" applyNumberFormat="1" applyFont="1" applyFill="1" applyBorder="1">
      <alignment vertical="center"/>
    </xf>
    <xf numFmtId="179" fontId="2" fillId="0" borderId="35" xfId="1" applyNumberFormat="1" applyFont="1" applyBorder="1">
      <alignment vertical="center"/>
    </xf>
    <xf numFmtId="179" fontId="2" fillId="0" borderId="79" xfId="1" applyNumberFormat="1" applyFont="1" applyBorder="1">
      <alignment vertical="center"/>
    </xf>
    <xf numFmtId="179" fontId="2" fillId="0" borderId="14" xfId="1" applyNumberFormat="1" applyFont="1" applyBorder="1">
      <alignment vertical="center"/>
    </xf>
    <xf numFmtId="179" fontId="2" fillId="0" borderId="61" xfId="1" applyNumberFormat="1" applyFont="1" applyBorder="1">
      <alignment vertical="center"/>
    </xf>
    <xf numFmtId="179" fontId="2" fillId="0" borderId="2" xfId="1" applyNumberFormat="1" applyFont="1" applyBorder="1">
      <alignment vertical="center"/>
    </xf>
    <xf numFmtId="179" fontId="2" fillId="0" borderId="44" xfId="1" applyNumberFormat="1" applyFont="1" applyBorder="1">
      <alignment vertical="center"/>
    </xf>
    <xf numFmtId="179" fontId="2" fillId="11" borderId="47" xfId="0" applyNumberFormat="1" applyFont="1" applyFill="1" applyBorder="1">
      <alignment vertical="center"/>
    </xf>
    <xf numFmtId="49" fontId="7" fillId="4" borderId="14" xfId="2" applyNumberFormat="1" applyFont="1" applyFill="1" applyBorder="1">
      <alignment vertical="center"/>
    </xf>
    <xf numFmtId="0" fontId="2" fillId="0" borderId="1" xfId="0" applyFont="1" applyBorder="1" applyAlignment="1">
      <alignment horizontal="left" vertical="center"/>
    </xf>
    <xf numFmtId="178" fontId="13" fillId="4" borderId="1" xfId="2" applyNumberFormat="1" applyFont="1" applyFill="1" applyBorder="1" applyAlignment="1">
      <alignment horizontal="center" vertical="center"/>
    </xf>
    <xf numFmtId="178" fontId="13" fillId="4" borderId="41" xfId="2" applyNumberFormat="1" applyFont="1" applyFill="1" applyBorder="1" applyAlignment="1">
      <alignment horizontal="center" vertical="center"/>
    </xf>
    <xf numFmtId="178" fontId="12" fillId="0" borderId="8" xfId="2" applyNumberFormat="1" applyFont="1" applyBorder="1" applyAlignment="1">
      <alignment horizontal="center" vertical="center"/>
    </xf>
    <xf numFmtId="0" fontId="2" fillId="4" borderId="75" xfId="0" applyFont="1" applyFill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7" fillId="4" borderId="52" xfId="2" applyFont="1" applyFill="1" applyBorder="1" applyAlignment="1">
      <alignment horizontal="center" vertical="center"/>
    </xf>
    <xf numFmtId="178" fontId="7" fillId="4" borderId="105" xfId="2" applyNumberFormat="1" applyFont="1" applyFill="1" applyBorder="1" applyAlignment="1">
      <alignment horizontal="center" vertical="center"/>
    </xf>
    <xf numFmtId="178" fontId="7" fillId="4" borderId="106" xfId="2" applyNumberFormat="1" applyFont="1" applyFill="1" applyBorder="1" applyAlignment="1">
      <alignment horizontal="center" vertical="center"/>
    </xf>
    <xf numFmtId="178" fontId="7" fillId="4" borderId="107" xfId="2" applyNumberFormat="1" applyFont="1" applyFill="1" applyBorder="1" applyAlignment="1">
      <alignment horizontal="center" vertical="center"/>
    </xf>
    <xf numFmtId="178" fontId="7" fillId="4" borderId="108" xfId="2" applyNumberFormat="1" applyFont="1" applyFill="1" applyBorder="1" applyAlignment="1">
      <alignment horizontal="center" vertical="center"/>
    </xf>
    <xf numFmtId="178" fontId="7" fillId="4" borderId="109" xfId="2" applyNumberFormat="1" applyFont="1" applyFill="1" applyBorder="1" applyAlignment="1">
      <alignment horizontal="center" vertical="center"/>
    </xf>
    <xf numFmtId="178" fontId="7" fillId="11" borderId="111" xfId="2" applyNumberFormat="1" applyFont="1" applyFill="1" applyBorder="1" applyAlignment="1">
      <alignment horizontal="center" vertical="center"/>
    </xf>
    <xf numFmtId="178" fontId="7" fillId="11" borderId="112" xfId="2" applyNumberFormat="1" applyFont="1" applyFill="1" applyBorder="1" applyAlignment="1">
      <alignment horizontal="center" vertical="center"/>
    </xf>
    <xf numFmtId="178" fontId="7" fillId="11" borderId="113" xfId="2" applyNumberFormat="1" applyFont="1" applyFill="1" applyBorder="1" applyAlignment="1">
      <alignment horizontal="center" vertical="center"/>
    </xf>
    <xf numFmtId="181" fontId="7" fillId="4" borderId="106" xfId="2" applyNumberFormat="1" applyFont="1" applyFill="1" applyBorder="1" applyAlignment="1">
      <alignment horizontal="center" vertical="center"/>
    </xf>
    <xf numFmtId="181" fontId="7" fillId="4" borderId="107" xfId="2" applyNumberFormat="1" applyFont="1" applyFill="1" applyBorder="1" applyAlignment="1">
      <alignment horizontal="center" vertical="center"/>
    </xf>
    <xf numFmtId="181" fontId="7" fillId="4" borderId="109" xfId="2" applyNumberFormat="1" applyFont="1" applyFill="1" applyBorder="1" applyAlignment="1">
      <alignment horizontal="center" vertical="center"/>
    </xf>
    <xf numFmtId="181" fontId="7" fillId="4" borderId="110" xfId="2" applyNumberFormat="1" applyFont="1" applyFill="1" applyBorder="1" applyAlignment="1">
      <alignment horizontal="center" vertical="center"/>
    </xf>
    <xf numFmtId="178" fontId="7" fillId="4" borderId="115" xfId="2" applyNumberFormat="1" applyFont="1" applyFill="1" applyBorder="1" applyAlignment="1">
      <alignment horizontal="center" vertical="center"/>
    </xf>
    <xf numFmtId="178" fontId="7" fillId="4" borderId="116" xfId="2" applyNumberFormat="1" applyFont="1" applyFill="1" applyBorder="1" applyAlignment="1">
      <alignment horizontal="center" vertical="center"/>
    </xf>
    <xf numFmtId="181" fontId="14" fillId="4" borderId="106" xfId="2" applyNumberFormat="1" applyFont="1" applyFill="1" applyBorder="1" applyAlignment="1">
      <alignment horizontal="center" vertical="center"/>
    </xf>
    <xf numFmtId="181" fontId="14" fillId="4" borderId="107" xfId="2" applyNumberFormat="1" applyFont="1" applyFill="1" applyBorder="1" applyAlignment="1">
      <alignment horizontal="center" vertical="center"/>
    </xf>
    <xf numFmtId="180" fontId="2" fillId="4" borderId="121" xfId="0" applyNumberFormat="1" applyFont="1" applyFill="1" applyBorder="1" applyAlignment="1">
      <alignment horizontal="center" vertical="center"/>
    </xf>
    <xf numFmtId="180" fontId="2" fillId="4" borderId="122" xfId="0" applyNumberFormat="1" applyFont="1" applyFill="1" applyBorder="1" applyAlignment="1">
      <alignment horizontal="center" vertical="center"/>
    </xf>
    <xf numFmtId="180" fontId="2" fillId="4" borderId="106" xfId="0" applyNumberFormat="1" applyFont="1" applyFill="1" applyBorder="1" applyAlignment="1">
      <alignment horizontal="center" vertical="center"/>
    </xf>
    <xf numFmtId="180" fontId="2" fillId="4" borderId="107" xfId="0" applyNumberFormat="1" applyFont="1" applyFill="1" applyBorder="1" applyAlignment="1">
      <alignment horizontal="center" vertical="center"/>
    </xf>
    <xf numFmtId="178" fontId="7" fillId="4" borderId="120" xfId="2" applyNumberFormat="1" applyFont="1" applyFill="1" applyBorder="1" applyAlignment="1">
      <alignment horizontal="center" vertical="center"/>
    </xf>
    <xf numFmtId="178" fontId="7" fillId="4" borderId="121" xfId="2" applyNumberFormat="1" applyFont="1" applyFill="1" applyBorder="1" applyAlignment="1">
      <alignment horizontal="center" vertical="center"/>
    </xf>
    <xf numFmtId="178" fontId="7" fillId="4" borderId="122" xfId="2" applyNumberFormat="1" applyFont="1" applyFill="1" applyBorder="1" applyAlignment="1">
      <alignment horizontal="center" vertical="center"/>
    </xf>
    <xf numFmtId="178" fontId="7" fillId="4" borderId="110" xfId="2" applyNumberFormat="1" applyFont="1" applyFill="1" applyBorder="1" applyAlignment="1">
      <alignment horizontal="center" vertical="center"/>
    </xf>
    <xf numFmtId="178" fontId="7" fillId="11" borderId="123" xfId="2" applyNumberFormat="1" applyFont="1" applyFill="1" applyBorder="1" applyAlignment="1">
      <alignment horizontal="center" vertical="center"/>
    </xf>
    <xf numFmtId="178" fontId="7" fillId="11" borderId="124" xfId="2" applyNumberFormat="1" applyFont="1" applyFill="1" applyBorder="1" applyAlignment="1">
      <alignment horizontal="center" vertical="center"/>
    </xf>
    <xf numFmtId="178" fontId="7" fillId="11" borderId="125" xfId="2" applyNumberFormat="1" applyFont="1" applyFill="1" applyBorder="1" applyAlignment="1">
      <alignment horizontal="center" vertical="center"/>
    </xf>
    <xf numFmtId="178" fontId="2" fillId="11" borderId="111" xfId="0" applyNumberFormat="1" applyFont="1" applyFill="1" applyBorder="1">
      <alignment vertical="center"/>
    </xf>
    <xf numFmtId="178" fontId="2" fillId="11" borderId="112" xfId="0" applyNumberFormat="1" applyFont="1" applyFill="1" applyBorder="1">
      <alignment vertical="center"/>
    </xf>
    <xf numFmtId="178" fontId="2" fillId="11" borderId="113" xfId="0" applyNumberFormat="1" applyFont="1" applyFill="1" applyBorder="1">
      <alignment vertical="center"/>
    </xf>
    <xf numFmtId="178" fontId="13" fillId="4" borderId="106" xfId="2" applyNumberFormat="1" applyFont="1" applyFill="1" applyBorder="1" applyAlignment="1">
      <alignment horizontal="center" vertical="center"/>
    </xf>
    <xf numFmtId="0" fontId="2" fillId="11" borderId="111" xfId="0" applyFont="1" applyFill="1" applyBorder="1">
      <alignment vertical="center"/>
    </xf>
    <xf numFmtId="0" fontId="2" fillId="11" borderId="112" xfId="0" applyFont="1" applyFill="1" applyBorder="1">
      <alignment vertical="center"/>
    </xf>
    <xf numFmtId="0" fontId="2" fillId="11" borderId="113" xfId="0" applyFont="1" applyFill="1" applyBorder="1">
      <alignment vertical="center"/>
    </xf>
    <xf numFmtId="0" fontId="7" fillId="4" borderId="3" xfId="2" applyFont="1" applyFill="1" applyBorder="1" applyAlignment="1">
      <alignment horizontal="center" vertical="center"/>
    </xf>
    <xf numFmtId="185" fontId="14" fillId="8" borderId="88" xfId="2" applyNumberFormat="1" applyFont="1" applyFill="1" applyBorder="1" applyAlignment="1">
      <alignment horizontal="center" vertical="center" wrapText="1"/>
    </xf>
    <xf numFmtId="0" fontId="2" fillId="0" borderId="35" xfId="0" applyFont="1" applyBorder="1">
      <alignment vertical="center"/>
    </xf>
    <xf numFmtId="0" fontId="7" fillId="0" borderId="45" xfId="2" applyFont="1" applyBorder="1" applyAlignment="1">
      <alignment vertical="center" wrapText="1"/>
    </xf>
    <xf numFmtId="180" fontId="2" fillId="4" borderId="3" xfId="0" applyNumberFormat="1" applyFont="1" applyFill="1" applyBorder="1" applyAlignment="1">
      <alignment horizontal="center" vertical="center"/>
    </xf>
    <xf numFmtId="180" fontId="2" fillId="4" borderId="16" xfId="0" applyNumberFormat="1" applyFont="1" applyFill="1" applyBorder="1" applyAlignment="1">
      <alignment horizontal="center" vertical="center"/>
    </xf>
    <xf numFmtId="180" fontId="2" fillId="4" borderId="109" xfId="0" applyNumberFormat="1" applyFont="1" applyFill="1" applyBorder="1" applyAlignment="1">
      <alignment horizontal="center" vertical="center"/>
    </xf>
    <xf numFmtId="180" fontId="2" fillId="4" borderId="110" xfId="0" applyNumberFormat="1" applyFont="1" applyFill="1" applyBorder="1" applyAlignment="1">
      <alignment horizontal="center" vertical="center"/>
    </xf>
    <xf numFmtId="180" fontId="2" fillId="4" borderId="21" xfId="0" applyNumberFormat="1" applyFont="1" applyFill="1" applyBorder="1" applyAlignment="1">
      <alignment horizontal="center" vertical="center"/>
    </xf>
    <xf numFmtId="180" fontId="2" fillId="4" borderId="46" xfId="0" applyNumberFormat="1" applyFont="1" applyFill="1" applyBorder="1" applyAlignment="1">
      <alignment horizontal="center" vertical="center"/>
    </xf>
    <xf numFmtId="178" fontId="12" fillId="0" borderId="12" xfId="2" applyNumberFormat="1" applyFont="1" applyBorder="1" applyAlignment="1">
      <alignment horizontal="center" vertical="center"/>
    </xf>
    <xf numFmtId="178" fontId="7" fillId="0" borderId="29" xfId="2" applyNumberFormat="1" applyFont="1" applyBorder="1" applyAlignment="1">
      <alignment horizontal="center" vertical="center"/>
    </xf>
    <xf numFmtId="179" fontId="2" fillId="11" borderId="22" xfId="0" applyNumberFormat="1" applyFont="1" applyFill="1" applyBorder="1">
      <alignment vertical="center"/>
    </xf>
    <xf numFmtId="179" fontId="2" fillId="11" borderId="73" xfId="0" applyNumberFormat="1" applyFont="1" applyFill="1" applyBorder="1">
      <alignment vertical="center"/>
    </xf>
    <xf numFmtId="184" fontId="14" fillId="0" borderId="1" xfId="1" applyNumberFormat="1" applyFont="1" applyFill="1" applyBorder="1" applyAlignment="1">
      <alignment horizontal="center" vertical="center"/>
    </xf>
    <xf numFmtId="184" fontId="14" fillId="0" borderId="128" xfId="1" applyNumberFormat="1" applyFont="1" applyFill="1" applyBorder="1" applyAlignment="1">
      <alignment horizontal="center" vertical="center"/>
    </xf>
    <xf numFmtId="184" fontId="14" fillId="0" borderId="8" xfId="1" applyNumberFormat="1" applyFont="1" applyFill="1" applyBorder="1" applyAlignment="1">
      <alignment horizontal="center" vertical="center"/>
    </xf>
    <xf numFmtId="184" fontId="14" fillId="0" borderId="130" xfId="1" applyNumberFormat="1" applyFont="1" applyFill="1" applyBorder="1" applyAlignment="1">
      <alignment horizontal="center" vertical="center"/>
    </xf>
    <xf numFmtId="184" fontId="14" fillId="0" borderId="4" xfId="1" applyNumberFormat="1" applyFont="1" applyFill="1" applyBorder="1" applyAlignment="1">
      <alignment horizontal="center" vertical="center"/>
    </xf>
    <xf numFmtId="184" fontId="14" fillId="0" borderId="132" xfId="1" applyNumberFormat="1" applyFont="1" applyFill="1" applyBorder="1" applyAlignment="1">
      <alignment horizontal="center" vertical="center"/>
    </xf>
    <xf numFmtId="184" fontId="14" fillId="0" borderId="126" xfId="1" applyNumberFormat="1" applyFont="1" applyFill="1" applyBorder="1" applyAlignment="1">
      <alignment horizontal="center" vertical="center"/>
    </xf>
    <xf numFmtId="184" fontId="14" fillId="0" borderId="12" xfId="1" applyNumberFormat="1" applyFont="1" applyFill="1" applyBorder="1" applyAlignment="1">
      <alignment horizontal="center" vertical="center"/>
    </xf>
    <xf numFmtId="184" fontId="14" fillId="0" borderId="27" xfId="1" applyNumberFormat="1" applyFont="1" applyFill="1" applyBorder="1" applyAlignment="1">
      <alignment horizontal="center" vertical="center"/>
    </xf>
    <xf numFmtId="178" fontId="7" fillId="4" borderId="12" xfId="2" applyNumberFormat="1" applyFont="1" applyFill="1" applyBorder="1" applyAlignment="1">
      <alignment horizontal="center" vertical="center"/>
    </xf>
    <xf numFmtId="178" fontId="7" fillId="4" borderId="13" xfId="2" applyNumberFormat="1" applyFont="1" applyFill="1" applyBorder="1" applyAlignment="1">
      <alignment horizontal="center" vertical="center"/>
    </xf>
    <xf numFmtId="184" fontId="14" fillId="0" borderId="10" xfId="1" applyNumberFormat="1" applyFont="1" applyFill="1" applyBorder="1" applyAlignment="1">
      <alignment horizontal="center" vertical="center"/>
    </xf>
    <xf numFmtId="178" fontId="7" fillId="4" borderId="27" xfId="2" applyNumberFormat="1" applyFont="1" applyFill="1" applyBorder="1" applyAlignment="1">
      <alignment horizontal="center" vertical="center"/>
    </xf>
    <xf numFmtId="178" fontId="7" fillId="4" borderId="118" xfId="2" applyNumberFormat="1" applyFont="1" applyFill="1" applyBorder="1" applyAlignment="1">
      <alignment horizontal="center" vertical="center"/>
    </xf>
    <xf numFmtId="178" fontId="7" fillId="4" borderId="28" xfId="2" applyNumberFormat="1" applyFont="1" applyFill="1" applyBorder="1" applyAlignment="1">
      <alignment horizontal="center" vertical="center"/>
    </xf>
    <xf numFmtId="0" fontId="2" fillId="0" borderId="78" xfId="0" applyFont="1" applyBorder="1" applyAlignment="1">
      <alignment horizontal="center" vertical="center"/>
    </xf>
    <xf numFmtId="0" fontId="7" fillId="0" borderId="135" xfId="2" applyFont="1" applyBorder="1" applyAlignment="1">
      <alignment horizontal="center" vertical="center"/>
    </xf>
    <xf numFmtId="186" fontId="7" fillId="0" borderId="136" xfId="2" applyNumberFormat="1" applyFont="1" applyBorder="1" applyAlignment="1">
      <alignment horizontal="center" vertical="center"/>
    </xf>
    <xf numFmtId="0" fontId="7" fillId="0" borderId="137" xfId="2" applyFont="1" applyBorder="1" applyAlignment="1">
      <alignment horizontal="center" vertical="center"/>
    </xf>
    <xf numFmtId="0" fontId="7" fillId="11" borderId="138" xfId="2" applyFont="1" applyFill="1" applyBorder="1">
      <alignment vertical="center"/>
    </xf>
    <xf numFmtId="186" fontId="7" fillId="11" borderId="139" xfId="2" applyNumberFormat="1" applyFont="1" applyFill="1" applyBorder="1">
      <alignment vertical="center"/>
    </xf>
    <xf numFmtId="0" fontId="7" fillId="4" borderId="137" xfId="2" applyFont="1" applyFill="1" applyBorder="1" applyAlignment="1">
      <alignment horizontal="center" vertical="center"/>
    </xf>
    <xf numFmtId="186" fontId="7" fillId="0" borderId="140" xfId="2" applyNumberFormat="1" applyFont="1" applyBorder="1" applyAlignment="1">
      <alignment horizontal="center" vertical="center"/>
    </xf>
    <xf numFmtId="0" fontId="7" fillId="0" borderId="141" xfId="2" applyFont="1" applyBorder="1" applyAlignment="1">
      <alignment horizontal="center" vertical="center"/>
    </xf>
    <xf numFmtId="186" fontId="7" fillId="0" borderId="142" xfId="2" applyNumberFormat="1" applyFont="1" applyBorder="1" applyAlignment="1">
      <alignment horizontal="center" vertical="center"/>
    </xf>
    <xf numFmtId="0" fontId="2" fillId="4" borderId="141" xfId="0" applyFont="1" applyFill="1" applyBorder="1" applyAlignment="1">
      <alignment horizontal="center" vertical="center"/>
    </xf>
    <xf numFmtId="186" fontId="2" fillId="0" borderId="142" xfId="0" applyNumberFormat="1" applyFont="1" applyBorder="1" applyAlignment="1">
      <alignment horizontal="center" vertical="center"/>
    </xf>
    <xf numFmtId="0" fontId="2" fillId="4" borderId="135" xfId="0" applyFont="1" applyFill="1" applyBorder="1" applyAlignment="1">
      <alignment horizontal="center" vertical="center"/>
    </xf>
    <xf numFmtId="186" fontId="2" fillId="0" borderId="136" xfId="0" applyNumberFormat="1" applyFont="1" applyBorder="1" applyAlignment="1">
      <alignment horizontal="center" vertical="center"/>
    </xf>
    <xf numFmtId="0" fontId="7" fillId="0" borderId="143" xfId="2" applyFont="1" applyBorder="1" applyAlignment="1">
      <alignment horizontal="center" vertical="center"/>
    </xf>
    <xf numFmtId="0" fontId="7" fillId="4" borderId="135" xfId="2" applyFont="1" applyFill="1" applyBorder="1" applyAlignment="1">
      <alignment horizontal="center" vertical="center"/>
    </xf>
    <xf numFmtId="186" fontId="7" fillId="4" borderId="136" xfId="2" applyNumberFormat="1" applyFont="1" applyFill="1" applyBorder="1" applyAlignment="1">
      <alignment horizontal="center" vertical="center"/>
    </xf>
    <xf numFmtId="186" fontId="7" fillId="4" borderId="140" xfId="2" applyNumberFormat="1" applyFont="1" applyFill="1" applyBorder="1" applyAlignment="1">
      <alignment horizontal="center" vertical="center"/>
    </xf>
    <xf numFmtId="0" fontId="2" fillId="4" borderId="143" xfId="0" applyFont="1" applyFill="1" applyBorder="1" applyAlignment="1">
      <alignment horizontal="center" vertical="center"/>
    </xf>
    <xf numFmtId="0" fontId="2" fillId="0" borderId="135" xfId="0" applyFont="1" applyBorder="1" applyAlignment="1">
      <alignment horizontal="center" vertical="center"/>
    </xf>
    <xf numFmtId="0" fontId="14" fillId="4" borderId="135" xfId="0" applyFont="1" applyFill="1" applyBorder="1" applyAlignment="1">
      <alignment horizontal="center" vertical="center"/>
    </xf>
    <xf numFmtId="186" fontId="2" fillId="4" borderId="136" xfId="0" applyNumberFormat="1" applyFont="1" applyFill="1" applyBorder="1" applyAlignment="1">
      <alignment horizontal="center" vertical="center"/>
    </xf>
    <xf numFmtId="186" fontId="2" fillId="0" borderId="144" xfId="0" applyNumberFormat="1" applyFont="1" applyBorder="1" applyAlignment="1">
      <alignment horizontal="center" vertical="center"/>
    </xf>
    <xf numFmtId="0" fontId="2" fillId="11" borderId="138" xfId="0" applyFont="1" applyFill="1" applyBorder="1">
      <alignment vertical="center"/>
    </xf>
    <xf numFmtId="186" fontId="2" fillId="11" borderId="139" xfId="0" applyNumberFormat="1" applyFont="1" applyFill="1" applyBorder="1">
      <alignment vertical="center"/>
    </xf>
    <xf numFmtId="181" fontId="2" fillId="0" borderId="47" xfId="0" applyNumberFormat="1" applyFont="1" applyBorder="1">
      <alignment vertical="center"/>
    </xf>
    <xf numFmtId="179" fontId="2" fillId="0" borderId="11" xfId="1" applyNumberFormat="1" applyFont="1" applyBorder="1">
      <alignment vertical="center"/>
    </xf>
    <xf numFmtId="179" fontId="2" fillId="0" borderId="13" xfId="1" applyNumberFormat="1" applyFont="1" applyBorder="1">
      <alignment vertical="center"/>
    </xf>
    <xf numFmtId="179" fontId="2" fillId="0" borderId="12" xfId="1" applyNumberFormat="1" applyFont="1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7" fillId="0" borderId="22" xfId="2" applyFont="1" applyBorder="1" applyAlignment="1">
      <alignment horizontal="center" vertical="center"/>
    </xf>
    <xf numFmtId="0" fontId="7" fillId="0" borderId="76" xfId="2" applyFont="1" applyBorder="1" applyAlignment="1">
      <alignment horizontal="center" vertical="center"/>
    </xf>
    <xf numFmtId="0" fontId="7" fillId="0" borderId="138" xfId="2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86" fontId="7" fillId="0" borderId="139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9" fontId="2" fillId="0" borderId="149" xfId="1" applyNumberFormat="1" applyFont="1" applyBorder="1" applyAlignment="1">
      <alignment horizontal="center" vertical="center"/>
    </xf>
    <xf numFmtId="179" fontId="2" fillId="0" borderId="150" xfId="1" applyNumberFormat="1" applyFont="1" applyBorder="1" applyAlignment="1">
      <alignment horizontal="center" vertical="center"/>
    </xf>
    <xf numFmtId="179" fontId="2" fillId="0" borderId="150" xfId="1" quotePrefix="1" applyNumberFormat="1" applyFont="1" applyBorder="1" applyAlignment="1">
      <alignment horizontal="center" vertical="center"/>
    </xf>
    <xf numFmtId="179" fontId="2" fillId="11" borderId="151" xfId="1" applyNumberFormat="1" applyFont="1" applyFill="1" applyBorder="1" applyAlignment="1">
      <alignment horizontal="center" vertical="center"/>
    </xf>
    <xf numFmtId="179" fontId="2" fillId="0" borderId="150" xfId="1" applyNumberFormat="1" applyFont="1" applyFill="1" applyBorder="1" applyAlignment="1">
      <alignment horizontal="center" vertical="center"/>
    </xf>
    <xf numFmtId="179" fontId="2" fillId="0" borderId="152" xfId="1" applyNumberFormat="1" applyFont="1" applyFill="1" applyBorder="1" applyAlignment="1">
      <alignment horizontal="center" vertical="center"/>
    </xf>
    <xf numFmtId="179" fontId="2" fillId="0" borderId="153" xfId="1" applyNumberFormat="1" applyFont="1" applyFill="1" applyBorder="1" applyAlignment="1">
      <alignment horizontal="center" vertical="center"/>
    </xf>
    <xf numFmtId="179" fontId="2" fillId="0" borderId="153" xfId="1" applyNumberFormat="1" applyFont="1" applyBorder="1" applyAlignment="1">
      <alignment horizontal="center" vertical="center"/>
    </xf>
    <xf numFmtId="179" fontId="2" fillId="0" borderId="152" xfId="1" applyNumberFormat="1" applyFont="1" applyBorder="1" applyAlignment="1">
      <alignment horizontal="center" vertical="center"/>
    </xf>
    <xf numFmtId="179" fontId="2" fillId="0" borderId="149" xfId="1" applyNumberFormat="1" applyFont="1" applyFill="1" applyBorder="1" applyAlignment="1">
      <alignment horizontal="center" vertical="center"/>
    </xf>
    <xf numFmtId="187" fontId="2" fillId="0" borderId="150" xfId="1" applyNumberFormat="1" applyFont="1" applyFill="1" applyBorder="1" applyAlignment="1">
      <alignment horizontal="center" vertical="center"/>
    </xf>
    <xf numFmtId="179" fontId="2" fillId="0" borderId="154" xfId="1" applyNumberFormat="1" applyFont="1" applyBorder="1" applyAlignment="1">
      <alignment horizontal="center" vertical="center"/>
    </xf>
    <xf numFmtId="179" fontId="2" fillId="0" borderId="155" xfId="1" applyNumberFormat="1" applyFont="1" applyBorder="1" applyAlignment="1">
      <alignment horizontal="center" vertical="center"/>
    </xf>
    <xf numFmtId="0" fontId="2" fillId="0" borderId="149" xfId="0" applyFont="1" applyBorder="1" applyAlignment="1">
      <alignment horizontal="center" vertical="center"/>
    </xf>
    <xf numFmtId="179" fontId="2" fillId="11" borderId="156" xfId="1" applyNumberFormat="1" applyFont="1" applyFill="1" applyBorder="1" applyAlignment="1">
      <alignment horizontal="center" vertical="center"/>
    </xf>
    <xf numFmtId="0" fontId="2" fillId="0" borderId="150" xfId="0" applyFont="1" applyBorder="1" applyAlignment="1">
      <alignment horizontal="center" vertical="center"/>
    </xf>
    <xf numFmtId="0" fontId="2" fillId="0" borderId="152" xfId="0" applyFont="1" applyBorder="1" applyAlignment="1">
      <alignment horizontal="center" vertical="center"/>
    </xf>
    <xf numFmtId="0" fontId="2" fillId="11" borderId="151" xfId="0" applyFont="1" applyFill="1" applyBorder="1" applyAlignment="1">
      <alignment horizontal="center" vertical="center"/>
    </xf>
    <xf numFmtId="179" fontId="26" fillId="0" borderId="150" xfId="1" applyNumberFormat="1" applyFont="1" applyBorder="1" applyAlignment="1">
      <alignment horizontal="center" vertical="center"/>
    </xf>
    <xf numFmtId="181" fontId="2" fillId="0" borderId="151" xfId="0" applyNumberFormat="1" applyFont="1" applyBorder="1" applyAlignment="1">
      <alignment horizontal="center" vertical="center"/>
    </xf>
    <xf numFmtId="0" fontId="6" fillId="2" borderId="163" xfId="2" applyFont="1" applyFill="1" applyBorder="1" applyAlignment="1">
      <alignment horizontal="center" vertical="center"/>
    </xf>
    <xf numFmtId="2" fontId="2" fillId="0" borderId="1" xfId="0" applyNumberFormat="1" applyFont="1" applyBorder="1">
      <alignment vertical="center"/>
    </xf>
    <xf numFmtId="0" fontId="0" fillId="0" borderId="0" xfId="0" applyAlignment="1">
      <alignment horizontal="center"/>
    </xf>
    <xf numFmtId="0" fontId="7" fillId="4" borderId="2" xfId="2" applyFont="1" applyFill="1" applyBorder="1" applyAlignment="1">
      <alignment horizontal="left" vertical="center"/>
    </xf>
    <xf numFmtId="180" fontId="2" fillId="0" borderId="2" xfId="0" applyNumberFormat="1" applyFont="1" applyBorder="1">
      <alignment vertical="center"/>
    </xf>
    <xf numFmtId="2" fontId="2" fillId="0" borderId="2" xfId="0" applyNumberFormat="1" applyFont="1" applyBorder="1">
      <alignment vertical="center"/>
    </xf>
    <xf numFmtId="180" fontId="27" fillId="15" borderId="2" xfId="0" applyNumberFormat="1" applyFont="1" applyFill="1" applyBorder="1">
      <alignment vertical="center"/>
    </xf>
    <xf numFmtId="0" fontId="6" fillId="2" borderId="165" xfId="2" applyFont="1" applyFill="1" applyBorder="1" applyAlignment="1">
      <alignment horizontal="center" vertical="center"/>
    </xf>
    <xf numFmtId="0" fontId="33" fillId="0" borderId="0" xfId="0" applyFont="1" applyAlignment="1">
      <alignment horizontal="center"/>
    </xf>
    <xf numFmtId="181" fontId="0" fillId="0" borderId="0" xfId="0" applyNumberFormat="1">
      <alignment vertical="center"/>
    </xf>
    <xf numFmtId="190" fontId="0" fillId="0" borderId="0" xfId="0" applyNumberFormat="1">
      <alignment vertical="center"/>
    </xf>
    <xf numFmtId="0" fontId="34" fillId="0" borderId="0" xfId="0" applyFont="1">
      <alignment vertical="center"/>
    </xf>
    <xf numFmtId="2" fontId="0" fillId="0" borderId="1" xfId="0" applyNumberFormat="1" applyBorder="1">
      <alignment vertical="center"/>
    </xf>
    <xf numFmtId="0" fontId="2" fillId="4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81" fontId="0" fillId="0" borderId="1" xfId="0" applyNumberFormat="1" applyBorder="1">
      <alignment vertical="center"/>
    </xf>
    <xf numFmtId="0" fontId="27" fillId="3" borderId="1" xfId="0" applyFont="1" applyFill="1" applyBorder="1">
      <alignment vertical="center"/>
    </xf>
    <xf numFmtId="2" fontId="0" fillId="3" borderId="1" xfId="0" applyNumberFormat="1" applyFill="1" applyBorder="1">
      <alignment vertical="center"/>
    </xf>
    <xf numFmtId="0" fontId="9" fillId="3" borderId="0" xfId="0" applyFont="1" applyFill="1" applyAlignment="1"/>
    <xf numFmtId="178" fontId="7" fillId="3" borderId="2" xfId="2" applyNumberFormat="1" applyFont="1" applyFill="1" applyBorder="1" applyAlignment="1">
      <alignment horizontal="center" vertical="center"/>
    </xf>
    <xf numFmtId="178" fontId="7" fillId="3" borderId="106" xfId="2" applyNumberFormat="1" applyFont="1" applyFill="1" applyBorder="1" applyAlignment="1">
      <alignment horizontal="center" vertical="center"/>
    </xf>
    <xf numFmtId="178" fontId="7" fillId="3" borderId="10" xfId="2" applyNumberFormat="1" applyFont="1" applyFill="1" applyBorder="1" applyAlignment="1">
      <alignment horizontal="center" vertical="center"/>
    </xf>
    <xf numFmtId="178" fontId="7" fillId="3" borderId="5" xfId="2" applyNumberFormat="1" applyFont="1" applyFill="1" applyBorder="1" applyAlignment="1">
      <alignment horizontal="center" vertical="center"/>
    </xf>
    <xf numFmtId="178" fontId="7" fillId="3" borderId="41" xfId="2" applyNumberFormat="1" applyFont="1" applyFill="1" applyBorder="1" applyAlignment="1">
      <alignment horizontal="center" vertical="center"/>
    </xf>
    <xf numFmtId="0" fontId="7" fillId="11" borderId="17" xfId="2" applyFont="1" applyFill="1" applyBorder="1" applyAlignment="1">
      <alignment horizontal="center" vertical="center"/>
    </xf>
    <xf numFmtId="0" fontId="7" fillId="11" borderId="23" xfId="2" applyFont="1" applyFill="1" applyBorder="1">
      <alignment vertical="center"/>
    </xf>
    <xf numFmtId="0" fontId="7" fillId="11" borderId="17" xfId="2" applyFont="1" applyFill="1" applyBorder="1">
      <alignment vertical="center"/>
    </xf>
    <xf numFmtId="0" fontId="7" fillId="11" borderId="166" xfId="2" applyFont="1" applyFill="1" applyBorder="1">
      <alignment vertical="center"/>
    </xf>
    <xf numFmtId="186" fontId="7" fillId="11" borderId="167" xfId="2" applyNumberFormat="1" applyFont="1" applyFill="1" applyBorder="1">
      <alignment vertical="center"/>
    </xf>
    <xf numFmtId="179" fontId="2" fillId="11" borderId="60" xfId="1" applyNumberFormat="1" applyFont="1" applyFill="1" applyBorder="1">
      <alignment vertical="center"/>
    </xf>
    <xf numFmtId="179" fontId="2" fillId="11" borderId="18" xfId="1" applyNumberFormat="1" applyFont="1" applyFill="1" applyBorder="1">
      <alignment vertical="center"/>
    </xf>
    <xf numFmtId="179" fontId="2" fillId="11" borderId="89" xfId="1" applyNumberFormat="1" applyFont="1" applyFill="1" applyBorder="1">
      <alignment vertical="center"/>
    </xf>
    <xf numFmtId="0" fontId="14" fillId="4" borderId="45" xfId="0" applyFont="1" applyFill="1" applyBorder="1" applyAlignment="1">
      <alignment horizontal="left" vertical="center"/>
    </xf>
    <xf numFmtId="179" fontId="2" fillId="0" borderId="168" xfId="1" applyNumberFormat="1" applyFont="1" applyFill="1" applyBorder="1" applyAlignment="1">
      <alignment horizontal="center" vertical="center"/>
    </xf>
    <xf numFmtId="0" fontId="14" fillId="4" borderId="143" xfId="0" applyFont="1" applyFill="1" applyBorder="1" applyAlignment="1">
      <alignment horizontal="center" vertical="center"/>
    </xf>
    <xf numFmtId="179" fontId="2" fillId="0" borderId="64" xfId="1" applyNumberFormat="1" applyFont="1" applyBorder="1">
      <alignment vertical="center"/>
    </xf>
    <xf numFmtId="179" fontId="2" fillId="0" borderId="65" xfId="1" applyNumberFormat="1" applyFont="1" applyBorder="1">
      <alignment vertical="center"/>
    </xf>
    <xf numFmtId="179" fontId="2" fillId="0" borderId="67" xfId="1" applyNumberFormat="1" applyFont="1" applyBorder="1">
      <alignment vertical="center"/>
    </xf>
    <xf numFmtId="178" fontId="7" fillId="4" borderId="113" xfId="2" applyNumberFormat="1" applyFont="1" applyFill="1" applyBorder="1" applyAlignment="1">
      <alignment horizontal="center" vertical="center"/>
    </xf>
    <xf numFmtId="178" fontId="7" fillId="4" borderId="72" xfId="2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74" xfId="0" applyFont="1" applyFill="1" applyBorder="1" applyAlignment="1">
      <alignment horizontal="center" vertical="center"/>
    </xf>
    <xf numFmtId="179" fontId="2" fillId="0" borderId="170" xfId="1" applyNumberFormat="1" applyFont="1" applyFill="1" applyBorder="1" applyAlignment="1">
      <alignment horizontal="center" vertical="center"/>
    </xf>
    <xf numFmtId="0" fontId="7" fillId="11" borderId="53" xfId="2" applyFont="1" applyFill="1" applyBorder="1">
      <alignment vertical="center"/>
    </xf>
    <xf numFmtId="178" fontId="7" fillId="11" borderId="53" xfId="2" applyNumberFormat="1" applyFont="1" applyFill="1" applyBorder="1" applyAlignment="1">
      <alignment horizontal="center" vertical="center"/>
    </xf>
    <xf numFmtId="181" fontId="13" fillId="0" borderId="2" xfId="2" applyNumberFormat="1" applyFont="1" applyBorder="1" applyAlignment="1">
      <alignment horizontal="center" vertical="center"/>
    </xf>
    <xf numFmtId="178" fontId="7" fillId="0" borderId="25" xfId="2" applyNumberFormat="1" applyFont="1" applyBorder="1" applyAlignment="1">
      <alignment horizontal="center" vertical="center"/>
    </xf>
    <xf numFmtId="178" fontId="0" fillId="0" borderId="1" xfId="0" applyNumberFormat="1" applyBorder="1">
      <alignment vertical="center"/>
    </xf>
    <xf numFmtId="0" fontId="9" fillId="3" borderId="0" xfId="0" applyFont="1" applyFill="1" applyAlignment="1">
      <alignment horizontal="right" vertical="center"/>
    </xf>
    <xf numFmtId="0" fontId="36" fillId="0" borderId="0" xfId="0" applyFont="1">
      <alignment vertical="center"/>
    </xf>
    <xf numFmtId="0" fontId="2" fillId="0" borderId="26" xfId="0" applyFont="1" applyBorder="1">
      <alignment vertical="center"/>
    </xf>
    <xf numFmtId="0" fontId="2" fillId="0" borderId="54" xfId="0" applyFont="1" applyBorder="1">
      <alignment vertical="center"/>
    </xf>
    <xf numFmtId="0" fontId="2" fillId="0" borderId="77" xfId="0" applyFont="1" applyBorder="1">
      <alignment vertical="center"/>
    </xf>
    <xf numFmtId="0" fontId="2" fillId="3" borderId="47" xfId="0" applyFont="1" applyFill="1" applyBorder="1" applyAlignment="1">
      <alignment horizontal="center" vertical="center"/>
    </xf>
    <xf numFmtId="181" fontId="2" fillId="3" borderId="22" xfId="0" applyNumberFormat="1" applyFont="1" applyFill="1" applyBorder="1">
      <alignment vertical="center"/>
    </xf>
    <xf numFmtId="181" fontId="2" fillId="3" borderId="26" xfId="0" applyNumberFormat="1" applyFont="1" applyFill="1" applyBorder="1">
      <alignment vertical="center"/>
    </xf>
    <xf numFmtId="181" fontId="2" fillId="3" borderId="99" xfId="0" applyNumberFormat="1" applyFont="1" applyFill="1" applyBorder="1">
      <alignment vertical="center"/>
    </xf>
    <xf numFmtId="181" fontId="2" fillId="3" borderId="111" xfId="0" applyNumberFormat="1" applyFont="1" applyFill="1" applyBorder="1">
      <alignment vertical="center"/>
    </xf>
    <xf numFmtId="181" fontId="2" fillId="3" borderId="112" xfId="0" applyNumberFormat="1" applyFont="1" applyFill="1" applyBorder="1">
      <alignment vertical="center"/>
    </xf>
    <xf numFmtId="181" fontId="2" fillId="3" borderId="113" xfId="0" applyNumberFormat="1" applyFont="1" applyFill="1" applyBorder="1">
      <alignment vertical="center"/>
    </xf>
    <xf numFmtId="181" fontId="2" fillId="3" borderId="47" xfId="0" applyNumberFormat="1" applyFont="1" applyFill="1" applyBorder="1">
      <alignment vertical="center"/>
    </xf>
    <xf numFmtId="181" fontId="2" fillId="3" borderId="72" xfId="0" applyNumberFormat="1" applyFont="1" applyFill="1" applyBorder="1">
      <alignment vertical="center"/>
    </xf>
    <xf numFmtId="181" fontId="2" fillId="3" borderId="73" xfId="0" applyNumberFormat="1" applyFont="1" applyFill="1" applyBorder="1">
      <alignment vertical="center"/>
    </xf>
    <xf numFmtId="0" fontId="35" fillId="0" borderId="0" xfId="0" applyFont="1" applyAlignment="1"/>
    <xf numFmtId="182" fontId="2" fillId="0" borderId="14" xfId="1" applyNumberFormat="1" applyFont="1" applyBorder="1">
      <alignment vertical="center"/>
    </xf>
    <xf numFmtId="182" fontId="2" fillId="0" borderId="61" xfId="1" applyNumberFormat="1" applyFont="1" applyBorder="1">
      <alignment vertical="center"/>
    </xf>
    <xf numFmtId="179" fontId="2" fillId="0" borderId="10" xfId="1" applyNumberFormat="1" applyFont="1" applyBorder="1">
      <alignment vertical="center"/>
    </xf>
    <xf numFmtId="179" fontId="2" fillId="0" borderId="1" xfId="1" applyNumberFormat="1" applyFont="1" applyBorder="1">
      <alignment vertical="center"/>
    </xf>
    <xf numFmtId="179" fontId="2" fillId="0" borderId="41" xfId="1" applyNumberFormat="1" applyFont="1" applyBorder="1">
      <alignment vertical="center"/>
    </xf>
    <xf numFmtId="49" fontId="7" fillId="4" borderId="45" xfId="2" applyNumberFormat="1" applyFont="1" applyFill="1" applyBorder="1">
      <alignment vertical="center"/>
    </xf>
    <xf numFmtId="181" fontId="7" fillId="4" borderId="2" xfId="2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0" fillId="0" borderId="0" xfId="0" quotePrefix="1" applyAlignment="1">
      <alignment horizontal="center" vertical="center"/>
    </xf>
    <xf numFmtId="178" fontId="13" fillId="4" borderId="7" xfId="2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81" fontId="14" fillId="0" borderId="1" xfId="2" applyNumberFormat="1" applyFont="1" applyBorder="1" applyAlignment="1">
      <alignment horizontal="center" vertical="center"/>
    </xf>
    <xf numFmtId="186" fontId="2" fillId="4" borderId="31" xfId="0" applyNumberFormat="1" applyFont="1" applyFill="1" applyBorder="1" applyAlignment="1">
      <alignment horizontal="center" vertical="center"/>
    </xf>
    <xf numFmtId="0" fontId="14" fillId="4" borderId="145" xfId="0" applyFont="1" applyFill="1" applyBorder="1" applyAlignment="1">
      <alignment horizontal="center" vertical="center"/>
    </xf>
    <xf numFmtId="0" fontId="7" fillId="5" borderId="69" xfId="2" applyFont="1" applyFill="1" applyBorder="1" applyAlignment="1">
      <alignment vertical="center" wrapText="1"/>
    </xf>
    <xf numFmtId="181" fontId="14" fillId="4" borderId="2" xfId="2" applyNumberFormat="1" applyFont="1" applyFill="1" applyBorder="1" applyAlignment="1">
      <alignment horizontal="center" vertical="center"/>
    </xf>
    <xf numFmtId="184" fontId="14" fillId="0" borderId="2" xfId="1" applyNumberFormat="1" applyFont="1" applyFill="1" applyBorder="1" applyAlignment="1">
      <alignment horizontal="center" vertical="center"/>
    </xf>
    <xf numFmtId="184" fontId="14" fillId="0" borderId="14" xfId="1" applyNumberFormat="1" applyFont="1" applyFill="1" applyBorder="1" applyAlignment="1">
      <alignment horizontal="center" vertical="center"/>
    </xf>
    <xf numFmtId="184" fontId="14" fillId="0" borderId="7" xfId="1" applyNumberFormat="1" applyFont="1" applyFill="1" applyBorder="1" applyAlignment="1">
      <alignment horizontal="center" vertical="center"/>
    </xf>
    <xf numFmtId="181" fontId="14" fillId="0" borderId="12" xfId="2" applyNumberFormat="1" applyFont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178" fontId="7" fillId="4" borderId="35" xfId="2" applyNumberFormat="1" applyFont="1" applyFill="1" applyBorder="1" applyAlignment="1">
      <alignment horizontal="center" vertical="center"/>
    </xf>
    <xf numFmtId="189" fontId="28" fillId="3" borderId="1" xfId="1" applyNumberFormat="1" applyFont="1" applyFill="1" applyBorder="1" applyAlignment="1">
      <alignment horizontal="center" vertical="center"/>
    </xf>
    <xf numFmtId="0" fontId="14" fillId="0" borderId="141" xfId="0" applyFont="1" applyBorder="1" applyAlignment="1">
      <alignment horizontal="center" vertical="center"/>
    </xf>
    <xf numFmtId="181" fontId="7" fillId="0" borderId="2" xfId="2" applyNumberFormat="1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181" fontId="14" fillId="3" borderId="1" xfId="2" applyNumberFormat="1" applyFont="1" applyFill="1" applyBorder="1" applyAlignment="1">
      <alignment horizontal="center" vertical="center"/>
    </xf>
    <xf numFmtId="0" fontId="6" fillId="2" borderId="165" xfId="2" applyFont="1" applyFill="1" applyBorder="1" applyAlignment="1">
      <alignment horizontal="center" vertical="center" wrapText="1"/>
    </xf>
    <xf numFmtId="184" fontId="9" fillId="0" borderId="0" xfId="1" applyNumberFormat="1" applyFont="1">
      <alignment vertical="center"/>
    </xf>
    <xf numFmtId="189" fontId="9" fillId="0" borderId="0" xfId="1" applyNumberFormat="1" applyFont="1">
      <alignment vertical="center"/>
    </xf>
    <xf numFmtId="2" fontId="27" fillId="15" borderId="1" xfId="0" applyNumberFormat="1" applyFont="1" applyFill="1" applyBorder="1">
      <alignment vertical="center"/>
    </xf>
    <xf numFmtId="181" fontId="7" fillId="4" borderId="8" xfId="2" applyNumberFormat="1" applyFont="1" applyFill="1" applyBorder="1" applyAlignment="1">
      <alignment horizontal="center" vertical="center"/>
    </xf>
    <xf numFmtId="181" fontId="14" fillId="0" borderId="2" xfId="2" applyNumberFormat="1" applyFont="1" applyBorder="1" applyAlignment="1">
      <alignment horizontal="center" vertical="center"/>
    </xf>
    <xf numFmtId="184" fontId="2" fillId="0" borderId="1" xfId="1" applyNumberFormat="1" applyFont="1" applyFill="1" applyBorder="1" applyAlignment="1">
      <alignment horizontal="center" vertical="center"/>
    </xf>
    <xf numFmtId="189" fontId="14" fillId="0" borderId="1" xfId="1" applyNumberFormat="1" applyFont="1" applyFill="1" applyBorder="1" applyAlignment="1">
      <alignment horizontal="center" vertical="center"/>
    </xf>
    <xf numFmtId="181" fontId="12" fillId="4" borderId="3" xfId="2" applyNumberFormat="1" applyFont="1" applyFill="1" applyBorder="1" applyAlignment="1">
      <alignment horizontal="center" vertical="center"/>
    </xf>
    <xf numFmtId="178" fontId="14" fillId="0" borderId="1" xfId="2" applyNumberFormat="1" applyFont="1" applyBorder="1" applyAlignment="1">
      <alignment horizontal="center" vertical="center"/>
    </xf>
    <xf numFmtId="178" fontId="14" fillId="0" borderId="12" xfId="2" applyNumberFormat="1" applyFont="1" applyBorder="1" applyAlignment="1">
      <alignment horizontal="center" vertical="center"/>
    </xf>
    <xf numFmtId="178" fontId="12" fillId="4" borderId="1" xfId="2" applyNumberFormat="1" applyFont="1" applyFill="1" applyBorder="1" applyAlignment="1">
      <alignment horizontal="center" vertical="center"/>
    </xf>
    <xf numFmtId="0" fontId="7" fillId="3" borderId="143" xfId="2" applyFont="1" applyFill="1" applyBorder="1" applyAlignment="1">
      <alignment horizontal="center" vertical="center"/>
    </xf>
    <xf numFmtId="178" fontId="7" fillId="3" borderId="15" xfId="2" applyNumberFormat="1" applyFont="1" applyFill="1" applyBorder="1" applyAlignment="1">
      <alignment horizontal="center" vertical="center"/>
    </xf>
    <xf numFmtId="178" fontId="7" fillId="3" borderId="101" xfId="2" applyNumberFormat="1" applyFont="1" applyFill="1" applyBorder="1" applyAlignment="1">
      <alignment horizontal="center" vertical="center"/>
    </xf>
    <xf numFmtId="178" fontId="7" fillId="3" borderId="122" xfId="2" applyNumberFormat="1" applyFont="1" applyFill="1" applyBorder="1" applyAlignment="1">
      <alignment horizontal="center" vertical="center"/>
    </xf>
    <xf numFmtId="178" fontId="7" fillId="3" borderId="118" xfId="2" applyNumberFormat="1" applyFont="1" applyFill="1" applyBorder="1" applyAlignment="1">
      <alignment horizontal="center" vertical="center"/>
    </xf>
    <xf numFmtId="178" fontId="7" fillId="3" borderId="119" xfId="2" applyNumberFormat="1" applyFont="1" applyFill="1" applyBorder="1" applyAlignment="1">
      <alignment horizontal="center" vertical="center"/>
    </xf>
    <xf numFmtId="0" fontId="14" fillId="4" borderId="184" xfId="0" applyFont="1" applyFill="1" applyBorder="1" applyAlignment="1">
      <alignment horizontal="center" vertical="center"/>
    </xf>
    <xf numFmtId="0" fontId="14" fillId="4" borderId="182" xfId="0" applyFont="1" applyFill="1" applyBorder="1" applyAlignment="1">
      <alignment horizontal="left" vertical="center"/>
    </xf>
    <xf numFmtId="0" fontId="14" fillId="4" borderId="182" xfId="0" applyFont="1" applyFill="1" applyBorder="1" applyAlignment="1">
      <alignment horizontal="center" vertical="center"/>
    </xf>
    <xf numFmtId="0" fontId="14" fillId="4" borderId="183" xfId="0" applyFont="1" applyFill="1" applyBorder="1" applyAlignment="1">
      <alignment horizontal="center" vertical="center"/>
    </xf>
    <xf numFmtId="186" fontId="2" fillId="4" borderId="30" xfId="0" applyNumberFormat="1" applyFont="1" applyFill="1" applyBorder="1" applyAlignment="1">
      <alignment horizontal="center" vertical="center"/>
    </xf>
    <xf numFmtId="186" fontId="2" fillId="4" borderId="58" xfId="0" applyNumberFormat="1" applyFont="1" applyFill="1" applyBorder="1" applyAlignment="1">
      <alignment horizontal="center" vertical="center"/>
    </xf>
    <xf numFmtId="178" fontId="39" fillId="0" borderId="1" xfId="2" applyNumberFormat="1" applyFont="1" applyBorder="1" applyAlignment="1">
      <alignment horizontal="center" vertical="center"/>
    </xf>
    <xf numFmtId="178" fontId="39" fillId="0" borderId="2" xfId="2" applyNumberFormat="1" applyFont="1" applyBorder="1" applyAlignment="1">
      <alignment horizontal="center" vertical="center"/>
    </xf>
    <xf numFmtId="178" fontId="7" fillId="0" borderId="65" xfId="2" applyNumberFormat="1" applyFont="1" applyBorder="1" applyAlignment="1">
      <alignment horizontal="center" vertical="center"/>
    </xf>
    <xf numFmtId="178" fontId="7" fillId="4" borderId="187" xfId="2" applyNumberFormat="1" applyFont="1" applyFill="1" applyBorder="1" applyAlignment="1">
      <alignment horizontal="center" vertical="center"/>
    </xf>
    <xf numFmtId="178" fontId="7" fillId="4" borderId="79" xfId="2" applyNumberFormat="1" applyFont="1" applyFill="1" applyBorder="1" applyAlignment="1">
      <alignment horizontal="center" vertical="center"/>
    </xf>
    <xf numFmtId="186" fontId="2" fillId="4" borderId="190" xfId="0" applyNumberFormat="1" applyFont="1" applyFill="1" applyBorder="1" applyAlignment="1">
      <alignment horizontal="center" vertical="center"/>
    </xf>
    <xf numFmtId="186" fontId="2" fillId="4" borderId="95" xfId="0" applyNumberFormat="1" applyFont="1" applyFill="1" applyBorder="1" applyAlignment="1">
      <alignment horizontal="center" vertical="center"/>
    </xf>
    <xf numFmtId="0" fontId="2" fillId="4" borderId="146" xfId="0" applyFont="1" applyFill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0" fontId="2" fillId="4" borderId="32" xfId="0" applyFont="1" applyFill="1" applyBorder="1" applyAlignment="1">
      <alignment horizontal="center" vertical="center"/>
    </xf>
    <xf numFmtId="0" fontId="2" fillId="4" borderId="58" xfId="0" applyFont="1" applyFill="1" applyBorder="1" applyAlignment="1">
      <alignment horizontal="left" vertical="center"/>
    </xf>
    <xf numFmtId="186" fontId="2" fillId="0" borderId="184" xfId="0" applyNumberFormat="1" applyFont="1" applyBorder="1" applyAlignment="1">
      <alignment horizontal="center" vertical="center"/>
    </xf>
    <xf numFmtId="186" fontId="2" fillId="0" borderId="182" xfId="0" applyNumberFormat="1" applyFont="1" applyBorder="1" applyAlignment="1">
      <alignment horizontal="center" vertical="center"/>
    </xf>
    <xf numFmtId="186" fontId="2" fillId="4" borderId="182" xfId="0" applyNumberFormat="1" applyFont="1" applyFill="1" applyBorder="1" applyAlignment="1">
      <alignment horizontal="center" vertical="center"/>
    </xf>
    <xf numFmtId="186" fontId="2" fillId="4" borderId="185" xfId="0" applyNumberFormat="1" applyFont="1" applyFill="1" applyBorder="1" applyAlignment="1">
      <alignment horizontal="center" vertical="center"/>
    </xf>
    <xf numFmtId="0" fontId="2" fillId="4" borderId="135" xfId="0" applyFont="1" applyFill="1" applyBorder="1" applyAlignment="1">
      <alignment horizontal="left" vertical="center"/>
    </xf>
    <xf numFmtId="186" fontId="7" fillId="0" borderId="182" xfId="2" applyNumberFormat="1" applyFont="1" applyBorder="1" applyAlignment="1">
      <alignment horizontal="center" vertical="center"/>
    </xf>
    <xf numFmtId="178" fontId="7" fillId="0" borderId="28" xfId="2" applyNumberFormat="1" applyFont="1" applyBorder="1" applyAlignment="1">
      <alignment horizontal="center" vertical="center"/>
    </xf>
    <xf numFmtId="178" fontId="12" fillId="4" borderId="88" xfId="2" applyNumberFormat="1" applyFont="1" applyFill="1" applyBorder="1" applyAlignment="1">
      <alignment horizontal="center" vertical="center"/>
    </xf>
    <xf numFmtId="178" fontId="12" fillId="4" borderId="28" xfId="2" applyNumberFormat="1" applyFont="1" applyFill="1" applyBorder="1" applyAlignment="1">
      <alignment horizontal="center" vertical="center"/>
    </xf>
    <xf numFmtId="178" fontId="7" fillId="0" borderId="34" xfId="2" applyNumberFormat="1" applyFont="1" applyBorder="1" applyAlignment="1">
      <alignment horizontal="center" vertical="center"/>
    </xf>
    <xf numFmtId="0" fontId="2" fillId="4" borderId="5" xfId="0" applyFont="1" applyFill="1" applyBorder="1">
      <alignment vertical="center"/>
    </xf>
    <xf numFmtId="0" fontId="2" fillId="0" borderId="5" xfId="0" applyFont="1" applyBorder="1">
      <alignment vertical="center"/>
    </xf>
    <xf numFmtId="186" fontId="7" fillId="0" borderId="30" xfId="2" applyNumberFormat="1" applyFont="1" applyBorder="1" applyAlignment="1">
      <alignment horizontal="center" vertical="center"/>
    </xf>
    <xf numFmtId="186" fontId="7" fillId="0" borderId="58" xfId="2" applyNumberFormat="1" applyFont="1" applyBorder="1" applyAlignment="1">
      <alignment horizontal="center" vertical="center"/>
    </xf>
    <xf numFmtId="186" fontId="7" fillId="0" borderId="31" xfId="2" applyNumberFormat="1" applyFont="1" applyBorder="1" applyAlignment="1">
      <alignment horizontal="center" vertical="center"/>
    </xf>
    <xf numFmtId="186" fontId="7" fillId="0" borderId="32" xfId="2" applyNumberFormat="1" applyFont="1" applyBorder="1" applyAlignment="1">
      <alignment horizontal="center" vertical="center"/>
    </xf>
    <xf numFmtId="186" fontId="7" fillId="0" borderId="59" xfId="2" applyNumberFormat="1" applyFont="1" applyBorder="1" applyAlignment="1">
      <alignment horizontal="center" vertical="center"/>
    </xf>
    <xf numFmtId="186" fontId="2" fillId="0" borderId="58" xfId="0" applyNumberFormat="1" applyFont="1" applyBorder="1" applyAlignment="1">
      <alignment horizontal="center" vertical="center"/>
    </xf>
    <xf numFmtId="186" fontId="7" fillId="0" borderId="56" xfId="2" applyNumberFormat="1" applyFont="1" applyBorder="1" applyAlignment="1">
      <alignment horizontal="center" vertical="center"/>
    </xf>
    <xf numFmtId="186" fontId="7" fillId="4" borderId="58" xfId="2" applyNumberFormat="1" applyFont="1" applyFill="1" applyBorder="1" applyAlignment="1">
      <alignment horizontal="center" vertical="center"/>
    </xf>
    <xf numFmtId="186" fontId="7" fillId="4" borderId="31" xfId="2" applyNumberFormat="1" applyFont="1" applyFill="1" applyBorder="1" applyAlignment="1">
      <alignment horizontal="center" vertical="center"/>
    </xf>
    <xf numFmtId="186" fontId="7" fillId="11" borderId="80" xfId="2" applyNumberFormat="1" applyFont="1" applyFill="1" applyBorder="1">
      <alignment vertical="center"/>
    </xf>
    <xf numFmtId="186" fontId="14" fillId="0" borderId="59" xfId="0" applyNumberFormat="1" applyFont="1" applyBorder="1" applyAlignment="1">
      <alignment horizontal="center" vertical="center"/>
    </xf>
    <xf numFmtId="186" fontId="14" fillId="0" borderId="58" xfId="0" applyNumberFormat="1" applyFont="1" applyBorder="1" applyAlignment="1">
      <alignment horizontal="center" vertical="center"/>
    </xf>
    <xf numFmtId="186" fontId="2" fillId="0" borderId="58" xfId="0" applyNumberFormat="1" applyFont="1" applyBorder="1" applyAlignment="1">
      <alignment horizontal="fill" vertical="center"/>
    </xf>
    <xf numFmtId="186" fontId="2" fillId="0" borderId="31" xfId="0" applyNumberFormat="1" applyFont="1" applyBorder="1" applyAlignment="1">
      <alignment horizontal="fill" vertical="center"/>
    </xf>
    <xf numFmtId="186" fontId="2" fillId="0" borderId="69" xfId="0" applyNumberFormat="1" applyFont="1" applyBorder="1" applyAlignment="1">
      <alignment horizontal="fill" vertical="center"/>
    </xf>
    <xf numFmtId="186" fontId="14" fillId="0" borderId="30" xfId="0" applyNumberFormat="1" applyFont="1" applyBorder="1" applyAlignment="1">
      <alignment horizontal="center" vertical="center"/>
    </xf>
    <xf numFmtId="186" fontId="14" fillId="0" borderId="69" xfId="0" applyNumberFormat="1" applyFont="1" applyBorder="1" applyAlignment="1">
      <alignment horizontal="center" vertical="center"/>
    </xf>
    <xf numFmtId="186" fontId="14" fillId="0" borderId="32" xfId="0" applyNumberFormat="1" applyFont="1" applyBorder="1" applyAlignment="1">
      <alignment horizontal="center" vertical="center"/>
    </xf>
    <xf numFmtId="186" fontId="2" fillId="4" borderId="59" xfId="0" applyNumberFormat="1" applyFont="1" applyFill="1" applyBorder="1" applyAlignment="1">
      <alignment horizontal="center" vertical="center"/>
    </xf>
    <xf numFmtId="186" fontId="2" fillId="0" borderId="59" xfId="0" applyNumberFormat="1" applyFont="1" applyBorder="1" applyAlignment="1">
      <alignment horizontal="center" vertical="center"/>
    </xf>
    <xf numFmtId="186" fontId="2" fillId="11" borderId="56" xfId="0" applyNumberFormat="1" applyFont="1" applyFill="1" applyBorder="1">
      <alignment vertical="center"/>
    </xf>
    <xf numFmtId="186" fontId="2" fillId="0" borderId="30" xfId="0" applyNumberFormat="1" applyFont="1" applyBorder="1" applyAlignment="1">
      <alignment horizontal="center" vertical="center"/>
    </xf>
    <xf numFmtId="180" fontId="2" fillId="0" borderId="2" xfId="0" applyNumberFormat="1" applyFont="1" applyBorder="1" applyAlignment="1">
      <alignment horizontal="center" vertical="center"/>
    </xf>
    <xf numFmtId="180" fontId="10" fillId="0" borderId="1" xfId="0" applyNumberFormat="1" applyFont="1" applyBorder="1" applyAlignment="1">
      <alignment horizontal="center" vertical="center"/>
    </xf>
    <xf numFmtId="180" fontId="2" fillId="0" borderId="3" xfId="0" applyNumberFormat="1" applyFont="1" applyBorder="1" applyAlignment="1">
      <alignment horizontal="center" vertical="center"/>
    </xf>
    <xf numFmtId="179" fontId="2" fillId="0" borderId="11" xfId="1" applyNumberFormat="1" applyFont="1" applyFill="1" applyBorder="1">
      <alignment vertical="center"/>
    </xf>
    <xf numFmtId="179" fontId="2" fillId="0" borderId="7" xfId="1" applyNumberFormat="1" applyFont="1" applyFill="1" applyBorder="1">
      <alignment vertical="center"/>
    </xf>
    <xf numFmtId="179" fontId="2" fillId="0" borderId="64" xfId="1" applyNumberFormat="1" applyFont="1" applyFill="1" applyBorder="1">
      <alignment vertical="center"/>
    </xf>
    <xf numFmtId="178" fontId="7" fillId="0" borderId="27" xfId="2" applyNumberFormat="1" applyFont="1" applyBorder="1" applyAlignment="1">
      <alignment horizontal="center" vertical="center"/>
    </xf>
    <xf numFmtId="0" fontId="14" fillId="0" borderId="135" xfId="0" applyFont="1" applyBorder="1" applyAlignment="1">
      <alignment horizontal="center" vertical="center"/>
    </xf>
    <xf numFmtId="189" fontId="14" fillId="0" borderId="132" xfId="1" applyNumberFormat="1" applyFont="1" applyFill="1" applyBorder="1" applyAlignment="1">
      <alignment horizontal="center" vertical="center"/>
    </xf>
    <xf numFmtId="0" fontId="14" fillId="3" borderId="182" xfId="0" applyFont="1" applyFill="1" applyBorder="1" applyAlignment="1">
      <alignment horizontal="center" vertical="center"/>
    </xf>
    <xf numFmtId="0" fontId="14" fillId="3" borderId="137" xfId="0" applyFont="1" applyFill="1" applyBorder="1" applyAlignment="1">
      <alignment horizontal="center" vertical="center"/>
    </xf>
    <xf numFmtId="178" fontId="7" fillId="3" borderId="3" xfId="2" applyNumberFormat="1" applyFont="1" applyFill="1" applyBorder="1" applyAlignment="1">
      <alignment horizontal="center" vertical="center"/>
    </xf>
    <xf numFmtId="0" fontId="7" fillId="3" borderId="135" xfId="2" applyFont="1" applyFill="1" applyBorder="1" applyAlignment="1">
      <alignment horizontal="center" vertical="center"/>
    </xf>
    <xf numFmtId="186" fontId="7" fillId="0" borderId="1" xfId="2" applyNumberFormat="1" applyFont="1" applyBorder="1" applyAlignment="1">
      <alignment horizontal="center" vertical="center"/>
    </xf>
    <xf numFmtId="181" fontId="14" fillId="4" borderId="16" xfId="2" applyNumberFormat="1" applyFont="1" applyFill="1" applyBorder="1" applyAlignment="1">
      <alignment horizontal="center" vertical="center"/>
    </xf>
    <xf numFmtId="186" fontId="2" fillId="4" borderId="1" xfId="0" applyNumberFormat="1" applyFont="1" applyFill="1" applyBorder="1" applyAlignment="1">
      <alignment horizontal="center" vertical="center"/>
    </xf>
    <xf numFmtId="186" fontId="2" fillId="4" borderId="194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186" fontId="2" fillId="0" borderId="1" xfId="0" applyNumberFormat="1" applyFont="1" applyBorder="1" applyAlignment="1">
      <alignment horizontal="center" vertical="center"/>
    </xf>
    <xf numFmtId="186" fontId="7" fillId="0" borderId="190" xfId="2" applyNumberFormat="1" applyFont="1" applyBorder="1" applyAlignment="1">
      <alignment horizontal="center" vertical="center"/>
    </xf>
    <xf numFmtId="178" fontId="7" fillId="17" borderId="106" xfId="2" applyNumberFormat="1" applyFont="1" applyFill="1" applyBorder="1" applyAlignment="1">
      <alignment horizontal="center" vertical="center"/>
    </xf>
    <xf numFmtId="14" fontId="0" fillId="0" borderId="1" xfId="0" applyNumberFormat="1" applyBorder="1">
      <alignment vertical="center"/>
    </xf>
    <xf numFmtId="0" fontId="35" fillId="0" borderId="1" xfId="0" applyFont="1" applyBorder="1">
      <alignment vertical="center"/>
    </xf>
    <xf numFmtId="178" fontId="13" fillId="3" borderId="107" xfId="2" applyNumberFormat="1" applyFont="1" applyFill="1" applyBorder="1" applyAlignment="1">
      <alignment horizontal="center" vertical="center"/>
    </xf>
    <xf numFmtId="178" fontId="13" fillId="3" borderId="5" xfId="2" applyNumberFormat="1" applyFont="1" applyFill="1" applyBorder="1" applyAlignment="1">
      <alignment horizontal="center" vertical="center"/>
    </xf>
    <xf numFmtId="178" fontId="13" fillId="3" borderId="4" xfId="2" applyNumberFormat="1" applyFont="1" applyFill="1" applyBorder="1" applyAlignment="1">
      <alignment horizontal="center" vertical="center"/>
    </xf>
    <xf numFmtId="178" fontId="13" fillId="3" borderId="41" xfId="2" applyNumberFormat="1" applyFont="1" applyFill="1" applyBorder="1" applyAlignment="1">
      <alignment horizontal="center" vertical="center"/>
    </xf>
    <xf numFmtId="0" fontId="7" fillId="18" borderId="135" xfId="2" applyFont="1" applyFill="1" applyBorder="1" applyAlignment="1">
      <alignment horizontal="center" vertical="center"/>
    </xf>
    <xf numFmtId="0" fontId="7" fillId="18" borderId="45" xfId="2" applyFont="1" applyFill="1" applyBorder="1">
      <alignment vertical="center"/>
    </xf>
    <xf numFmtId="0" fontId="7" fillId="18" borderId="3" xfId="2" applyFont="1" applyFill="1" applyBorder="1" applyAlignment="1">
      <alignment horizontal="center" vertical="center"/>
    </xf>
    <xf numFmtId="0" fontId="7" fillId="18" borderId="83" xfId="2" applyFont="1" applyFill="1" applyBorder="1" applyAlignment="1">
      <alignment horizontal="center" vertical="center"/>
    </xf>
    <xf numFmtId="0" fontId="7" fillId="18" borderId="137" xfId="2" applyFont="1" applyFill="1" applyBorder="1" applyAlignment="1">
      <alignment horizontal="center" vertical="center"/>
    </xf>
    <xf numFmtId="186" fontId="7" fillId="18" borderId="140" xfId="2" applyNumberFormat="1" applyFont="1" applyFill="1" applyBorder="1" applyAlignment="1">
      <alignment horizontal="center" vertical="center"/>
    </xf>
    <xf numFmtId="186" fontId="7" fillId="18" borderId="32" xfId="2" applyNumberFormat="1" applyFont="1" applyFill="1" applyBorder="1" applyAlignment="1">
      <alignment horizontal="center" vertical="center"/>
    </xf>
    <xf numFmtId="0" fontId="2" fillId="18" borderId="45" xfId="0" applyFont="1" applyFill="1" applyBorder="1" applyAlignment="1">
      <alignment horizontal="left" vertical="center"/>
    </xf>
    <xf numFmtId="0" fontId="16" fillId="18" borderId="3" xfId="0" applyFont="1" applyFill="1" applyBorder="1" applyAlignment="1">
      <alignment horizontal="center" vertical="center"/>
    </xf>
    <xf numFmtId="186" fontId="7" fillId="18" borderId="31" xfId="2" applyNumberFormat="1" applyFont="1" applyFill="1" applyBorder="1" applyAlignment="1">
      <alignment horizontal="center" vertical="center"/>
    </xf>
    <xf numFmtId="0" fontId="2" fillId="0" borderId="45" xfId="0" applyFont="1" applyBorder="1" applyAlignment="1">
      <alignment horizontal="left" vertical="center"/>
    </xf>
    <xf numFmtId="186" fontId="2" fillId="0" borderId="31" xfId="0" applyNumberFormat="1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186" fontId="2" fillId="0" borderId="32" xfId="0" applyNumberFormat="1" applyFont="1" applyBorder="1" applyAlignment="1">
      <alignment horizontal="center" vertical="center"/>
    </xf>
    <xf numFmtId="186" fontId="2" fillId="0" borderId="95" xfId="0" applyNumberFormat="1" applyFont="1" applyBorder="1" applyAlignment="1">
      <alignment horizontal="center" vertical="center"/>
    </xf>
    <xf numFmtId="0" fontId="2" fillId="19" borderId="0" xfId="0" applyFont="1" applyFill="1">
      <alignment vertical="center"/>
    </xf>
    <xf numFmtId="178" fontId="12" fillId="19" borderId="29" xfId="2" applyNumberFormat="1" applyFont="1" applyFill="1" applyBorder="1" applyAlignment="1">
      <alignment horizontal="center" vertical="center"/>
    </xf>
    <xf numFmtId="178" fontId="12" fillId="19" borderId="2" xfId="2" applyNumberFormat="1" applyFont="1" applyFill="1" applyBorder="1" applyAlignment="1">
      <alignment horizontal="center" vertical="center"/>
    </xf>
    <xf numFmtId="178" fontId="7" fillId="19" borderId="2" xfId="2" applyNumberFormat="1" applyFont="1" applyFill="1" applyBorder="1" applyAlignment="1">
      <alignment horizontal="center" vertical="center"/>
    </xf>
    <xf numFmtId="178" fontId="7" fillId="19" borderId="4" xfId="2" applyNumberFormat="1" applyFont="1" applyFill="1" applyBorder="1" applyAlignment="1">
      <alignment horizontal="center" vertical="center"/>
    </xf>
    <xf numFmtId="178" fontId="12" fillId="19" borderId="28" xfId="2" applyNumberFormat="1" applyFont="1" applyFill="1" applyBorder="1" applyAlignment="1">
      <alignment horizontal="center" vertical="center"/>
    </xf>
    <xf numFmtId="178" fontId="12" fillId="19" borderId="12" xfId="2" applyNumberFormat="1" applyFont="1" applyFill="1" applyBorder="1" applyAlignment="1">
      <alignment horizontal="center" vertical="center"/>
    </xf>
    <xf numFmtId="0" fontId="2" fillId="19" borderId="10" xfId="0" applyFont="1" applyFill="1" applyBorder="1" applyAlignment="1">
      <alignment horizontal="left" vertical="center"/>
    </xf>
    <xf numFmtId="0" fontId="14" fillId="19" borderId="41" xfId="0" applyFont="1" applyFill="1" applyBorder="1" applyAlignment="1">
      <alignment horizontal="center" vertical="center"/>
    </xf>
    <xf numFmtId="0" fontId="2" fillId="19" borderId="41" xfId="0" applyFont="1" applyFill="1" applyBorder="1" applyAlignment="1">
      <alignment horizontal="center" vertical="center"/>
    </xf>
    <xf numFmtId="0" fontId="14" fillId="19" borderId="10" xfId="0" applyFont="1" applyFill="1" applyBorder="1" applyAlignment="1">
      <alignment horizontal="left" vertical="center"/>
    </xf>
    <xf numFmtId="0" fontId="14" fillId="19" borderId="1" xfId="0" applyFont="1" applyFill="1" applyBorder="1" applyAlignment="1">
      <alignment horizontal="center" vertical="center"/>
    </xf>
    <xf numFmtId="178" fontId="7" fillId="19" borderId="5" xfId="2" applyNumberFormat="1" applyFont="1" applyFill="1" applyBorder="1" applyAlignment="1">
      <alignment horizontal="center" vertical="center"/>
    </xf>
    <xf numFmtId="178" fontId="7" fillId="19" borderId="1" xfId="2" applyNumberFormat="1" applyFont="1" applyFill="1" applyBorder="1" applyAlignment="1">
      <alignment horizontal="center" vertical="center"/>
    </xf>
    <xf numFmtId="0" fontId="7" fillId="11" borderId="169" xfId="2" applyFont="1" applyFill="1" applyBorder="1">
      <alignment vertical="center"/>
    </xf>
    <xf numFmtId="0" fontId="7" fillId="0" borderId="58" xfId="2" applyFont="1" applyBorder="1" applyAlignment="1">
      <alignment horizontal="center" vertical="center"/>
    </xf>
    <xf numFmtId="0" fontId="7" fillId="0" borderId="68" xfId="2" applyFont="1" applyBorder="1" applyAlignment="1">
      <alignment horizontal="center" vertical="center"/>
    </xf>
    <xf numFmtId="0" fontId="7" fillId="0" borderId="32" xfId="2" applyFont="1" applyBorder="1" applyAlignment="1">
      <alignment horizontal="center" vertical="center"/>
    </xf>
    <xf numFmtId="179" fontId="2" fillId="0" borderId="171" xfId="1" applyNumberFormat="1" applyFont="1" applyFill="1" applyBorder="1" applyAlignment="1">
      <alignment horizontal="center" vertical="center"/>
    </xf>
    <xf numFmtId="179" fontId="2" fillId="0" borderId="155" xfId="1" applyNumberFormat="1" applyFont="1" applyFill="1" applyBorder="1" applyAlignment="1">
      <alignment horizontal="center" vertical="center"/>
    </xf>
    <xf numFmtId="49" fontId="7" fillId="19" borderId="45" xfId="2" applyNumberFormat="1" applyFont="1" applyFill="1" applyBorder="1">
      <alignment vertical="center"/>
    </xf>
    <xf numFmtId="0" fontId="7" fillId="19" borderId="3" xfId="2" applyFont="1" applyFill="1" applyBorder="1" applyAlignment="1">
      <alignment horizontal="center" vertical="center"/>
    </xf>
    <xf numFmtId="0" fontId="7" fillId="19" borderId="83" xfId="2" applyFont="1" applyFill="1" applyBorder="1" applyAlignment="1">
      <alignment horizontal="center" vertical="center"/>
    </xf>
    <xf numFmtId="0" fontId="7" fillId="19" borderId="1" xfId="2" applyFont="1" applyFill="1" applyBorder="1" applyAlignment="1">
      <alignment horizontal="center" vertical="center"/>
    </xf>
    <xf numFmtId="0" fontId="7" fillId="19" borderId="52" xfId="2" applyFont="1" applyFill="1" applyBorder="1" applyAlignment="1">
      <alignment horizontal="center" vertical="center"/>
    </xf>
    <xf numFmtId="0" fontId="7" fillId="19" borderId="135" xfId="2" applyFont="1" applyFill="1" applyBorder="1" applyAlignment="1">
      <alignment horizontal="center" vertical="center"/>
    </xf>
    <xf numFmtId="0" fontId="2" fillId="19" borderId="45" xfId="0" applyFont="1" applyFill="1" applyBorder="1" applyAlignment="1">
      <alignment horizontal="left" vertical="center"/>
    </xf>
    <xf numFmtId="0" fontId="2" fillId="19" borderId="1" xfId="0" applyFont="1" applyFill="1" applyBorder="1" applyAlignment="1">
      <alignment horizontal="center" vertical="center"/>
    </xf>
    <xf numFmtId="0" fontId="2" fillId="19" borderId="16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left" vertical="center"/>
    </xf>
    <xf numFmtId="0" fontId="17" fillId="19" borderId="1" xfId="0" applyFont="1" applyFill="1" applyBorder="1" applyAlignment="1">
      <alignment horizontal="center" vertical="center"/>
    </xf>
    <xf numFmtId="0" fontId="7" fillId="19" borderId="45" xfId="2" applyFont="1" applyFill="1" applyBorder="1">
      <alignment vertical="center"/>
    </xf>
    <xf numFmtId="0" fontId="14" fillId="0" borderId="137" xfId="0" applyFont="1" applyBorder="1" applyAlignment="1">
      <alignment horizontal="center" vertical="center"/>
    </xf>
    <xf numFmtId="0" fontId="7" fillId="12" borderId="135" xfId="2" applyFont="1" applyFill="1" applyBorder="1" applyAlignment="1">
      <alignment horizontal="center" vertical="center"/>
    </xf>
    <xf numFmtId="0" fontId="2" fillId="12" borderId="135" xfId="0" applyFont="1" applyFill="1" applyBorder="1" applyAlignment="1">
      <alignment horizontal="center" vertical="center"/>
    </xf>
    <xf numFmtId="178" fontId="7" fillId="4" borderId="34" xfId="2" applyNumberFormat="1" applyFont="1" applyFill="1" applyBorder="1" applyAlignment="1">
      <alignment horizontal="center" vertical="center"/>
    </xf>
    <xf numFmtId="181" fontId="12" fillId="4" borderId="35" xfId="2" applyNumberFormat="1" applyFont="1" applyFill="1" applyBorder="1" applyAlignment="1">
      <alignment horizontal="center" vertical="center"/>
    </xf>
    <xf numFmtId="178" fontId="7" fillId="4" borderId="6" xfId="2" applyNumberFormat="1" applyFont="1" applyFill="1" applyBorder="1" applyAlignment="1">
      <alignment horizontal="center" vertical="center"/>
    </xf>
    <xf numFmtId="0" fontId="2" fillId="4" borderId="59" xfId="0" applyFont="1" applyFill="1" applyBorder="1" applyAlignment="1">
      <alignment horizontal="center" vertical="center"/>
    </xf>
    <xf numFmtId="0" fontId="7" fillId="0" borderId="35" xfId="2" applyFont="1" applyBorder="1" applyAlignment="1">
      <alignment horizontal="center" vertical="center"/>
    </xf>
    <xf numFmtId="178" fontId="7" fillId="3" borderId="6" xfId="2" applyNumberFormat="1" applyFont="1" applyFill="1" applyBorder="1" applyAlignment="1">
      <alignment horizontal="center" vertical="center"/>
    </xf>
    <xf numFmtId="0" fontId="2" fillId="0" borderId="45" xfId="0" applyFont="1" applyBorder="1" applyAlignment="1">
      <alignment horizontal="left" vertical="center" wrapText="1"/>
    </xf>
    <xf numFmtId="185" fontId="14" fillId="0" borderId="5" xfId="2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2" fillId="0" borderId="61" xfId="0" applyFont="1" applyBorder="1" applyAlignment="1">
      <alignment horizontal="left" vertical="center"/>
    </xf>
    <xf numFmtId="0" fontId="2" fillId="0" borderId="83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2" fillId="0" borderId="75" xfId="0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0" fontId="14" fillId="0" borderId="145" xfId="0" applyFont="1" applyBorder="1" applyAlignment="1">
      <alignment horizontal="center" vertical="center"/>
    </xf>
    <xf numFmtId="0" fontId="14" fillId="0" borderId="143" xfId="0" applyFont="1" applyBorder="1" applyAlignment="1">
      <alignment horizontal="center" vertical="center"/>
    </xf>
    <xf numFmtId="186" fontId="7" fillId="3" borderId="136" xfId="2" applyNumberFormat="1" applyFont="1" applyFill="1" applyBorder="1" applyAlignment="1">
      <alignment horizontal="center" vertical="center"/>
    </xf>
    <xf numFmtId="186" fontId="7" fillId="3" borderId="58" xfId="2" applyNumberFormat="1" applyFont="1" applyFill="1" applyBorder="1" applyAlignment="1">
      <alignment horizontal="center" vertical="center"/>
    </xf>
    <xf numFmtId="186" fontId="7" fillId="3" borderId="144" xfId="2" applyNumberFormat="1" applyFont="1" applyFill="1" applyBorder="1" applyAlignment="1">
      <alignment horizontal="center" vertical="center"/>
    </xf>
    <xf numFmtId="186" fontId="7" fillId="3" borderId="197" xfId="2" applyNumberFormat="1" applyFont="1" applyFill="1" applyBorder="1" applyAlignment="1">
      <alignment horizontal="center" vertical="center"/>
    </xf>
    <xf numFmtId="186" fontId="7" fillId="3" borderId="31" xfId="2" applyNumberFormat="1" applyFont="1" applyFill="1" applyBorder="1" applyAlignment="1">
      <alignment horizontal="center" vertical="center"/>
    </xf>
    <xf numFmtId="186" fontId="14" fillId="3" borderId="58" xfId="0" applyNumberFormat="1" applyFont="1" applyFill="1" applyBorder="1" applyAlignment="1">
      <alignment horizontal="center" vertical="center"/>
    </xf>
    <xf numFmtId="186" fontId="14" fillId="3" borderId="59" xfId="0" applyNumberFormat="1" applyFont="1" applyFill="1" applyBorder="1" applyAlignment="1">
      <alignment horizontal="center" vertical="center"/>
    </xf>
    <xf numFmtId="186" fontId="2" fillId="3" borderId="58" xfId="0" applyNumberFormat="1" applyFont="1" applyFill="1" applyBorder="1" applyAlignment="1">
      <alignment horizontal="center" vertical="center"/>
    </xf>
    <xf numFmtId="186" fontId="2" fillId="3" borderId="1" xfId="0" applyNumberFormat="1" applyFont="1" applyFill="1" applyBorder="1" applyAlignment="1">
      <alignment horizontal="center" vertical="center"/>
    </xf>
    <xf numFmtId="186" fontId="7" fillId="3" borderId="186" xfId="2" applyNumberFormat="1" applyFont="1" applyFill="1" applyBorder="1" applyAlignment="1">
      <alignment horizontal="center" vertical="center"/>
    </xf>
    <xf numFmtId="0" fontId="2" fillId="4" borderId="153" xfId="0" applyFont="1" applyFill="1" applyBorder="1" applyAlignment="1">
      <alignment horizontal="center" vertical="center"/>
    </xf>
    <xf numFmtId="0" fontId="2" fillId="4" borderId="150" xfId="0" applyFont="1" applyFill="1" applyBorder="1" applyAlignment="1">
      <alignment horizontal="center" vertical="center"/>
    </xf>
    <xf numFmtId="0" fontId="7" fillId="0" borderId="150" xfId="2" applyFont="1" applyBorder="1" applyAlignment="1">
      <alignment horizontal="center" vertical="center"/>
    </xf>
    <xf numFmtId="0" fontId="7" fillId="11" borderId="57" xfId="2" applyFont="1" applyFill="1" applyBorder="1" applyAlignment="1">
      <alignment horizontal="center" vertical="center"/>
    </xf>
    <xf numFmtId="0" fontId="7" fillId="11" borderId="55" xfId="2" applyFont="1" applyFill="1" applyBorder="1">
      <alignment vertical="center"/>
    </xf>
    <xf numFmtId="0" fontId="7" fillId="11" borderId="57" xfId="2" applyFont="1" applyFill="1" applyBorder="1">
      <alignment vertical="center"/>
    </xf>
    <xf numFmtId="0" fontId="2" fillId="0" borderId="142" xfId="0" applyFont="1" applyBorder="1" applyAlignment="1">
      <alignment horizontal="center" vertical="center"/>
    </xf>
    <xf numFmtId="0" fontId="2" fillId="0" borderId="136" xfId="0" applyFont="1" applyBorder="1" applyAlignment="1">
      <alignment horizontal="center" vertical="center"/>
    </xf>
    <xf numFmtId="185" fontId="14" fillId="8" borderId="28" xfId="2" applyNumberFormat="1" applyFont="1" applyFill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/>
    </xf>
    <xf numFmtId="0" fontId="2" fillId="4" borderId="58" xfId="0" applyFont="1" applyFill="1" applyBorder="1" applyAlignment="1">
      <alignment horizontal="center" vertical="center"/>
    </xf>
    <xf numFmtId="0" fontId="2" fillId="3" borderId="58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186" fontId="2" fillId="3" borderId="32" xfId="0" applyNumberFormat="1" applyFont="1" applyFill="1" applyBorder="1" applyAlignment="1">
      <alignment horizontal="center" vertical="center"/>
    </xf>
    <xf numFmtId="178" fontId="7" fillId="4" borderId="126" xfId="2" applyNumberFormat="1" applyFont="1" applyFill="1" applyBorder="1" applyAlignment="1">
      <alignment horizontal="center" vertical="center"/>
    </xf>
    <xf numFmtId="0" fontId="7" fillId="19" borderId="13" xfId="2" applyFont="1" applyFill="1" applyBorder="1" applyAlignment="1">
      <alignment horizontal="center" vertical="center"/>
    </xf>
    <xf numFmtId="0" fontId="14" fillId="19" borderId="14" xfId="0" applyFont="1" applyFill="1" applyBorder="1" applyAlignment="1">
      <alignment horizontal="left" vertical="center"/>
    </xf>
    <xf numFmtId="0" fontId="14" fillId="19" borderId="2" xfId="0" applyFont="1" applyFill="1" applyBorder="1" applyAlignment="1">
      <alignment horizontal="center" vertical="center"/>
    </xf>
    <xf numFmtId="0" fontId="14" fillId="19" borderId="19" xfId="0" applyFont="1" applyFill="1" applyBorder="1" applyAlignment="1">
      <alignment horizontal="center" vertical="center"/>
    </xf>
    <xf numFmtId="0" fontId="7" fillId="0" borderId="192" xfId="2" applyFont="1" applyBorder="1" applyAlignment="1">
      <alignment horizontal="center" vertical="center"/>
    </xf>
    <xf numFmtId="0" fontId="7" fillId="0" borderId="182" xfId="2" applyFont="1" applyBorder="1" applyAlignment="1">
      <alignment horizontal="center" vertical="center"/>
    </xf>
    <xf numFmtId="0" fontId="7" fillId="12" borderId="182" xfId="2" applyFont="1" applyFill="1" applyBorder="1" applyAlignment="1">
      <alignment horizontal="center" vertical="center"/>
    </xf>
    <xf numFmtId="0" fontId="7" fillId="0" borderId="183" xfId="2" applyFont="1" applyBorder="1" applyAlignment="1">
      <alignment horizontal="center" vertical="center"/>
    </xf>
    <xf numFmtId="0" fontId="7" fillId="19" borderId="183" xfId="2" applyFont="1" applyFill="1" applyBorder="1" applyAlignment="1">
      <alignment horizontal="center" vertical="center"/>
    </xf>
    <xf numFmtId="186" fontId="7" fillId="0" borderId="95" xfId="2" applyNumberFormat="1" applyFont="1" applyBorder="1" applyAlignment="1">
      <alignment horizontal="center" vertical="center"/>
    </xf>
    <xf numFmtId="186" fontId="7" fillId="3" borderId="95" xfId="2" applyNumberFormat="1" applyFont="1" applyFill="1" applyBorder="1" applyAlignment="1">
      <alignment horizontal="center" vertical="center"/>
    </xf>
    <xf numFmtId="0" fontId="7" fillId="0" borderId="30" xfId="2" applyFont="1" applyBorder="1" applyAlignment="1">
      <alignment horizontal="center" vertical="center"/>
    </xf>
    <xf numFmtId="0" fontId="7" fillId="12" borderId="58" xfId="2" applyFont="1" applyFill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180" fontId="2" fillId="4" borderId="7" xfId="0" applyNumberFormat="1" applyFont="1" applyFill="1" applyBorder="1" applyAlignment="1">
      <alignment horizontal="center" vertical="center"/>
    </xf>
    <xf numFmtId="178" fontId="7" fillId="17" borderId="131" xfId="2" applyNumberFormat="1" applyFont="1" applyFill="1" applyBorder="1" applyAlignment="1">
      <alignment horizontal="center" vertical="center"/>
    </xf>
    <xf numFmtId="180" fontId="2" fillId="4" borderId="11" xfId="0" applyNumberFormat="1" applyFont="1" applyFill="1" applyBorder="1" applyAlignment="1">
      <alignment horizontal="center" vertical="center"/>
    </xf>
    <xf numFmtId="180" fontId="2" fillId="4" borderId="126" xfId="0" applyNumberFormat="1" applyFont="1" applyFill="1" applyBorder="1" applyAlignment="1">
      <alignment horizontal="center" vertical="center"/>
    </xf>
    <xf numFmtId="180" fontId="2" fillId="0" borderId="11" xfId="0" applyNumberFormat="1" applyFont="1" applyBorder="1" applyAlignment="1">
      <alignment horizontal="center" vertical="center"/>
    </xf>
    <xf numFmtId="180" fontId="2" fillId="4" borderId="13" xfId="0" applyNumberFormat="1" applyFont="1" applyFill="1" applyBorder="1" applyAlignment="1">
      <alignment horizontal="center" vertical="center"/>
    </xf>
    <xf numFmtId="178" fontId="7" fillId="11" borderId="198" xfId="2" applyNumberFormat="1" applyFont="1" applyFill="1" applyBorder="1" applyAlignment="1">
      <alignment horizontal="center" vertical="center"/>
    </xf>
    <xf numFmtId="178" fontId="7" fillId="0" borderId="66" xfId="2" applyNumberFormat="1" applyFont="1" applyBorder="1" applyAlignment="1">
      <alignment horizontal="center" vertical="center"/>
    </xf>
    <xf numFmtId="178" fontId="7" fillId="17" borderId="200" xfId="2" applyNumberFormat="1" applyFont="1" applyFill="1" applyBorder="1" applyAlignment="1">
      <alignment horizontal="center" vertical="center"/>
    </xf>
    <xf numFmtId="178" fontId="7" fillId="3" borderId="21" xfId="2" applyNumberFormat="1" applyFont="1" applyFill="1" applyBorder="1" applyAlignment="1">
      <alignment horizontal="center" vertical="center"/>
    </xf>
    <xf numFmtId="178" fontId="7" fillId="3" borderId="16" xfId="2" applyNumberFormat="1" applyFont="1" applyFill="1" applyBorder="1" applyAlignment="1">
      <alignment horizontal="center" vertical="center"/>
    </xf>
    <xf numFmtId="178" fontId="7" fillId="3" borderId="46" xfId="2" applyNumberFormat="1" applyFont="1" applyFill="1" applyBorder="1" applyAlignment="1">
      <alignment horizontal="center" vertical="center"/>
    </xf>
    <xf numFmtId="186" fontId="7" fillId="0" borderId="194" xfId="2" applyNumberFormat="1" applyFont="1" applyBorder="1" applyAlignment="1">
      <alignment horizontal="center" vertical="center"/>
    </xf>
    <xf numFmtId="0" fontId="7" fillId="0" borderId="25" xfId="2" applyFont="1" applyBorder="1" applyAlignment="1">
      <alignment horizontal="center" vertical="center"/>
    </xf>
    <xf numFmtId="0" fontId="7" fillId="3" borderId="137" xfId="2" applyFont="1" applyFill="1" applyBorder="1" applyAlignment="1">
      <alignment horizontal="center" vertical="center"/>
    </xf>
    <xf numFmtId="0" fontId="7" fillId="3" borderId="52" xfId="2" applyFont="1" applyFill="1" applyBorder="1" applyAlignment="1">
      <alignment horizontal="center" vertical="center"/>
    </xf>
    <xf numFmtId="186" fontId="7" fillId="3" borderId="140" xfId="2" applyNumberFormat="1" applyFont="1" applyFill="1" applyBorder="1" applyAlignment="1">
      <alignment horizontal="center" vertical="center"/>
    </xf>
    <xf numFmtId="186" fontId="7" fillId="3" borderId="1" xfId="2" applyNumberFormat="1" applyFont="1" applyFill="1" applyBorder="1" applyAlignment="1">
      <alignment horizontal="center" vertical="center"/>
    </xf>
    <xf numFmtId="186" fontId="7" fillId="0" borderId="7" xfId="2" applyNumberFormat="1" applyFont="1" applyBorder="1" applyAlignment="1">
      <alignment horizontal="center" vertical="center"/>
    </xf>
    <xf numFmtId="186" fontId="7" fillId="0" borderId="9" xfId="2" applyNumberFormat="1" applyFont="1" applyBorder="1" applyAlignment="1">
      <alignment horizontal="center" vertical="center"/>
    </xf>
    <xf numFmtId="186" fontId="7" fillId="0" borderId="10" xfId="2" applyNumberFormat="1" applyFont="1" applyBorder="1" applyAlignment="1">
      <alignment horizontal="center" vertical="center"/>
    </xf>
    <xf numFmtId="186" fontId="7" fillId="0" borderId="41" xfId="2" applyNumberFormat="1" applyFont="1" applyBorder="1" applyAlignment="1">
      <alignment horizontal="center" vertical="center"/>
    </xf>
    <xf numFmtId="186" fontId="7" fillId="3" borderId="10" xfId="2" applyNumberFormat="1" applyFont="1" applyFill="1" applyBorder="1" applyAlignment="1">
      <alignment horizontal="center" vertical="center"/>
    </xf>
    <xf numFmtId="186" fontId="7" fillId="3" borderId="41" xfId="2" applyNumberFormat="1" applyFont="1" applyFill="1" applyBorder="1" applyAlignment="1">
      <alignment horizontal="center" vertical="center"/>
    </xf>
    <xf numFmtId="186" fontId="7" fillId="3" borderId="11" xfId="2" applyNumberFormat="1" applyFont="1" applyFill="1" applyBorder="1" applyAlignment="1">
      <alignment horizontal="center" vertical="center"/>
    </xf>
    <xf numFmtId="186" fontId="7" fillId="3" borderId="13" xfId="2" applyNumberFormat="1" applyFont="1" applyFill="1" applyBorder="1" applyAlignment="1">
      <alignment horizontal="center" vertical="center"/>
    </xf>
    <xf numFmtId="184" fontId="14" fillId="4" borderId="1" xfId="1" applyNumberFormat="1" applyFont="1" applyFill="1" applyBorder="1" applyAlignment="1">
      <alignment horizontal="center" vertical="center"/>
    </xf>
    <xf numFmtId="184" fontId="14" fillId="4" borderId="106" xfId="1" applyNumberFormat="1" applyFont="1" applyFill="1" applyBorder="1" applyAlignment="1">
      <alignment horizontal="center" vertical="center"/>
    </xf>
    <xf numFmtId="184" fontId="14" fillId="4" borderId="133" xfId="1" applyNumberFormat="1" applyFont="1" applyFill="1" applyBorder="1" applyAlignment="1">
      <alignment horizontal="center" vertical="center"/>
    </xf>
    <xf numFmtId="184" fontId="14" fillId="4" borderId="107" xfId="1" applyNumberFormat="1" applyFont="1" applyFill="1" applyBorder="1" applyAlignment="1">
      <alignment horizontal="center" vertical="center"/>
    </xf>
    <xf numFmtId="184" fontId="14" fillId="4" borderId="131" xfId="1" applyNumberFormat="1" applyFont="1" applyFill="1" applyBorder="1" applyAlignment="1">
      <alignment horizontal="center" vertical="center"/>
    </xf>
    <xf numFmtId="184" fontId="14" fillId="4" borderId="126" xfId="1" applyNumberFormat="1" applyFont="1" applyFill="1" applyBorder="1" applyAlignment="1">
      <alignment horizontal="center" vertical="center"/>
    </xf>
    <xf numFmtId="0" fontId="14" fillId="3" borderId="183" xfId="0" applyFont="1" applyFill="1" applyBorder="1" applyAlignment="1">
      <alignment horizontal="center" vertical="center"/>
    </xf>
    <xf numFmtId="178" fontId="7" fillId="0" borderId="26" xfId="2" applyNumberFormat="1" applyFont="1" applyBorder="1" applyAlignment="1">
      <alignment horizontal="center" vertical="center"/>
    </xf>
    <xf numFmtId="180" fontId="2" fillId="4" borderId="47" xfId="0" applyNumberFormat="1" applyFont="1" applyFill="1" applyBorder="1" applyAlignment="1">
      <alignment horizontal="center" vertical="center"/>
    </xf>
    <xf numFmtId="178" fontId="12" fillId="4" borderId="2" xfId="2" applyNumberFormat="1" applyFont="1" applyFill="1" applyBorder="1" applyAlignment="1">
      <alignment horizontal="center" vertical="center"/>
    </xf>
    <xf numFmtId="178" fontId="12" fillId="4" borderId="12" xfId="2" applyNumberFormat="1" applyFont="1" applyFill="1" applyBorder="1" applyAlignment="1">
      <alignment horizontal="center" vertical="center"/>
    </xf>
    <xf numFmtId="0" fontId="2" fillId="4" borderId="191" xfId="0" applyFont="1" applyFill="1" applyBorder="1" applyAlignment="1">
      <alignment horizontal="center" vertical="center"/>
    </xf>
    <xf numFmtId="0" fontId="2" fillId="0" borderId="191" xfId="0" applyFont="1" applyBorder="1" applyAlignment="1">
      <alignment horizontal="center" vertical="center"/>
    </xf>
    <xf numFmtId="0" fontId="2" fillId="0" borderId="182" xfId="0" applyFont="1" applyBorder="1" applyAlignment="1">
      <alignment horizontal="center" vertical="center"/>
    </xf>
    <xf numFmtId="0" fontId="2" fillId="19" borderId="191" xfId="0" applyFont="1" applyFill="1" applyBorder="1" applyAlignment="1">
      <alignment horizontal="center" vertical="center"/>
    </xf>
    <xf numFmtId="0" fontId="2" fillId="0" borderId="192" xfId="0" applyFont="1" applyBorder="1" applyAlignment="1">
      <alignment horizontal="center" vertical="center"/>
    </xf>
    <xf numFmtId="0" fontId="2" fillId="12" borderId="182" xfId="0" applyFont="1" applyFill="1" applyBorder="1" applyAlignment="1">
      <alignment horizontal="center" vertical="center"/>
    </xf>
    <xf numFmtId="186" fontId="14" fillId="0" borderId="190" xfId="0" applyNumberFormat="1" applyFont="1" applyBorder="1" applyAlignment="1">
      <alignment horizontal="center" vertical="center"/>
    </xf>
    <xf numFmtId="186" fontId="14" fillId="0" borderId="95" xfId="0" applyNumberFormat="1" applyFont="1" applyBorder="1" applyAlignment="1">
      <alignment horizontal="center" vertical="center"/>
    </xf>
    <xf numFmtId="186" fontId="14" fillId="3" borderId="95" xfId="0" applyNumberFormat="1" applyFont="1" applyFill="1" applyBorder="1" applyAlignment="1">
      <alignment horizontal="center" vertical="center"/>
    </xf>
    <xf numFmtId="0" fontId="7" fillId="11" borderId="147" xfId="2" applyFont="1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58" xfId="0" applyFont="1" applyBorder="1" applyAlignment="1">
      <alignment horizontal="left" vertical="center"/>
    </xf>
    <xf numFmtId="0" fontId="2" fillId="0" borderId="58" xfId="0" applyFont="1" applyBorder="1" applyAlignment="1">
      <alignment horizontal="center" vertical="center"/>
    </xf>
    <xf numFmtId="0" fontId="2" fillId="12" borderId="58" xfId="0" applyFont="1" applyFill="1" applyBorder="1" applyAlignment="1">
      <alignment horizontal="center" vertical="center"/>
    </xf>
    <xf numFmtId="0" fontId="2" fillId="12" borderId="32" xfId="0" applyFont="1" applyFill="1" applyBorder="1" applyAlignment="1">
      <alignment horizontal="center" vertical="center"/>
    </xf>
    <xf numFmtId="178" fontId="7" fillId="17" borderId="10" xfId="2" applyNumberFormat="1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4" fillId="4" borderId="44" xfId="0" applyFont="1" applyFill="1" applyBorder="1" applyAlignment="1">
      <alignment horizontal="center" vertical="center"/>
    </xf>
    <xf numFmtId="0" fontId="14" fillId="4" borderId="46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14" fillId="0" borderId="59" xfId="0" applyFont="1" applyBorder="1" applyAlignment="1">
      <alignment horizontal="center" vertical="center"/>
    </xf>
    <xf numFmtId="0" fontId="14" fillId="0" borderId="69" xfId="0" applyFont="1" applyBorder="1" applyAlignment="1">
      <alignment horizontal="center" vertical="center"/>
    </xf>
    <xf numFmtId="0" fontId="7" fillId="19" borderId="58" xfId="2" applyFont="1" applyFill="1" applyBorder="1" applyAlignment="1">
      <alignment horizontal="center" vertical="center"/>
    </xf>
    <xf numFmtId="0" fontId="14" fillId="19" borderId="58" xfId="0" applyFont="1" applyFill="1" applyBorder="1" applyAlignment="1">
      <alignment horizontal="center" vertical="center"/>
    </xf>
    <xf numFmtId="0" fontId="2" fillId="4" borderId="69" xfId="0" applyFont="1" applyFill="1" applyBorder="1" applyAlignment="1">
      <alignment horizontal="center" vertical="center"/>
    </xf>
    <xf numFmtId="0" fontId="2" fillId="19" borderId="58" xfId="0" applyFont="1" applyFill="1" applyBorder="1" applyAlignment="1">
      <alignment horizontal="center" vertical="center"/>
    </xf>
    <xf numFmtId="0" fontId="2" fillId="3" borderId="59" xfId="0" applyFont="1" applyFill="1" applyBorder="1" applyAlignment="1">
      <alignment horizontal="center" vertical="center"/>
    </xf>
    <xf numFmtId="0" fontId="2" fillId="3" borderId="58" xfId="0" applyFont="1" applyFill="1" applyBorder="1" applyAlignment="1">
      <alignment horizontal="center" vertical="center" wrapText="1"/>
    </xf>
    <xf numFmtId="186" fontId="2" fillId="4" borderId="32" xfId="0" applyNumberFormat="1" applyFont="1" applyFill="1" applyBorder="1" applyAlignment="1">
      <alignment horizontal="center" vertical="center"/>
    </xf>
    <xf numFmtId="0" fontId="2" fillId="19" borderId="5" xfId="0" applyFont="1" applyFill="1" applyBorder="1">
      <alignment vertical="center"/>
    </xf>
    <xf numFmtId="181" fontId="7" fillId="4" borderId="126" xfId="2" applyNumberFormat="1" applyFont="1" applyFill="1" applyBorder="1" applyAlignment="1">
      <alignment horizontal="center" vertical="center"/>
    </xf>
    <xf numFmtId="181" fontId="7" fillId="4" borderId="196" xfId="2" applyNumberFormat="1" applyFont="1" applyFill="1" applyBorder="1" applyAlignment="1">
      <alignment horizontal="center" vertical="center"/>
    </xf>
    <xf numFmtId="181" fontId="7" fillId="4" borderId="27" xfId="2" applyNumberFormat="1" applyFont="1" applyFill="1" applyBorder="1" applyAlignment="1">
      <alignment horizontal="center" vertical="center"/>
    </xf>
    <xf numFmtId="178" fontId="7" fillId="4" borderId="199" xfId="2" applyNumberFormat="1" applyFont="1" applyFill="1" applyBorder="1" applyAlignment="1">
      <alignment horizontal="center" vertical="center"/>
    </xf>
    <xf numFmtId="181" fontId="7" fillId="3" borderId="4" xfId="2" applyNumberFormat="1" applyFont="1" applyFill="1" applyBorder="1" applyAlignment="1">
      <alignment horizontal="center" vertical="center"/>
    </xf>
    <xf numFmtId="178" fontId="7" fillId="19" borderId="10" xfId="2" applyNumberFormat="1" applyFont="1" applyFill="1" applyBorder="1" applyAlignment="1">
      <alignment horizontal="center" vertical="center"/>
    </xf>
    <xf numFmtId="179" fontId="2" fillId="0" borderId="29" xfId="1" applyNumberFormat="1" applyFont="1" applyBorder="1">
      <alignment vertical="center"/>
    </xf>
    <xf numFmtId="179" fontId="2" fillId="0" borderId="34" xfId="1" applyNumberFormat="1" applyFont="1" applyBorder="1">
      <alignment vertical="center"/>
    </xf>
    <xf numFmtId="179" fontId="2" fillId="0" borderId="1" xfId="1" applyNumberFormat="1" applyFont="1" applyFill="1" applyBorder="1">
      <alignment vertical="center"/>
    </xf>
    <xf numFmtId="179" fontId="2" fillId="0" borderId="10" xfId="1" applyNumberFormat="1" applyFont="1" applyFill="1" applyBorder="1">
      <alignment vertical="center"/>
    </xf>
    <xf numFmtId="179" fontId="2" fillId="0" borderId="25" xfId="1" applyNumberFormat="1" applyFont="1" applyBorder="1">
      <alignment vertical="center"/>
    </xf>
    <xf numFmtId="179" fontId="2" fillId="0" borderId="4" xfId="1" applyNumberFormat="1" applyFont="1" applyBorder="1">
      <alignment vertical="center"/>
    </xf>
    <xf numFmtId="179" fontId="2" fillId="0" borderId="4" xfId="1" applyNumberFormat="1" applyFont="1" applyFill="1" applyBorder="1">
      <alignment vertical="center"/>
    </xf>
    <xf numFmtId="179" fontId="2" fillId="0" borderId="27" xfId="1" applyNumberFormat="1" applyFont="1" applyBorder="1">
      <alignment vertical="center"/>
    </xf>
    <xf numFmtId="179" fontId="2" fillId="0" borderId="30" xfId="1" applyNumberFormat="1" applyFont="1" applyBorder="1" applyAlignment="1">
      <alignment horizontal="center" vertical="center"/>
    </xf>
    <xf numFmtId="179" fontId="2" fillId="0" borderId="58" xfId="1" applyNumberFormat="1" applyFont="1" applyFill="1" applyBorder="1" applyAlignment="1">
      <alignment horizontal="center" vertical="center"/>
    </xf>
    <xf numFmtId="179" fontId="2" fillId="0" borderId="32" xfId="1" applyNumberFormat="1" applyFont="1" applyFill="1" applyBorder="1" applyAlignment="1">
      <alignment horizontal="center" vertical="center"/>
    </xf>
    <xf numFmtId="181" fontId="7" fillId="4" borderId="66" xfId="2" applyNumberFormat="1" applyFont="1" applyFill="1" applyBorder="1" applyAlignment="1">
      <alignment horizontal="center" vertical="center"/>
    </xf>
    <xf numFmtId="181" fontId="7" fillId="4" borderId="6" xfId="2" applyNumberFormat="1" applyFont="1" applyFill="1" applyBorder="1" applyAlignment="1">
      <alignment horizontal="center" vertical="center"/>
    </xf>
    <xf numFmtId="179" fontId="2" fillId="0" borderId="45" xfId="1" applyNumberFormat="1" applyFont="1" applyBorder="1">
      <alignment vertical="center"/>
    </xf>
    <xf numFmtId="179" fontId="2" fillId="0" borderId="3" xfId="1" applyNumberFormat="1" applyFont="1" applyBorder="1">
      <alignment vertical="center"/>
    </xf>
    <xf numFmtId="179" fontId="2" fillId="0" borderId="16" xfId="1" applyNumberFormat="1" applyFont="1" applyBorder="1">
      <alignment vertical="center"/>
    </xf>
    <xf numFmtId="179" fontId="2" fillId="0" borderId="31" xfId="1" applyNumberFormat="1" applyFont="1" applyFill="1" applyBorder="1" applyAlignment="1">
      <alignment horizontal="center" vertical="center"/>
    </xf>
    <xf numFmtId="179" fontId="2" fillId="0" borderId="30" xfId="1" applyNumberFormat="1" applyFont="1" applyFill="1" applyBorder="1" applyAlignment="1">
      <alignment horizontal="center" vertical="center"/>
    </xf>
    <xf numFmtId="178" fontId="12" fillId="4" borderId="4" xfId="2" applyNumberFormat="1" applyFont="1" applyFill="1" applyBorder="1" applyAlignment="1">
      <alignment horizontal="center" vertical="center"/>
    </xf>
    <xf numFmtId="184" fontId="2" fillId="0" borderId="3" xfId="1" applyNumberFormat="1" applyFont="1" applyFill="1" applyBorder="1" applyAlignment="1">
      <alignment horizontal="center" vertical="center"/>
    </xf>
    <xf numFmtId="178" fontId="12" fillId="4" borderId="11" xfId="2" applyNumberFormat="1" applyFont="1" applyFill="1" applyBorder="1" applyAlignment="1">
      <alignment horizontal="center" vertical="center"/>
    </xf>
    <xf numFmtId="178" fontId="12" fillId="4" borderId="7" xfId="2" applyNumberFormat="1" applyFont="1" applyFill="1" applyBorder="1" applyAlignment="1">
      <alignment horizontal="center" vertical="center"/>
    </xf>
    <xf numFmtId="181" fontId="14" fillId="4" borderId="25" xfId="2" applyNumberFormat="1" applyFont="1" applyFill="1" applyBorder="1" applyAlignment="1">
      <alignment horizontal="center" vertical="center"/>
    </xf>
    <xf numFmtId="178" fontId="7" fillId="11" borderId="66" xfId="2" applyNumberFormat="1" applyFont="1" applyFill="1" applyBorder="1" applyAlignment="1">
      <alignment horizontal="center" vertical="center"/>
    </xf>
    <xf numFmtId="0" fontId="7" fillId="19" borderId="11" xfId="2" applyFont="1" applyFill="1" applyBorder="1">
      <alignment vertical="center"/>
    </xf>
    <xf numFmtId="0" fontId="7" fillId="4" borderId="30" xfId="2" applyFont="1" applyFill="1" applyBorder="1" applyAlignment="1">
      <alignment horizontal="center" vertical="center"/>
    </xf>
    <xf numFmtId="0" fontId="7" fillId="4" borderId="58" xfId="2" applyFont="1" applyFill="1" applyBorder="1" applyAlignment="1">
      <alignment horizontal="center" vertical="center"/>
    </xf>
    <xf numFmtId="0" fontId="7" fillId="4" borderId="32" xfId="2" applyFont="1" applyFill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19" borderId="7" xfId="0" applyFont="1" applyFill="1" applyBorder="1" applyAlignment="1">
      <alignment horizontal="left" vertical="center"/>
    </xf>
    <xf numFmtId="0" fontId="2" fillId="19" borderId="9" xfId="0" applyFont="1" applyFill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19" borderId="30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7" fillId="0" borderId="42" xfId="2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3" borderId="49" xfId="0" applyFont="1" applyFill="1" applyBorder="1" applyAlignment="1">
      <alignment horizontal="center" vertical="center"/>
    </xf>
    <xf numFmtId="0" fontId="7" fillId="4" borderId="94" xfId="2" applyFont="1" applyFill="1" applyBorder="1" applyAlignment="1">
      <alignment horizontal="center" vertical="center"/>
    </xf>
    <xf numFmtId="0" fontId="7" fillId="4" borderId="95" xfId="2" applyFont="1" applyFill="1" applyBorder="1" applyAlignment="1">
      <alignment horizontal="center" vertical="center"/>
    </xf>
    <xf numFmtId="0" fontId="7" fillId="19" borderId="186" xfId="2" applyFont="1" applyFill="1" applyBorder="1" applyAlignment="1">
      <alignment horizontal="center" vertical="center"/>
    </xf>
    <xf numFmtId="0" fontId="7" fillId="19" borderId="32" xfId="2" applyFont="1" applyFill="1" applyBorder="1" applyAlignment="1">
      <alignment horizontal="center" vertical="center"/>
    </xf>
    <xf numFmtId="186" fontId="7" fillId="0" borderId="186" xfId="2" applyNumberFormat="1" applyFont="1" applyBorder="1" applyAlignment="1">
      <alignment horizontal="center" vertical="center"/>
    </xf>
    <xf numFmtId="0" fontId="7" fillId="3" borderId="83" xfId="2" applyFont="1" applyFill="1" applyBorder="1" applyAlignment="1">
      <alignment horizontal="center" vertical="center"/>
    </xf>
    <xf numFmtId="0" fontId="7" fillId="0" borderId="94" xfId="2" applyFont="1" applyBorder="1" applyAlignment="1">
      <alignment horizontal="center" vertical="center"/>
    </xf>
    <xf numFmtId="0" fontId="7" fillId="0" borderId="186" xfId="2" applyFont="1" applyBorder="1" applyAlignment="1">
      <alignment horizontal="center" vertical="center"/>
    </xf>
    <xf numFmtId="0" fontId="7" fillId="0" borderId="79" xfId="2" applyFont="1" applyBorder="1" applyAlignment="1">
      <alignment horizontal="center" vertical="center"/>
    </xf>
    <xf numFmtId="0" fontId="7" fillId="4" borderId="182" xfId="2" applyFont="1" applyFill="1" applyBorder="1" applyAlignment="1">
      <alignment horizontal="center" vertical="center"/>
    </xf>
    <xf numFmtId="186" fontId="7" fillId="4" borderId="95" xfId="2" applyNumberFormat="1" applyFont="1" applyFill="1" applyBorder="1" applyAlignment="1">
      <alignment horizontal="center" vertical="center"/>
    </xf>
    <xf numFmtId="178" fontId="2" fillId="11" borderId="26" xfId="0" applyNumberFormat="1" applyFont="1" applyFill="1" applyBorder="1" applyAlignment="1">
      <alignment horizontal="center" vertical="center"/>
    </xf>
    <xf numFmtId="0" fontId="2" fillId="11" borderId="26" xfId="0" applyFont="1" applyFill="1" applyBorder="1" applyAlignment="1">
      <alignment horizontal="center" vertical="center"/>
    </xf>
    <xf numFmtId="181" fontId="2" fillId="3" borderId="26" xfId="0" applyNumberFormat="1" applyFont="1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7" fillId="3" borderId="147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16" xfId="2" applyFont="1" applyFill="1" applyBorder="1" applyAlignment="1">
      <alignment horizontal="center" vertical="center"/>
    </xf>
    <xf numFmtId="0" fontId="2" fillId="3" borderId="18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14" fillId="3" borderId="135" xfId="0" applyFont="1" applyFill="1" applyBorder="1" applyAlignment="1">
      <alignment horizontal="center" vertical="center"/>
    </xf>
    <xf numFmtId="0" fontId="14" fillId="4" borderId="52" xfId="0" applyFont="1" applyFill="1" applyBorder="1" applyAlignment="1">
      <alignment horizontal="center" vertical="center"/>
    </xf>
    <xf numFmtId="0" fontId="14" fillId="4" borderId="59" xfId="0" applyFont="1" applyFill="1" applyBorder="1" applyAlignment="1">
      <alignment horizontal="center" vertical="center"/>
    </xf>
    <xf numFmtId="0" fontId="14" fillId="4" borderId="58" xfId="0" applyFont="1" applyFill="1" applyBorder="1" applyAlignment="1">
      <alignment horizontal="center" vertical="center"/>
    </xf>
    <xf numFmtId="0" fontId="7" fillId="4" borderId="19" xfId="2" applyFont="1" applyFill="1" applyBorder="1" applyAlignment="1">
      <alignment vertical="center" wrapText="1"/>
    </xf>
    <xf numFmtId="0" fontId="7" fillId="4" borderId="69" xfId="2" applyFont="1" applyFill="1" applyBorder="1" applyAlignment="1">
      <alignment vertical="center" wrapText="1"/>
    </xf>
    <xf numFmtId="49" fontId="7" fillId="20" borderId="10" xfId="2" applyNumberFormat="1" applyFont="1" applyFill="1" applyBorder="1">
      <alignment vertical="center"/>
    </xf>
    <xf numFmtId="0" fontId="7" fillId="20" borderId="1" xfId="2" applyFont="1" applyFill="1" applyBorder="1" applyAlignment="1">
      <alignment horizontal="center" vertical="center"/>
    </xf>
    <xf numFmtId="0" fontId="7" fillId="20" borderId="52" xfId="2" applyFont="1" applyFill="1" applyBorder="1" applyAlignment="1">
      <alignment horizontal="center" vertical="center"/>
    </xf>
    <xf numFmtId="0" fontId="7" fillId="20" borderId="182" xfId="2" applyFont="1" applyFill="1" applyBorder="1" applyAlignment="1">
      <alignment horizontal="center" vertical="center"/>
    </xf>
    <xf numFmtId="0" fontId="2" fillId="20" borderId="58" xfId="0" applyFont="1" applyFill="1" applyBorder="1" applyAlignment="1">
      <alignment horizontal="center" vertical="center"/>
    </xf>
    <xf numFmtId="0" fontId="7" fillId="20" borderId="10" xfId="2" applyFont="1" applyFill="1" applyBorder="1">
      <alignment vertical="center"/>
    </xf>
    <xf numFmtId="0" fontId="7" fillId="20" borderId="3" xfId="2" applyFont="1" applyFill="1" applyBorder="1" applyAlignment="1">
      <alignment horizontal="center" vertical="center"/>
    </xf>
    <xf numFmtId="0" fontId="14" fillId="20" borderId="58" xfId="0" applyFont="1" applyFill="1" applyBorder="1" applyAlignment="1">
      <alignment horizontal="center" vertical="center"/>
    </xf>
    <xf numFmtId="0" fontId="7" fillId="20" borderId="137" xfId="2" applyFont="1" applyFill="1" applyBorder="1" applyAlignment="1">
      <alignment horizontal="center" vertical="center"/>
    </xf>
    <xf numFmtId="0" fontId="2" fillId="20" borderId="141" xfId="0" applyFont="1" applyFill="1" applyBorder="1" applyAlignment="1">
      <alignment horizontal="center" vertical="center"/>
    </xf>
    <xf numFmtId="0" fontId="14" fillId="20" borderId="14" xfId="0" applyFont="1" applyFill="1" applyBorder="1" applyAlignment="1">
      <alignment horizontal="left" vertical="center"/>
    </xf>
    <xf numFmtId="0" fontId="14" fillId="20" borderId="2" xfId="0" applyFont="1" applyFill="1" applyBorder="1" applyAlignment="1">
      <alignment horizontal="center" vertical="center"/>
    </xf>
    <xf numFmtId="0" fontId="14" fillId="20" borderId="75" xfId="0" applyFont="1" applyFill="1" applyBorder="1" applyAlignment="1">
      <alignment horizontal="center" vertical="center"/>
    </xf>
    <xf numFmtId="0" fontId="2" fillId="20" borderId="191" xfId="0" applyFont="1" applyFill="1" applyBorder="1" applyAlignment="1">
      <alignment horizontal="center" vertical="center"/>
    </xf>
    <xf numFmtId="0" fontId="14" fillId="20" borderId="7" xfId="0" applyFont="1" applyFill="1" applyBorder="1" applyAlignment="1">
      <alignment horizontal="left" vertical="center"/>
    </xf>
    <xf numFmtId="0" fontId="14" fillId="20" borderId="9" xfId="0" applyFont="1" applyFill="1" applyBorder="1" applyAlignment="1">
      <alignment horizontal="center" vertical="center"/>
    </xf>
    <xf numFmtId="0" fontId="14" fillId="20" borderId="30" xfId="0" applyFont="1" applyFill="1" applyBorder="1" applyAlignment="1">
      <alignment horizontal="center" vertical="center"/>
    </xf>
    <xf numFmtId="0" fontId="2" fillId="20" borderId="30" xfId="0" applyFont="1" applyFill="1" applyBorder="1" applyAlignment="1">
      <alignment horizontal="center" vertical="center"/>
    </xf>
    <xf numFmtId="0" fontId="2" fillId="20" borderId="10" xfId="0" applyFont="1" applyFill="1" applyBorder="1" applyAlignment="1">
      <alignment horizontal="left" vertical="center"/>
    </xf>
    <xf numFmtId="0" fontId="2" fillId="20" borderId="1" xfId="0" applyFont="1" applyFill="1" applyBorder="1" applyAlignment="1">
      <alignment horizontal="center" vertical="center"/>
    </xf>
    <xf numFmtId="0" fontId="2" fillId="20" borderId="4" xfId="0" applyFont="1" applyFill="1" applyBorder="1" applyAlignment="1">
      <alignment horizontal="center" vertical="center"/>
    </xf>
    <xf numFmtId="0" fontId="2" fillId="20" borderId="52" xfId="0" applyFont="1" applyFill="1" applyBorder="1" applyAlignment="1">
      <alignment horizontal="center" vertical="center"/>
    </xf>
    <xf numFmtId="0" fontId="14" fillId="20" borderId="135" xfId="0" applyFont="1" applyFill="1" applyBorder="1" applyAlignment="1">
      <alignment horizontal="center" vertical="center"/>
    </xf>
    <xf numFmtId="0" fontId="17" fillId="20" borderId="10" xfId="0" applyFont="1" applyFill="1" applyBorder="1" applyAlignment="1">
      <alignment horizontal="center" vertical="center"/>
    </xf>
    <xf numFmtId="0" fontId="17" fillId="20" borderId="41" xfId="0" applyFont="1" applyFill="1" applyBorder="1" applyAlignment="1">
      <alignment horizontal="center" vertical="center"/>
    </xf>
    <xf numFmtId="0" fontId="2" fillId="20" borderId="135" xfId="0" applyFont="1" applyFill="1" applyBorder="1" applyAlignment="1">
      <alignment horizontal="center" vertical="center"/>
    </xf>
    <xf numFmtId="0" fontId="2" fillId="20" borderId="41" xfId="0" applyFont="1" applyFill="1" applyBorder="1" applyAlignment="1">
      <alignment horizontal="center" vertical="center"/>
    </xf>
    <xf numFmtId="0" fontId="2" fillId="20" borderId="49" xfId="0" applyFont="1" applyFill="1" applyBorder="1" applyAlignment="1">
      <alignment horizontal="center" vertical="center"/>
    </xf>
    <xf numFmtId="178" fontId="7" fillId="22" borderId="1" xfId="2" applyNumberFormat="1" applyFont="1" applyFill="1" applyBorder="1" applyAlignment="1">
      <alignment horizontal="center" vertical="center"/>
    </xf>
    <xf numFmtId="178" fontId="7" fillId="22" borderId="106" xfId="2" applyNumberFormat="1" applyFont="1" applyFill="1" applyBorder="1" applyAlignment="1">
      <alignment horizontal="center" vertical="center"/>
    </xf>
    <xf numFmtId="178" fontId="7" fillId="22" borderId="109" xfId="2" applyNumberFormat="1" applyFont="1" applyFill="1" applyBorder="1" applyAlignment="1">
      <alignment horizontal="center" vertical="center"/>
    </xf>
    <xf numFmtId="178" fontId="7" fillId="23" borderId="106" xfId="2" applyNumberFormat="1" applyFont="1" applyFill="1" applyBorder="1" applyAlignment="1">
      <alignment horizontal="center" vertical="center"/>
    </xf>
    <xf numFmtId="178" fontId="7" fillId="23" borderId="10" xfId="2" applyNumberFormat="1" applyFont="1" applyFill="1" applyBorder="1" applyAlignment="1">
      <alignment horizontal="center" vertical="center"/>
    </xf>
    <xf numFmtId="178" fontId="7" fillId="23" borderId="1" xfId="2" applyNumberFormat="1" applyFont="1" applyFill="1" applyBorder="1" applyAlignment="1">
      <alignment horizontal="center" vertical="center"/>
    </xf>
    <xf numFmtId="178" fontId="7" fillId="23" borderId="4" xfId="2" applyNumberFormat="1" applyFont="1" applyFill="1" applyBorder="1" applyAlignment="1">
      <alignment horizontal="center" vertical="center"/>
    </xf>
    <xf numFmtId="181" fontId="7" fillId="23" borderId="105" xfId="2" applyNumberFormat="1" applyFont="1" applyFill="1" applyBorder="1" applyAlignment="1">
      <alignment horizontal="center" vertical="center"/>
    </xf>
    <xf numFmtId="181" fontId="7" fillId="23" borderId="106" xfId="2" applyNumberFormat="1" applyFont="1" applyFill="1" applyBorder="1" applyAlignment="1">
      <alignment horizontal="center" vertical="center"/>
    </xf>
    <xf numFmtId="178" fontId="7" fillId="23" borderId="109" xfId="2" applyNumberFormat="1" applyFont="1" applyFill="1" applyBorder="1" applyAlignment="1">
      <alignment horizontal="center" vertical="center"/>
    </xf>
    <xf numFmtId="178" fontId="7" fillId="23" borderId="110" xfId="2" applyNumberFormat="1" applyFont="1" applyFill="1" applyBorder="1" applyAlignment="1">
      <alignment horizontal="center" vertical="center"/>
    </xf>
    <xf numFmtId="178" fontId="7" fillId="23" borderId="45" xfId="2" applyNumberFormat="1" applyFont="1" applyFill="1" applyBorder="1" applyAlignment="1">
      <alignment horizontal="center" vertical="center"/>
    </xf>
    <xf numFmtId="178" fontId="7" fillId="23" borderId="21" xfId="2" applyNumberFormat="1" applyFont="1" applyFill="1" applyBorder="1" applyAlignment="1">
      <alignment horizontal="center" vertical="center"/>
    </xf>
    <xf numFmtId="178" fontId="7" fillId="23" borderId="3" xfId="2" applyNumberFormat="1" applyFont="1" applyFill="1" applyBorder="1" applyAlignment="1">
      <alignment horizontal="center" vertical="center"/>
    </xf>
    <xf numFmtId="178" fontId="7" fillId="23" borderId="16" xfId="2" applyNumberFormat="1" applyFont="1" applyFill="1" applyBorder="1" applyAlignment="1">
      <alignment horizontal="center" vertical="center"/>
    </xf>
    <xf numFmtId="178" fontId="7" fillId="23" borderId="46" xfId="2" applyNumberFormat="1" applyFont="1" applyFill="1" applyBorder="1" applyAlignment="1">
      <alignment horizontal="center" vertical="center"/>
    </xf>
    <xf numFmtId="178" fontId="7" fillId="23" borderId="108" xfId="2" applyNumberFormat="1" applyFont="1" applyFill="1" applyBorder="1" applyAlignment="1">
      <alignment horizontal="center" vertical="center"/>
    </xf>
    <xf numFmtId="178" fontId="7" fillId="23" borderId="41" xfId="2" applyNumberFormat="1" applyFont="1" applyFill="1" applyBorder="1" applyAlignment="1">
      <alignment horizontal="center" vertical="center"/>
    </xf>
    <xf numFmtId="178" fontId="7" fillId="23" borderId="5" xfId="2" applyNumberFormat="1" applyFont="1" applyFill="1" applyBorder="1" applyAlignment="1">
      <alignment horizontal="center" vertical="center"/>
    </xf>
    <xf numFmtId="178" fontId="7" fillId="23" borderId="126" xfId="2" applyNumberFormat="1" applyFont="1" applyFill="1" applyBorder="1" applyAlignment="1">
      <alignment horizontal="center" vertical="center"/>
    </xf>
    <xf numFmtId="178" fontId="7" fillId="23" borderId="25" xfId="2" applyNumberFormat="1" applyFont="1" applyFill="1" applyBorder="1" applyAlignment="1">
      <alignment horizontal="center" vertical="center"/>
    </xf>
    <xf numFmtId="178" fontId="7" fillId="23" borderId="114" xfId="2" applyNumberFormat="1" applyFont="1" applyFill="1" applyBorder="1" applyAlignment="1">
      <alignment horizontal="center" vertical="center"/>
    </xf>
    <xf numFmtId="178" fontId="7" fillId="23" borderId="115" xfId="2" applyNumberFormat="1" applyFont="1" applyFill="1" applyBorder="1" applyAlignment="1">
      <alignment horizontal="center" vertical="center"/>
    </xf>
    <xf numFmtId="178" fontId="7" fillId="23" borderId="7" xfId="2" applyNumberFormat="1" applyFont="1" applyFill="1" applyBorder="1" applyAlignment="1">
      <alignment horizontal="center" vertical="center"/>
    </xf>
    <xf numFmtId="178" fontId="7" fillId="23" borderId="8" xfId="2" applyNumberFormat="1" applyFont="1" applyFill="1" applyBorder="1" applyAlignment="1">
      <alignment horizontal="center" vertical="center"/>
    </xf>
    <xf numFmtId="178" fontId="7" fillId="23" borderId="105" xfId="2" applyNumberFormat="1" applyFont="1" applyFill="1" applyBorder="1" applyAlignment="1">
      <alignment horizontal="center" vertical="center"/>
    </xf>
    <xf numFmtId="178" fontId="7" fillId="23" borderId="118" xfId="2" applyNumberFormat="1" applyFont="1" applyFill="1" applyBorder="1" applyAlignment="1">
      <alignment horizontal="center" vertical="center"/>
    </xf>
    <xf numFmtId="178" fontId="7" fillId="23" borderId="100" xfId="2" applyNumberFormat="1" applyFont="1" applyFill="1" applyBorder="1" applyAlignment="1">
      <alignment horizontal="center" vertical="center"/>
    </xf>
    <xf numFmtId="184" fontId="14" fillId="23" borderId="177" xfId="1" applyNumberFormat="1" applyFont="1" applyFill="1" applyBorder="1" applyAlignment="1">
      <alignment horizontal="center" vertical="center"/>
    </xf>
    <xf numFmtId="184" fontId="14" fillId="23" borderId="120" xfId="1" applyNumberFormat="1" applyFont="1" applyFill="1" applyBorder="1" applyAlignment="1">
      <alignment horizontal="center" vertical="center"/>
    </xf>
    <xf numFmtId="184" fontId="14" fillId="23" borderId="121" xfId="1" applyNumberFormat="1" applyFont="1" applyFill="1" applyBorder="1" applyAlignment="1">
      <alignment horizontal="center" vertical="center"/>
    </xf>
    <xf numFmtId="184" fontId="14" fillId="23" borderId="122" xfId="1" applyNumberFormat="1" applyFont="1" applyFill="1" applyBorder="1" applyAlignment="1">
      <alignment horizontal="center" vertical="center"/>
    </xf>
    <xf numFmtId="184" fontId="14" fillId="23" borderId="127" xfId="1" applyNumberFormat="1" applyFont="1" applyFill="1" applyBorder="1" applyAlignment="1">
      <alignment horizontal="center" vertical="center"/>
    </xf>
    <xf numFmtId="184" fontId="14" fillId="23" borderId="130" xfId="1" applyNumberFormat="1" applyFont="1" applyFill="1" applyBorder="1" applyAlignment="1">
      <alignment horizontal="center" vertical="center"/>
    </xf>
    <xf numFmtId="184" fontId="14" fillId="23" borderId="115" xfId="1" applyNumberFormat="1" applyFont="1" applyFill="1" applyBorder="1" applyAlignment="1">
      <alignment horizontal="center" vertical="center"/>
    </xf>
    <xf numFmtId="184" fontId="14" fillId="23" borderId="129" xfId="1" applyNumberFormat="1" applyFont="1" applyFill="1" applyBorder="1" applyAlignment="1">
      <alignment horizontal="center" vertical="center"/>
    </xf>
    <xf numFmtId="184" fontId="14" fillId="23" borderId="9" xfId="1" applyNumberFormat="1" applyFont="1" applyFill="1" applyBorder="1" applyAlignment="1">
      <alignment horizontal="center" vertical="center"/>
    </xf>
    <xf numFmtId="184" fontId="14" fillId="23" borderId="133" xfId="1" applyNumberFormat="1" applyFont="1" applyFill="1" applyBorder="1" applyAlignment="1">
      <alignment horizontal="center" vertical="center"/>
    </xf>
    <xf numFmtId="184" fontId="14" fillId="23" borderId="105" xfId="1" applyNumberFormat="1" applyFont="1" applyFill="1" applyBorder="1" applyAlignment="1">
      <alignment horizontal="center" vertical="center"/>
    </xf>
    <xf numFmtId="184" fontId="14" fillId="23" borderId="106" xfId="1" applyNumberFormat="1" applyFont="1" applyFill="1" applyBorder="1" applyAlignment="1">
      <alignment horizontal="center" vertical="center"/>
    </xf>
    <xf numFmtId="181" fontId="14" fillId="23" borderId="106" xfId="2" applyNumberFormat="1" applyFont="1" applyFill="1" applyBorder="1" applyAlignment="1">
      <alignment horizontal="center" vertical="center"/>
    </xf>
    <xf numFmtId="184" fontId="14" fillId="23" borderId="131" xfId="1" applyNumberFormat="1" applyFont="1" applyFill="1" applyBorder="1" applyAlignment="1">
      <alignment horizontal="center" vertical="center"/>
    </xf>
    <xf numFmtId="184" fontId="14" fillId="23" borderId="126" xfId="1" applyNumberFormat="1" applyFont="1" applyFill="1" applyBorder="1" applyAlignment="1">
      <alignment horizontal="center" vertical="center"/>
    </xf>
    <xf numFmtId="184" fontId="14" fillId="23" borderId="42" xfId="1" applyNumberFormat="1" applyFont="1" applyFill="1" applyBorder="1" applyAlignment="1">
      <alignment horizontal="center" vertical="center"/>
    </xf>
    <xf numFmtId="184" fontId="14" fillId="23" borderId="97" xfId="1" applyNumberFormat="1" applyFont="1" applyFill="1" applyBorder="1" applyAlignment="1">
      <alignment horizontal="center" vertical="center"/>
    </xf>
    <xf numFmtId="0" fontId="10" fillId="23" borderId="106" xfId="0" applyFont="1" applyFill="1" applyBorder="1">
      <alignment vertical="center"/>
    </xf>
    <xf numFmtId="178" fontId="7" fillId="23" borderId="54" xfId="2" applyNumberFormat="1" applyFont="1" applyFill="1" applyBorder="1" applyAlignment="1">
      <alignment horizontal="center" vertical="center"/>
    </xf>
    <xf numFmtId="178" fontId="7" fillId="23" borderId="201" xfId="2" applyNumberFormat="1" applyFont="1" applyFill="1" applyBorder="1" applyAlignment="1">
      <alignment horizontal="center" vertical="center"/>
    </xf>
    <xf numFmtId="178" fontId="7" fillId="23" borderId="112" xfId="2" applyNumberFormat="1" applyFont="1" applyFill="1" applyBorder="1" applyAlignment="1">
      <alignment horizontal="center" vertical="center"/>
    </xf>
    <xf numFmtId="178" fontId="7" fillId="23" borderId="113" xfId="2" applyNumberFormat="1" applyFont="1" applyFill="1" applyBorder="1" applyAlignment="1">
      <alignment horizontal="center" vertical="center"/>
    </xf>
    <xf numFmtId="178" fontId="7" fillId="23" borderId="47" xfId="2" applyNumberFormat="1" applyFont="1" applyFill="1" applyBorder="1" applyAlignment="1">
      <alignment horizontal="center" vertical="center"/>
    </xf>
    <xf numFmtId="178" fontId="7" fillId="23" borderId="72" xfId="2" applyNumberFormat="1" applyFont="1" applyFill="1" applyBorder="1" applyAlignment="1">
      <alignment horizontal="center" vertical="center"/>
    </xf>
    <xf numFmtId="178" fontId="7" fillId="23" borderId="22" xfId="2" applyNumberFormat="1" applyFont="1" applyFill="1" applyBorder="1" applyAlignment="1">
      <alignment horizontal="center" vertical="center"/>
    </xf>
    <xf numFmtId="178" fontId="7" fillId="23" borderId="73" xfId="2" applyNumberFormat="1" applyFont="1" applyFill="1" applyBorder="1" applyAlignment="1">
      <alignment horizontal="center" vertical="center"/>
    </xf>
    <xf numFmtId="178" fontId="7" fillId="23" borderId="15" xfId="2" applyNumberFormat="1" applyFont="1" applyFill="1" applyBorder="1" applyAlignment="1">
      <alignment horizontal="center" vertical="center"/>
    </xf>
    <xf numFmtId="178" fontId="7" fillId="23" borderId="101" xfId="2" applyNumberFormat="1" applyFont="1" applyFill="1" applyBorder="1" applyAlignment="1">
      <alignment horizontal="center" vertical="center"/>
    </xf>
    <xf numFmtId="178" fontId="7" fillId="23" borderId="107" xfId="2" applyNumberFormat="1" applyFont="1" applyFill="1" applyBorder="1" applyAlignment="1">
      <alignment horizontal="center" vertical="center"/>
    </xf>
    <xf numFmtId="178" fontId="7" fillId="23" borderId="2" xfId="2" applyNumberFormat="1" applyFont="1" applyFill="1" applyBorder="1" applyAlignment="1">
      <alignment horizontal="center" vertical="center"/>
    </xf>
    <xf numFmtId="178" fontId="7" fillId="23" borderId="44" xfId="2" applyNumberFormat="1" applyFont="1" applyFill="1" applyBorder="1" applyAlignment="1">
      <alignment horizontal="center" vertical="center"/>
    </xf>
    <xf numFmtId="178" fontId="7" fillId="23" borderId="97" xfId="2" applyNumberFormat="1" applyFont="1" applyFill="1" applyBorder="1" applyAlignment="1">
      <alignment horizontal="center" vertical="center"/>
    </xf>
    <xf numFmtId="178" fontId="7" fillId="23" borderId="98" xfId="2" applyNumberFormat="1" applyFont="1" applyFill="1" applyBorder="1" applyAlignment="1">
      <alignment horizontal="center" vertical="center"/>
    </xf>
    <xf numFmtId="180" fontId="2" fillId="23" borderId="8" xfId="0" applyNumberFormat="1" applyFont="1" applyFill="1" applyBorder="1" applyAlignment="1">
      <alignment horizontal="center" vertical="center"/>
    </xf>
    <xf numFmtId="180" fontId="2" fillId="23" borderId="179" xfId="0" applyNumberFormat="1" applyFont="1" applyFill="1" applyBorder="1" applyAlignment="1">
      <alignment horizontal="center" vertical="center"/>
    </xf>
    <xf numFmtId="180" fontId="2" fillId="23" borderId="121" xfId="0" applyNumberFormat="1" applyFont="1" applyFill="1" applyBorder="1" applyAlignment="1">
      <alignment horizontal="center" vertical="center"/>
    </xf>
    <xf numFmtId="180" fontId="2" fillId="23" borderId="14" xfId="0" applyNumberFormat="1" applyFont="1" applyFill="1" applyBorder="1" applyAlignment="1">
      <alignment horizontal="center" vertical="center"/>
    </xf>
    <xf numFmtId="180" fontId="2" fillId="23" borderId="2" xfId="0" applyNumberFormat="1" applyFont="1" applyFill="1" applyBorder="1" applyAlignment="1">
      <alignment horizontal="center" vertical="center"/>
    </xf>
    <xf numFmtId="180" fontId="2" fillId="23" borderId="15" xfId="0" applyNumberFormat="1" applyFont="1" applyFill="1" applyBorder="1" applyAlignment="1">
      <alignment horizontal="center" vertical="center"/>
    </xf>
    <xf numFmtId="180" fontId="10" fillId="23" borderId="126" xfId="0" applyNumberFormat="1" applyFont="1" applyFill="1" applyBorder="1" applyAlignment="1">
      <alignment horizontal="center" vertical="center"/>
    </xf>
    <xf numFmtId="180" fontId="10" fillId="23" borderId="106" xfId="0" applyNumberFormat="1" applyFont="1" applyFill="1" applyBorder="1" applyAlignment="1">
      <alignment horizontal="center" vertical="center"/>
    </xf>
    <xf numFmtId="180" fontId="10" fillId="23" borderId="107" xfId="0" applyNumberFormat="1" applyFont="1" applyFill="1" applyBorder="1" applyAlignment="1">
      <alignment horizontal="center" vertical="center"/>
    </xf>
    <xf numFmtId="0" fontId="10" fillId="23" borderId="10" xfId="0" applyFont="1" applyFill="1" applyBorder="1">
      <alignment vertical="center"/>
    </xf>
    <xf numFmtId="0" fontId="10" fillId="23" borderId="5" xfId="0" applyFont="1" applyFill="1" applyBorder="1">
      <alignment vertical="center"/>
    </xf>
    <xf numFmtId="0" fontId="10" fillId="23" borderId="1" xfId="0" applyFont="1" applyFill="1" applyBorder="1">
      <alignment vertical="center"/>
    </xf>
    <xf numFmtId="0" fontId="10" fillId="23" borderId="4" xfId="0" applyFont="1" applyFill="1" applyBorder="1">
      <alignment vertical="center"/>
    </xf>
    <xf numFmtId="0" fontId="10" fillId="23" borderId="41" xfId="0" applyFont="1" applyFill="1" applyBorder="1">
      <alignment vertical="center"/>
    </xf>
    <xf numFmtId="180" fontId="2" fillId="23" borderId="1" xfId="0" applyNumberFormat="1" applyFont="1" applyFill="1" applyBorder="1" applyAlignment="1">
      <alignment horizontal="center" vertical="center"/>
    </xf>
    <xf numFmtId="180" fontId="2" fillId="23" borderId="41" xfId="0" applyNumberFormat="1" applyFont="1" applyFill="1" applyBorder="1" applyAlignment="1">
      <alignment horizontal="center" vertical="center"/>
    </xf>
    <xf numFmtId="180" fontId="2" fillId="23" borderId="12" xfId="0" applyNumberFormat="1" applyFont="1" applyFill="1" applyBorder="1" applyAlignment="1">
      <alignment horizontal="center" vertical="center"/>
    </xf>
    <xf numFmtId="180" fontId="2" fillId="23" borderId="196" xfId="0" applyNumberFormat="1" applyFont="1" applyFill="1" applyBorder="1" applyAlignment="1">
      <alignment horizontal="center" vertical="center"/>
    </xf>
    <xf numFmtId="180" fontId="2" fillId="23" borderId="109" xfId="0" applyNumberFormat="1" applyFont="1" applyFill="1" applyBorder="1" applyAlignment="1">
      <alignment horizontal="center" vertical="center"/>
    </xf>
    <xf numFmtId="180" fontId="2" fillId="23" borderId="45" xfId="0" applyNumberFormat="1" applyFont="1" applyFill="1" applyBorder="1" applyAlignment="1">
      <alignment horizontal="center" vertical="center"/>
    </xf>
    <xf numFmtId="180" fontId="2" fillId="23" borderId="3" xfId="0" applyNumberFormat="1" applyFont="1" applyFill="1" applyBorder="1" applyAlignment="1">
      <alignment horizontal="center" vertical="center"/>
    </xf>
    <xf numFmtId="180" fontId="2" fillId="23" borderId="16" xfId="0" applyNumberFormat="1" applyFont="1" applyFill="1" applyBorder="1" applyAlignment="1">
      <alignment horizontal="center" vertical="center"/>
    </xf>
    <xf numFmtId="178" fontId="7" fillId="23" borderId="127" xfId="2" applyNumberFormat="1" applyFont="1" applyFill="1" applyBorder="1" applyAlignment="1">
      <alignment horizontal="center" vertical="center"/>
    </xf>
    <xf numFmtId="178" fontId="7" fillId="23" borderId="116" xfId="2" applyNumberFormat="1" applyFont="1" applyFill="1" applyBorder="1" applyAlignment="1">
      <alignment horizontal="center" vertical="center"/>
    </xf>
    <xf numFmtId="178" fontId="7" fillId="23" borderId="88" xfId="2" applyNumberFormat="1" applyFont="1" applyFill="1" applyBorder="1" applyAlignment="1">
      <alignment horizontal="center" vertical="center"/>
    </xf>
    <xf numFmtId="178" fontId="7" fillId="23" borderId="9" xfId="2" applyNumberFormat="1" applyFont="1" applyFill="1" applyBorder="1" applyAlignment="1">
      <alignment horizontal="center" vertical="center"/>
    </xf>
    <xf numFmtId="178" fontId="7" fillId="23" borderId="131" xfId="2" applyNumberFormat="1" applyFont="1" applyFill="1" applyBorder="1" applyAlignment="1">
      <alignment horizontal="center" vertical="center"/>
    </xf>
    <xf numFmtId="178" fontId="13" fillId="23" borderId="4" xfId="2" applyNumberFormat="1" applyFont="1" applyFill="1" applyBorder="1" applyAlignment="1">
      <alignment horizontal="center" vertical="center"/>
    </xf>
    <xf numFmtId="178" fontId="13" fillId="23" borderId="41" xfId="2" applyNumberFormat="1" applyFont="1" applyFill="1" applyBorder="1" applyAlignment="1">
      <alignment horizontal="center" vertical="center"/>
    </xf>
    <xf numFmtId="178" fontId="13" fillId="23" borderId="106" xfId="2" applyNumberFormat="1" applyFont="1" applyFill="1" applyBorder="1" applyAlignment="1">
      <alignment horizontal="center" vertical="center"/>
    </xf>
    <xf numFmtId="178" fontId="7" fillId="23" borderId="79" xfId="2" applyNumberFormat="1" applyFont="1" applyFill="1" applyBorder="1" applyAlignment="1">
      <alignment horizontal="center" vertical="center"/>
    </xf>
    <xf numFmtId="178" fontId="7" fillId="23" borderId="13" xfId="2" applyNumberFormat="1" applyFont="1" applyFill="1" applyBorder="1" applyAlignment="1">
      <alignment horizontal="center" vertical="center"/>
    </xf>
    <xf numFmtId="178" fontId="7" fillId="23" borderId="29" xfId="2" applyNumberFormat="1" applyFont="1" applyFill="1" applyBorder="1" applyAlignment="1">
      <alignment horizontal="center" vertical="center"/>
    </xf>
    <xf numFmtId="178" fontId="13" fillId="23" borderId="1" xfId="2" applyNumberFormat="1" applyFont="1" applyFill="1" applyBorder="1" applyAlignment="1">
      <alignment horizontal="center" vertical="center"/>
    </xf>
    <xf numFmtId="178" fontId="13" fillId="23" borderId="5" xfId="2" applyNumberFormat="1" applyFont="1" applyFill="1" applyBorder="1" applyAlignment="1">
      <alignment horizontal="center" vertical="center"/>
    </xf>
    <xf numFmtId="178" fontId="7" fillId="23" borderId="34" xfId="2" applyNumberFormat="1" applyFont="1" applyFill="1" applyBorder="1" applyAlignment="1">
      <alignment horizontal="center" vertical="center"/>
    </xf>
    <xf numFmtId="178" fontId="7" fillId="23" borderId="35" xfId="2" applyNumberFormat="1" applyFont="1" applyFill="1" applyBorder="1" applyAlignment="1">
      <alignment horizontal="center" vertical="center"/>
    </xf>
    <xf numFmtId="178" fontId="7" fillId="23" borderId="12" xfId="2" applyNumberFormat="1" applyFont="1" applyFill="1" applyBorder="1" applyAlignment="1">
      <alignment horizontal="center" vertical="center"/>
    </xf>
    <xf numFmtId="178" fontId="12" fillId="23" borderId="15" xfId="2" applyNumberFormat="1" applyFont="1" applyFill="1" applyBorder="1" applyAlignment="1">
      <alignment horizontal="center" vertical="center"/>
    </xf>
    <xf numFmtId="178" fontId="12" fillId="23" borderId="120" xfId="2" applyNumberFormat="1" applyFont="1" applyFill="1" applyBorder="1" applyAlignment="1">
      <alignment horizontal="center" vertical="center"/>
    </xf>
    <xf numFmtId="178" fontId="12" fillId="23" borderId="121" xfId="2" applyNumberFormat="1" applyFont="1" applyFill="1" applyBorder="1" applyAlignment="1">
      <alignment horizontal="center" vertical="center"/>
    </xf>
    <xf numFmtId="178" fontId="12" fillId="23" borderId="122" xfId="2" applyNumberFormat="1" applyFont="1" applyFill="1" applyBorder="1" applyAlignment="1">
      <alignment horizontal="center" vertical="center"/>
    </xf>
    <xf numFmtId="178" fontId="12" fillId="23" borderId="14" xfId="2" applyNumberFormat="1" applyFont="1" applyFill="1" applyBorder="1" applyAlignment="1">
      <alignment horizontal="center" vertical="center"/>
    </xf>
    <xf numFmtId="178" fontId="12" fillId="23" borderId="29" xfId="2" applyNumberFormat="1" applyFont="1" applyFill="1" applyBorder="1" applyAlignment="1">
      <alignment horizontal="center" vertical="center"/>
    </xf>
    <xf numFmtId="178" fontId="12" fillId="23" borderId="33" xfId="2" applyNumberFormat="1" applyFont="1" applyFill="1" applyBorder="1" applyAlignment="1">
      <alignment horizontal="center" vertical="center"/>
    </xf>
    <xf numFmtId="178" fontId="12" fillId="23" borderId="44" xfId="2" applyNumberFormat="1" applyFont="1" applyFill="1" applyBorder="1" applyAlignment="1">
      <alignment horizontal="center" vertical="center"/>
    </xf>
    <xf numFmtId="178" fontId="12" fillId="23" borderId="7" xfId="2" applyNumberFormat="1" applyFont="1" applyFill="1" applyBorder="1" applyAlignment="1">
      <alignment horizontal="center" vertical="center"/>
    </xf>
    <xf numFmtId="178" fontId="12" fillId="23" borderId="8" xfId="2" applyNumberFormat="1" applyFont="1" applyFill="1" applyBorder="1" applyAlignment="1">
      <alignment horizontal="center" vertical="center"/>
    </xf>
    <xf numFmtId="178" fontId="12" fillId="23" borderId="27" xfId="2" applyNumberFormat="1" applyFont="1" applyFill="1" applyBorder="1" applyAlignment="1">
      <alignment horizontal="center" vertical="center"/>
    </xf>
    <xf numFmtId="178" fontId="12" fillId="23" borderId="117" xfId="2" applyNumberFormat="1" applyFont="1" applyFill="1" applyBorder="1" applyAlignment="1">
      <alignment horizontal="center" vertical="center"/>
    </xf>
    <xf numFmtId="178" fontId="12" fillId="23" borderId="118" xfId="2" applyNumberFormat="1" applyFont="1" applyFill="1" applyBorder="1" applyAlignment="1">
      <alignment horizontal="center" vertical="center"/>
    </xf>
    <xf numFmtId="178" fontId="12" fillId="23" borderId="119" xfId="2" applyNumberFormat="1" applyFont="1" applyFill="1" applyBorder="1" applyAlignment="1">
      <alignment horizontal="center" vertical="center"/>
    </xf>
    <xf numFmtId="178" fontId="12" fillId="23" borderId="11" xfId="2" applyNumberFormat="1" applyFont="1" applyFill="1" applyBorder="1" applyAlignment="1">
      <alignment horizontal="center" vertical="center"/>
    </xf>
    <xf numFmtId="178" fontId="12" fillId="23" borderId="28" xfId="2" applyNumberFormat="1" applyFont="1" applyFill="1" applyBorder="1" applyAlignment="1">
      <alignment horizontal="center" vertical="center"/>
    </xf>
    <xf numFmtId="178" fontId="12" fillId="23" borderId="50" xfId="2" applyNumberFormat="1" applyFont="1" applyFill="1" applyBorder="1" applyAlignment="1">
      <alignment horizontal="center" vertical="center"/>
    </xf>
    <xf numFmtId="178" fontId="12" fillId="23" borderId="13" xfId="2" applyNumberFormat="1" applyFont="1" applyFill="1" applyBorder="1" applyAlignment="1">
      <alignment horizontal="center" vertical="center"/>
    </xf>
    <xf numFmtId="178" fontId="12" fillId="23" borderId="12" xfId="2" applyNumberFormat="1" applyFont="1" applyFill="1" applyBorder="1" applyAlignment="1">
      <alignment horizontal="center" vertical="center"/>
    </xf>
    <xf numFmtId="178" fontId="7" fillId="23" borderId="67" xfId="2" applyNumberFormat="1" applyFont="1" applyFill="1" applyBorder="1" applyAlignment="1">
      <alignment horizontal="center" vertical="center"/>
    </xf>
    <xf numFmtId="178" fontId="12" fillId="23" borderId="2" xfId="2" applyNumberFormat="1" applyFont="1" applyFill="1" applyBorder="1" applyAlignment="1">
      <alignment horizontal="center" vertical="center"/>
    </xf>
    <xf numFmtId="0" fontId="2" fillId="23" borderId="2" xfId="0" applyFont="1" applyFill="1" applyBorder="1">
      <alignment vertical="center"/>
    </xf>
    <xf numFmtId="0" fontId="2" fillId="23" borderId="44" xfId="0" applyFont="1" applyFill="1" applyBorder="1">
      <alignment vertical="center"/>
    </xf>
    <xf numFmtId="178" fontId="12" fillId="23" borderId="6" xfId="2" applyNumberFormat="1" applyFont="1" applyFill="1" applyBorder="1" applyAlignment="1">
      <alignment horizontal="center" vertical="center"/>
    </xf>
    <xf numFmtId="178" fontId="12" fillId="23" borderId="195" xfId="2" applyNumberFormat="1" applyFont="1" applyFill="1" applyBorder="1" applyAlignment="1">
      <alignment horizontal="center" vertical="center"/>
    </xf>
    <xf numFmtId="178" fontId="12" fillId="23" borderId="188" xfId="2" applyNumberFormat="1" applyFont="1" applyFill="1" applyBorder="1" applyAlignment="1">
      <alignment horizontal="center" vertical="center"/>
    </xf>
    <xf numFmtId="178" fontId="12" fillId="23" borderId="189" xfId="2" applyNumberFormat="1" applyFont="1" applyFill="1" applyBorder="1" applyAlignment="1">
      <alignment horizontal="center" vertical="center"/>
    </xf>
    <xf numFmtId="178" fontId="12" fillId="23" borderId="61" xfId="2" applyNumberFormat="1" applyFont="1" applyFill="1" applyBorder="1" applyAlignment="1">
      <alignment horizontal="center" vertical="center"/>
    </xf>
    <xf numFmtId="178" fontId="12" fillId="23" borderId="0" xfId="2" applyNumberFormat="1" applyFont="1" applyFill="1" applyAlignment="1">
      <alignment horizontal="center" vertical="center"/>
    </xf>
    <xf numFmtId="178" fontId="12" fillId="23" borderId="79" xfId="2" applyNumberFormat="1" applyFont="1" applyFill="1" applyBorder="1" applyAlignment="1">
      <alignment horizontal="center" vertical="center"/>
    </xf>
    <xf numFmtId="178" fontId="12" fillId="23" borderId="35" xfId="2" applyNumberFormat="1" applyFont="1" applyFill="1" applyBorder="1" applyAlignment="1">
      <alignment horizontal="center" vertical="center"/>
    </xf>
    <xf numFmtId="0" fontId="2" fillId="23" borderId="12" xfId="0" applyFont="1" applyFill="1" applyBorder="1">
      <alignment vertical="center"/>
    </xf>
    <xf numFmtId="0" fontId="2" fillId="23" borderId="67" xfId="0" applyFont="1" applyFill="1" applyBorder="1">
      <alignment vertical="center"/>
    </xf>
    <xf numFmtId="178" fontId="39" fillId="23" borderId="4" xfId="2" applyNumberFormat="1" applyFont="1" applyFill="1" applyBorder="1" applyAlignment="1">
      <alignment horizontal="center" vertical="center"/>
    </xf>
    <xf numFmtId="181" fontId="7" fillId="23" borderId="10" xfId="2" applyNumberFormat="1" applyFont="1" applyFill="1" applyBorder="1" applyAlignment="1">
      <alignment horizontal="center" vertical="center"/>
    </xf>
    <xf numFmtId="181" fontId="7" fillId="23" borderId="5" xfId="2" applyNumberFormat="1" applyFont="1" applyFill="1" applyBorder="1" applyAlignment="1">
      <alignment horizontal="center" vertical="center"/>
    </xf>
    <xf numFmtId="181" fontId="7" fillId="23" borderId="16" xfId="2" applyNumberFormat="1" applyFont="1" applyFill="1" applyBorder="1" applyAlignment="1">
      <alignment horizontal="center" vertical="center"/>
    </xf>
    <xf numFmtId="181" fontId="7" fillId="23" borderId="98" xfId="2" applyNumberFormat="1" applyFont="1" applyFill="1" applyBorder="1" applyAlignment="1">
      <alignment horizontal="center" vertical="center"/>
    </xf>
    <xf numFmtId="181" fontId="7" fillId="23" borderId="108" xfId="2" applyNumberFormat="1" applyFont="1" applyFill="1" applyBorder="1" applyAlignment="1">
      <alignment horizontal="center" vertical="center"/>
    </xf>
    <xf numFmtId="181" fontId="7" fillId="23" borderId="109" xfId="2" applyNumberFormat="1" applyFont="1" applyFill="1" applyBorder="1" applyAlignment="1">
      <alignment horizontal="center" vertical="center"/>
    </xf>
    <xf numFmtId="184" fontId="14" fillId="23" borderId="44" xfId="1" applyNumberFormat="1" applyFont="1" applyFill="1" applyBorder="1" applyAlignment="1">
      <alignment horizontal="center" vertical="center"/>
    </xf>
    <xf numFmtId="184" fontId="14" fillId="23" borderId="14" xfId="1" applyNumberFormat="1" applyFont="1" applyFill="1" applyBorder="1" applyAlignment="1">
      <alignment horizontal="center" vertical="center"/>
    </xf>
    <xf numFmtId="184" fontId="14" fillId="23" borderId="2" xfId="1" applyNumberFormat="1" applyFont="1" applyFill="1" applyBorder="1" applyAlignment="1">
      <alignment horizontal="center" vertical="center"/>
    </xf>
    <xf numFmtId="184" fontId="14" fillId="23" borderId="41" xfId="1" applyNumberFormat="1" applyFont="1" applyFill="1" applyBorder="1" applyAlignment="1">
      <alignment horizontal="center" vertical="center"/>
    </xf>
    <xf numFmtId="184" fontId="14" fillId="23" borderId="107" xfId="1" applyNumberFormat="1" applyFont="1" applyFill="1" applyBorder="1" applyAlignment="1">
      <alignment horizontal="center" vertical="center"/>
    </xf>
    <xf numFmtId="184" fontId="14" fillId="23" borderId="10" xfId="1" applyNumberFormat="1" applyFont="1" applyFill="1" applyBorder="1" applyAlignment="1">
      <alignment horizontal="center" vertical="center"/>
    </xf>
    <xf numFmtId="184" fontId="14" fillId="23" borderId="1" xfId="1" applyNumberFormat="1" applyFont="1" applyFill="1" applyBorder="1" applyAlignment="1">
      <alignment horizontal="center" vertical="center"/>
    </xf>
    <xf numFmtId="184" fontId="14" fillId="23" borderId="150" xfId="1" applyNumberFormat="1" applyFont="1" applyFill="1" applyBorder="1" applyAlignment="1">
      <alignment horizontal="center" vertical="center"/>
    </xf>
    <xf numFmtId="184" fontId="2" fillId="23" borderId="41" xfId="1" applyNumberFormat="1" applyFont="1" applyFill="1" applyBorder="1" applyAlignment="1">
      <alignment horizontal="center" vertical="center"/>
    </xf>
    <xf numFmtId="184" fontId="2" fillId="23" borderId="105" xfId="1" applyNumberFormat="1" applyFont="1" applyFill="1" applyBorder="1" applyAlignment="1">
      <alignment horizontal="center" vertical="center"/>
    </xf>
    <xf numFmtId="184" fontId="2" fillId="23" borderId="106" xfId="1" applyNumberFormat="1" applyFont="1" applyFill="1" applyBorder="1" applyAlignment="1">
      <alignment horizontal="center" vertical="center"/>
    </xf>
    <xf numFmtId="184" fontId="2" fillId="23" borderId="131" xfId="1" applyNumberFormat="1" applyFont="1" applyFill="1" applyBorder="1" applyAlignment="1">
      <alignment horizontal="center" vertical="center"/>
    </xf>
    <xf numFmtId="184" fontId="2" fillId="23" borderId="133" xfId="1" applyNumberFormat="1" applyFont="1" applyFill="1" applyBorder="1" applyAlignment="1">
      <alignment horizontal="center" vertical="center"/>
    </xf>
    <xf numFmtId="184" fontId="2" fillId="23" borderId="10" xfId="1" applyNumberFormat="1" applyFont="1" applyFill="1" applyBorder="1" applyAlignment="1">
      <alignment horizontal="center" vertical="center"/>
    </xf>
    <xf numFmtId="184" fontId="2" fillId="23" borderId="1" xfId="1" applyNumberFormat="1" applyFont="1" applyFill="1" applyBorder="1" applyAlignment="1">
      <alignment horizontal="center" vertical="center"/>
    </xf>
    <xf numFmtId="184" fontId="2" fillId="23" borderId="46" xfId="1" applyNumberFormat="1" applyFont="1" applyFill="1" applyBorder="1" applyAlignment="1">
      <alignment horizontal="center" vertical="center"/>
    </xf>
    <xf numFmtId="184" fontId="2" fillId="23" borderId="117" xfId="1" applyNumberFormat="1" applyFont="1" applyFill="1" applyBorder="1" applyAlignment="1">
      <alignment horizontal="center" vertical="center"/>
    </xf>
    <xf numFmtId="184" fontId="14" fillId="23" borderId="118" xfId="1" applyNumberFormat="1" applyFont="1" applyFill="1" applyBorder="1" applyAlignment="1">
      <alignment horizontal="center" vertical="center"/>
    </xf>
    <xf numFmtId="184" fontId="2" fillId="23" borderId="118" xfId="1" applyNumberFormat="1" applyFont="1" applyFill="1" applyBorder="1" applyAlignment="1">
      <alignment horizontal="center" vertical="center"/>
    </xf>
    <xf numFmtId="184" fontId="14" fillId="23" borderId="119" xfId="1" applyNumberFormat="1" applyFont="1" applyFill="1" applyBorder="1" applyAlignment="1">
      <alignment horizontal="center" vertical="center"/>
    </xf>
    <xf numFmtId="184" fontId="2" fillId="23" borderId="180" xfId="1" applyNumberFormat="1" applyFont="1" applyFill="1" applyBorder="1" applyAlignment="1">
      <alignment horizontal="center" vertical="center"/>
    </xf>
    <xf numFmtId="184" fontId="14" fillId="23" borderId="181" xfId="1" applyNumberFormat="1" applyFont="1" applyFill="1" applyBorder="1" applyAlignment="1">
      <alignment horizontal="center" vertical="center"/>
    </xf>
    <xf numFmtId="184" fontId="14" fillId="23" borderId="134" xfId="1" applyNumberFormat="1" applyFont="1" applyFill="1" applyBorder="1" applyAlignment="1">
      <alignment horizontal="center" vertical="center"/>
    </xf>
    <xf numFmtId="184" fontId="2" fillId="23" borderId="134" xfId="1" applyNumberFormat="1" applyFont="1" applyFill="1" applyBorder="1" applyAlignment="1">
      <alignment horizontal="center" vertical="center"/>
    </xf>
    <xf numFmtId="184" fontId="14" fillId="23" borderId="13" xfId="1" applyNumberFormat="1" applyFont="1" applyFill="1" applyBorder="1" applyAlignment="1">
      <alignment horizontal="center" vertical="center"/>
    </xf>
    <xf numFmtId="184" fontId="2" fillId="23" borderId="11" xfId="1" applyNumberFormat="1" applyFont="1" applyFill="1" applyBorder="1" applyAlignment="1">
      <alignment horizontal="center" vertical="center"/>
    </xf>
    <xf numFmtId="184" fontId="14" fillId="23" borderId="12" xfId="1" applyNumberFormat="1" applyFont="1" applyFill="1" applyBorder="1" applyAlignment="1">
      <alignment horizontal="center" vertical="center"/>
    </xf>
    <xf numFmtId="184" fontId="2" fillId="23" borderId="12" xfId="1" applyNumberFormat="1" applyFont="1" applyFill="1" applyBorder="1" applyAlignment="1">
      <alignment horizontal="center" vertical="center"/>
    </xf>
    <xf numFmtId="184" fontId="14" fillId="23" borderId="179" xfId="1" applyNumberFormat="1" applyFont="1" applyFill="1" applyBorder="1" applyAlignment="1">
      <alignment horizontal="center" vertical="center"/>
    </xf>
    <xf numFmtId="184" fontId="14" fillId="23" borderId="7" xfId="1" applyNumberFormat="1" applyFont="1" applyFill="1" applyBorder="1" applyAlignment="1">
      <alignment horizontal="center" vertical="center"/>
    </xf>
    <xf numFmtId="184" fontId="14" fillId="23" borderId="8" xfId="1" applyNumberFormat="1" applyFont="1" applyFill="1" applyBorder="1" applyAlignment="1">
      <alignment horizontal="center" vertical="center"/>
    </xf>
    <xf numFmtId="184" fontId="14" fillId="23" borderId="178" xfId="1" applyNumberFormat="1" applyFont="1" applyFill="1" applyBorder="1" applyAlignment="1">
      <alignment horizontal="center" vertical="center"/>
    </xf>
    <xf numFmtId="179" fontId="2" fillId="23" borderId="106" xfId="1" applyNumberFormat="1" applyFont="1" applyFill="1" applyBorder="1">
      <alignment vertical="center"/>
    </xf>
    <xf numFmtId="179" fontId="2" fillId="23" borderId="133" xfId="1" applyNumberFormat="1" applyFont="1" applyFill="1" applyBorder="1">
      <alignment vertical="center"/>
    </xf>
    <xf numFmtId="179" fontId="2" fillId="23" borderId="107" xfId="1" applyNumberFormat="1" applyFont="1" applyFill="1" applyBorder="1" applyAlignment="1">
      <alignment horizontal="center" vertical="center"/>
    </xf>
    <xf numFmtId="184" fontId="14" fillId="23" borderId="180" xfId="1" applyNumberFormat="1" applyFont="1" applyFill="1" applyBorder="1" applyAlignment="1">
      <alignment horizontal="center" vertical="center"/>
    </xf>
    <xf numFmtId="184" fontId="14" fillId="23" borderId="11" xfId="1" applyNumberFormat="1" applyFont="1" applyFill="1" applyBorder="1" applyAlignment="1">
      <alignment horizontal="center" vertical="center"/>
    </xf>
    <xf numFmtId="184" fontId="14" fillId="23" borderId="116" xfId="1" applyNumberFormat="1" applyFont="1" applyFill="1" applyBorder="1" applyAlignment="1">
      <alignment horizontal="center" vertical="center"/>
    </xf>
    <xf numFmtId="184" fontId="28" fillId="23" borderId="2" xfId="1" applyNumberFormat="1" applyFont="1" applyFill="1" applyBorder="1" applyAlignment="1">
      <alignment horizontal="center" vertical="center"/>
    </xf>
    <xf numFmtId="184" fontId="14" fillId="23" borderId="51" xfId="1" applyNumberFormat="1" applyFont="1" applyFill="1" applyBorder="1" applyAlignment="1">
      <alignment horizontal="center" vertical="center"/>
    </xf>
    <xf numFmtId="184" fontId="14" fillId="23" borderId="110" xfId="1" applyNumberFormat="1" applyFont="1" applyFill="1" applyBorder="1" applyAlignment="1">
      <alignment horizontal="center" vertical="center"/>
    </xf>
    <xf numFmtId="184" fontId="14" fillId="23" borderId="109" xfId="1" applyNumberFormat="1" applyFont="1" applyFill="1" applyBorder="1" applyAlignment="1">
      <alignment horizontal="center" vertical="center"/>
    </xf>
    <xf numFmtId="184" fontId="14" fillId="23" borderId="83" xfId="1" applyNumberFormat="1" applyFont="1" applyFill="1" applyBorder="1" applyAlignment="1">
      <alignment horizontal="center" vertical="center"/>
    </xf>
    <xf numFmtId="184" fontId="14" fillId="23" borderId="46" xfId="1" applyNumberFormat="1" applyFont="1" applyFill="1" applyBorder="1" applyAlignment="1">
      <alignment horizontal="center" vertical="center"/>
    </xf>
    <xf numFmtId="184" fontId="14" fillId="23" borderId="45" xfId="1" applyNumberFormat="1" applyFont="1" applyFill="1" applyBorder="1" applyAlignment="1">
      <alignment horizontal="center" vertical="center"/>
    </xf>
    <xf numFmtId="184" fontId="14" fillId="23" borderId="3" xfId="1" applyNumberFormat="1" applyFont="1" applyFill="1" applyBorder="1" applyAlignment="1">
      <alignment horizontal="center" vertical="center"/>
    </xf>
    <xf numFmtId="178" fontId="7" fillId="23" borderId="27" xfId="2" applyNumberFormat="1" applyFont="1" applyFill="1" applyBorder="1" applyAlignment="1">
      <alignment horizontal="center" vertical="center"/>
    </xf>
    <xf numFmtId="178" fontId="7" fillId="23" borderId="11" xfId="2" applyNumberFormat="1" applyFont="1" applyFill="1" applyBorder="1" applyAlignment="1">
      <alignment horizontal="center" vertical="center"/>
    </xf>
    <xf numFmtId="180" fontId="19" fillId="23" borderId="15" xfId="0" applyNumberFormat="1" applyFont="1" applyFill="1" applyBorder="1" applyAlignment="1">
      <alignment horizontal="center" vertical="center"/>
    </xf>
    <xf numFmtId="180" fontId="16" fillId="23" borderId="114" xfId="0" applyNumberFormat="1" applyFont="1" applyFill="1" applyBorder="1" applyAlignment="1">
      <alignment horizontal="center" vertical="center"/>
    </xf>
    <xf numFmtId="180" fontId="16" fillId="23" borderId="115" xfId="0" applyNumberFormat="1" applyFont="1" applyFill="1" applyBorder="1" applyAlignment="1">
      <alignment horizontal="center" vertical="center"/>
    </xf>
    <xf numFmtId="180" fontId="16" fillId="23" borderId="116" xfId="0" applyNumberFormat="1" applyFont="1" applyFill="1" applyBorder="1" applyAlignment="1">
      <alignment horizontal="center" vertical="center"/>
    </xf>
    <xf numFmtId="180" fontId="16" fillId="23" borderId="7" xfId="0" applyNumberFormat="1" applyFont="1" applyFill="1" applyBorder="1" applyAlignment="1">
      <alignment horizontal="center" vertical="center"/>
    </xf>
    <xf numFmtId="180" fontId="16" fillId="23" borderId="88" xfId="0" applyNumberFormat="1" applyFont="1" applyFill="1" applyBorder="1" applyAlignment="1">
      <alignment horizontal="center" vertical="center"/>
    </xf>
    <xf numFmtId="180" fontId="16" fillId="23" borderId="8" xfId="0" applyNumberFormat="1" applyFont="1" applyFill="1" applyBorder="1" applyAlignment="1">
      <alignment horizontal="center" vertical="center"/>
    </xf>
    <xf numFmtId="180" fontId="16" fillId="23" borderId="25" xfId="0" applyNumberFormat="1" applyFont="1" applyFill="1" applyBorder="1" applyAlignment="1">
      <alignment horizontal="center" vertical="center"/>
    </xf>
    <xf numFmtId="180" fontId="16" fillId="23" borderId="9" xfId="0" applyNumberFormat="1" applyFont="1" applyFill="1" applyBorder="1" applyAlignment="1">
      <alignment horizontal="center" vertical="center"/>
    </xf>
    <xf numFmtId="180" fontId="19" fillId="23" borderId="4" xfId="0" applyNumberFormat="1" applyFont="1" applyFill="1" applyBorder="1" applyAlignment="1">
      <alignment horizontal="center" vertical="center"/>
    </xf>
    <xf numFmtId="180" fontId="19" fillId="23" borderId="97" xfId="0" applyNumberFormat="1" applyFont="1" applyFill="1" applyBorder="1" applyAlignment="1">
      <alignment horizontal="center" vertical="center"/>
    </xf>
    <xf numFmtId="180" fontId="16" fillId="23" borderId="105" xfId="0" applyNumberFormat="1" applyFont="1" applyFill="1" applyBorder="1" applyAlignment="1">
      <alignment horizontal="center" vertical="center"/>
    </xf>
    <xf numFmtId="180" fontId="16" fillId="23" borderId="106" xfId="0" applyNumberFormat="1" applyFont="1" applyFill="1" applyBorder="1" applyAlignment="1">
      <alignment horizontal="center" vertical="center"/>
    </xf>
    <xf numFmtId="180" fontId="16" fillId="23" borderId="107" xfId="0" applyNumberFormat="1" applyFont="1" applyFill="1" applyBorder="1" applyAlignment="1">
      <alignment horizontal="center" vertical="center"/>
    </xf>
    <xf numFmtId="180" fontId="16" fillId="23" borderId="10" xfId="0" applyNumberFormat="1" applyFont="1" applyFill="1" applyBorder="1" applyAlignment="1">
      <alignment horizontal="center" vertical="center"/>
    </xf>
    <xf numFmtId="180" fontId="16" fillId="23" borderId="5" xfId="0" applyNumberFormat="1" applyFont="1" applyFill="1" applyBorder="1" applyAlignment="1">
      <alignment horizontal="center" vertical="center"/>
    </xf>
    <xf numFmtId="180" fontId="16" fillId="23" borderId="1" xfId="0" applyNumberFormat="1" applyFont="1" applyFill="1" applyBorder="1" applyAlignment="1">
      <alignment horizontal="center" vertical="center"/>
    </xf>
    <xf numFmtId="180" fontId="16" fillId="23" borderId="4" xfId="0" applyNumberFormat="1" applyFont="1" applyFill="1" applyBorder="1" applyAlignment="1">
      <alignment horizontal="center" vertical="center"/>
    </xf>
    <xf numFmtId="180" fontId="16" fillId="23" borderId="41" xfId="0" applyNumberFormat="1" applyFont="1" applyFill="1" applyBorder="1" applyAlignment="1">
      <alignment horizontal="center" vertical="center"/>
    </xf>
    <xf numFmtId="180" fontId="17" fillId="23" borderId="4" xfId="0" applyNumberFormat="1" applyFont="1" applyFill="1" applyBorder="1" applyAlignment="1">
      <alignment horizontal="center" vertical="center"/>
    </xf>
    <xf numFmtId="180" fontId="17" fillId="23" borderId="97" xfId="0" applyNumberFormat="1" applyFont="1" applyFill="1" applyBorder="1" applyAlignment="1">
      <alignment horizontal="center" vertical="center"/>
    </xf>
    <xf numFmtId="180" fontId="19" fillId="23" borderId="16" xfId="0" applyNumberFormat="1" applyFont="1" applyFill="1" applyBorder="1" applyAlignment="1">
      <alignment horizontal="center" vertical="center"/>
    </xf>
    <xf numFmtId="180" fontId="19" fillId="23" borderId="98" xfId="0" applyNumberFormat="1" applyFont="1" applyFill="1" applyBorder="1" applyAlignment="1">
      <alignment horizontal="center" vertical="center"/>
    </xf>
    <xf numFmtId="180" fontId="16" fillId="23" borderId="108" xfId="0" applyNumberFormat="1" applyFont="1" applyFill="1" applyBorder="1" applyAlignment="1">
      <alignment horizontal="center" vertical="center"/>
    </xf>
    <xf numFmtId="180" fontId="16" fillId="23" borderId="109" xfId="0" applyNumberFormat="1" applyFont="1" applyFill="1" applyBorder="1" applyAlignment="1">
      <alignment horizontal="center" vertical="center"/>
    </xf>
    <xf numFmtId="180" fontId="16" fillId="23" borderId="110" xfId="0" applyNumberFormat="1" applyFont="1" applyFill="1" applyBorder="1" applyAlignment="1">
      <alignment horizontal="center" vertical="center"/>
    </xf>
    <xf numFmtId="180" fontId="16" fillId="23" borderId="45" xfId="0" applyNumberFormat="1" applyFont="1" applyFill="1" applyBorder="1" applyAlignment="1">
      <alignment horizontal="center" vertical="center"/>
    </xf>
    <xf numFmtId="180" fontId="16" fillId="23" borderId="21" xfId="0" applyNumberFormat="1" applyFont="1" applyFill="1" applyBorder="1" applyAlignment="1">
      <alignment horizontal="center" vertical="center"/>
    </xf>
    <xf numFmtId="180" fontId="16" fillId="23" borderId="3" xfId="0" applyNumberFormat="1" applyFont="1" applyFill="1" applyBorder="1" applyAlignment="1">
      <alignment horizontal="center" vertical="center"/>
    </xf>
    <xf numFmtId="180" fontId="16" fillId="23" borderId="16" xfId="0" applyNumberFormat="1" applyFont="1" applyFill="1" applyBorder="1" applyAlignment="1">
      <alignment horizontal="center" vertical="center"/>
    </xf>
    <xf numFmtId="180" fontId="16" fillId="23" borderId="46" xfId="0" applyNumberFormat="1" applyFont="1" applyFill="1" applyBorder="1" applyAlignment="1">
      <alignment horizontal="center" vertical="center"/>
    </xf>
    <xf numFmtId="180" fontId="16" fillId="23" borderId="79" xfId="0" applyNumberFormat="1" applyFont="1" applyFill="1" applyBorder="1" applyAlignment="1">
      <alignment horizontal="center" vertical="center"/>
    </xf>
    <xf numFmtId="0" fontId="2" fillId="23" borderId="16" xfId="0" applyFont="1" applyFill="1" applyBorder="1" applyAlignment="1">
      <alignment horizontal="center" vertical="center"/>
    </xf>
    <xf numFmtId="0" fontId="2" fillId="23" borderId="98" xfId="0" applyFont="1" applyFill="1" applyBorder="1">
      <alignment vertical="center"/>
    </xf>
    <xf numFmtId="0" fontId="2" fillId="23" borderId="108" xfId="0" applyFont="1" applyFill="1" applyBorder="1">
      <alignment vertical="center"/>
    </xf>
    <xf numFmtId="0" fontId="2" fillId="23" borderId="109" xfId="0" applyFont="1" applyFill="1" applyBorder="1">
      <alignment vertical="center"/>
    </xf>
    <xf numFmtId="2" fontId="2" fillId="23" borderId="109" xfId="0" applyNumberFormat="1" applyFont="1" applyFill="1" applyBorder="1">
      <alignment vertical="center"/>
    </xf>
    <xf numFmtId="0" fontId="2" fillId="23" borderId="110" xfId="0" applyFont="1" applyFill="1" applyBorder="1">
      <alignment vertical="center"/>
    </xf>
    <xf numFmtId="0" fontId="2" fillId="23" borderId="45" xfId="0" applyFont="1" applyFill="1" applyBorder="1">
      <alignment vertical="center"/>
    </xf>
    <xf numFmtId="0" fontId="2" fillId="23" borderId="21" xfId="0" applyFont="1" applyFill="1" applyBorder="1">
      <alignment vertical="center"/>
    </xf>
    <xf numFmtId="0" fontId="2" fillId="23" borderId="16" xfId="0" applyFont="1" applyFill="1" applyBorder="1">
      <alignment vertical="center"/>
    </xf>
    <xf numFmtId="0" fontId="2" fillId="23" borderId="46" xfId="0" applyFont="1" applyFill="1" applyBorder="1">
      <alignment vertical="center"/>
    </xf>
    <xf numFmtId="0" fontId="2" fillId="23" borderId="3" xfId="0" applyFont="1" applyFill="1" applyBorder="1">
      <alignment vertical="center"/>
    </xf>
    <xf numFmtId="0" fontId="2" fillId="23" borderId="1" xfId="0" applyFont="1" applyFill="1" applyBorder="1">
      <alignment vertical="center"/>
    </xf>
    <xf numFmtId="0" fontId="2" fillId="23" borderId="41" xfId="0" applyFont="1" applyFill="1" applyBorder="1">
      <alignment vertical="center"/>
    </xf>
    <xf numFmtId="178" fontId="7" fillId="23" borderId="121" xfId="2" applyNumberFormat="1" applyFont="1" applyFill="1" applyBorder="1" applyAlignment="1">
      <alignment horizontal="center" vertical="center"/>
    </xf>
    <xf numFmtId="178" fontId="7" fillId="23" borderId="122" xfId="2" applyNumberFormat="1" applyFont="1" applyFill="1" applyBorder="1" applyAlignment="1">
      <alignment horizontal="center" vertical="center"/>
    </xf>
    <xf numFmtId="178" fontId="7" fillId="23" borderId="14" xfId="2" applyNumberFormat="1" applyFont="1" applyFill="1" applyBorder="1" applyAlignment="1">
      <alignment horizontal="center" vertical="center"/>
    </xf>
    <xf numFmtId="178" fontId="7" fillId="22" borderId="5" xfId="2" applyNumberFormat="1" applyFont="1" applyFill="1" applyBorder="1" applyAlignment="1">
      <alignment horizontal="center" vertical="center"/>
    </xf>
    <xf numFmtId="178" fontId="7" fillId="22" borderId="131" xfId="2" applyNumberFormat="1" applyFont="1" applyFill="1" applyBorder="1" applyAlignment="1">
      <alignment horizontal="center" vertical="center"/>
    </xf>
    <xf numFmtId="178" fontId="7" fillId="22" borderId="200" xfId="2" applyNumberFormat="1" applyFont="1" applyFill="1" applyBorder="1" applyAlignment="1">
      <alignment horizontal="center" vertical="center"/>
    </xf>
    <xf numFmtId="178" fontId="7" fillId="22" borderId="10" xfId="2" applyNumberFormat="1" applyFont="1" applyFill="1" applyBorder="1" applyAlignment="1">
      <alignment horizontal="center" vertical="center"/>
    </xf>
    <xf numFmtId="178" fontId="7" fillId="22" borderId="126" xfId="2" applyNumberFormat="1" applyFont="1" applyFill="1" applyBorder="1" applyAlignment="1">
      <alignment horizontal="center" vertical="center"/>
    </xf>
    <xf numFmtId="178" fontId="7" fillId="22" borderId="41" xfId="2" applyNumberFormat="1" applyFont="1" applyFill="1" applyBorder="1" applyAlignment="1">
      <alignment horizontal="center" vertical="center"/>
    </xf>
    <xf numFmtId="178" fontId="7" fillId="22" borderId="101" xfId="2" applyNumberFormat="1" applyFont="1" applyFill="1" applyBorder="1" applyAlignment="1">
      <alignment horizontal="center" vertical="center"/>
    </xf>
    <xf numFmtId="178" fontId="7" fillId="22" borderId="107" xfId="2" applyNumberFormat="1" applyFont="1" applyFill="1" applyBorder="1" applyAlignment="1">
      <alignment horizontal="center" vertical="center"/>
    </xf>
    <xf numFmtId="178" fontId="7" fillId="22" borderId="122" xfId="2" applyNumberFormat="1" applyFont="1" applyFill="1" applyBorder="1" applyAlignment="1">
      <alignment horizontal="center" vertical="center"/>
    </xf>
    <xf numFmtId="178" fontId="7" fillId="22" borderId="121" xfId="2" applyNumberFormat="1" applyFont="1" applyFill="1" applyBorder="1" applyAlignment="1">
      <alignment horizontal="center" vertical="center"/>
    </xf>
    <xf numFmtId="178" fontId="7" fillId="22" borderId="29" xfId="2" applyNumberFormat="1" applyFont="1" applyFill="1" applyBorder="1" applyAlignment="1">
      <alignment horizontal="center" vertical="center"/>
    </xf>
    <xf numFmtId="178" fontId="7" fillId="22" borderId="189" xfId="2" applyNumberFormat="1" applyFont="1" applyFill="1" applyBorder="1" applyAlignment="1">
      <alignment horizontal="center" vertical="center"/>
    </xf>
    <xf numFmtId="178" fontId="7" fillId="22" borderId="110" xfId="2" applyNumberFormat="1" applyFont="1" applyFill="1" applyBorder="1" applyAlignment="1">
      <alignment horizontal="center" vertical="center"/>
    </xf>
    <xf numFmtId="178" fontId="7" fillId="22" borderId="21" xfId="2" applyNumberFormat="1" applyFont="1" applyFill="1" applyBorder="1" applyAlignment="1">
      <alignment horizontal="center" vertical="center"/>
    </xf>
    <xf numFmtId="178" fontId="7" fillId="22" borderId="4" xfId="2" applyNumberFormat="1" applyFont="1" applyFill="1" applyBorder="1" applyAlignment="1">
      <alignment horizontal="center" vertical="center"/>
    </xf>
    <xf numFmtId="178" fontId="7" fillId="22" borderId="11" xfId="2" applyNumberFormat="1" applyFont="1" applyFill="1" applyBorder="1" applyAlignment="1">
      <alignment horizontal="center" vertical="center"/>
    </xf>
    <xf numFmtId="178" fontId="7" fillId="22" borderId="12" xfId="2" applyNumberFormat="1" applyFont="1" applyFill="1" applyBorder="1" applyAlignment="1">
      <alignment horizontal="center" vertical="center"/>
    </xf>
    <xf numFmtId="178" fontId="7" fillId="22" borderId="118" xfId="2" applyNumberFormat="1" applyFont="1" applyFill="1" applyBorder="1" applyAlignment="1">
      <alignment horizontal="center" vertical="center"/>
    </xf>
    <xf numFmtId="178" fontId="7" fillId="22" borderId="119" xfId="2" applyNumberFormat="1" applyFont="1" applyFill="1" applyBorder="1" applyAlignment="1">
      <alignment horizontal="center" vertical="center"/>
    </xf>
    <xf numFmtId="178" fontId="7" fillId="22" borderId="28" xfId="2" applyNumberFormat="1" applyFont="1" applyFill="1" applyBorder="1" applyAlignment="1">
      <alignment horizontal="center" vertical="center"/>
    </xf>
    <xf numFmtId="178" fontId="7" fillId="4" borderId="131" xfId="2" applyNumberFormat="1" applyFont="1" applyFill="1" applyBorder="1" applyAlignment="1">
      <alignment horizontal="center" vertical="center"/>
    </xf>
    <xf numFmtId="178" fontId="7" fillId="4" borderId="180" xfId="2" applyNumberFormat="1" applyFont="1" applyFill="1" applyBorder="1" applyAlignment="1">
      <alignment horizontal="center" vertical="center"/>
    </xf>
    <xf numFmtId="178" fontId="7" fillId="22" borderId="27" xfId="2" applyNumberFormat="1" applyFont="1" applyFill="1" applyBorder="1" applyAlignment="1">
      <alignment horizontal="center" vertical="center"/>
    </xf>
    <xf numFmtId="178" fontId="7" fillId="22" borderId="42" xfId="2" applyNumberFormat="1" applyFont="1" applyFill="1" applyBorder="1" applyAlignment="1">
      <alignment horizontal="center" vertical="center"/>
    </xf>
    <xf numFmtId="180" fontId="2" fillId="22" borderId="106" xfId="0" applyNumberFormat="1" applyFont="1" applyFill="1" applyBorder="1" applyAlignment="1">
      <alignment horizontal="center" vertical="center"/>
    </xf>
    <xf numFmtId="178" fontId="13" fillId="22" borderId="4" xfId="2" applyNumberFormat="1" applyFont="1" applyFill="1" applyBorder="1" applyAlignment="1">
      <alignment horizontal="center" vertical="center"/>
    </xf>
    <xf numFmtId="178" fontId="13" fillId="22" borderId="27" xfId="2" applyNumberFormat="1" applyFont="1" applyFill="1" applyBorder="1" applyAlignment="1">
      <alignment horizontal="center" vertical="center"/>
    </xf>
    <xf numFmtId="178" fontId="7" fillId="22" borderId="188" xfId="2" applyNumberFormat="1" applyFont="1" applyFill="1" applyBorder="1" applyAlignment="1">
      <alignment horizontal="center" vertical="center"/>
    </xf>
    <xf numFmtId="178" fontId="7" fillId="22" borderId="34" xfId="2" applyNumberFormat="1" applyFont="1" applyFill="1" applyBorder="1" applyAlignment="1">
      <alignment horizontal="center" vertical="center"/>
    </xf>
    <xf numFmtId="0" fontId="7" fillId="4" borderId="143" xfId="2" applyFont="1" applyFill="1" applyBorder="1" applyAlignment="1">
      <alignment horizontal="center" vertical="center"/>
    </xf>
    <xf numFmtId="186" fontId="7" fillId="4" borderId="144" xfId="2" applyNumberFormat="1" applyFont="1" applyFill="1" applyBorder="1" applyAlignment="1">
      <alignment horizontal="center" vertical="center"/>
    </xf>
    <xf numFmtId="0" fontId="2" fillId="21" borderId="14" xfId="0" applyFont="1" applyFill="1" applyBorder="1" applyAlignment="1">
      <alignment horizontal="left" vertical="center"/>
    </xf>
    <xf numFmtId="0" fontId="2" fillId="21" borderId="2" xfId="0" applyFont="1" applyFill="1" applyBorder="1" applyAlignment="1">
      <alignment horizontal="center" vertical="center"/>
    </xf>
    <xf numFmtId="0" fontId="2" fillId="21" borderId="44" xfId="0" applyFont="1" applyFill="1" applyBorder="1" applyAlignment="1">
      <alignment horizontal="center" vertical="center"/>
    </xf>
    <xf numFmtId="0" fontId="2" fillId="21" borderId="59" xfId="0" applyFont="1" applyFill="1" applyBorder="1" applyAlignment="1">
      <alignment horizontal="center" vertical="center"/>
    </xf>
    <xf numFmtId="0" fontId="6" fillId="2" borderId="103" xfId="2" applyFont="1" applyFill="1" applyBorder="1" applyAlignment="1">
      <alignment horizontal="center" vertical="center"/>
    </xf>
    <xf numFmtId="0" fontId="6" fillId="2" borderId="158" xfId="2" applyFont="1" applyFill="1" applyBorder="1" applyAlignment="1">
      <alignment horizontal="center" vertical="center"/>
    </xf>
    <xf numFmtId="0" fontId="7" fillId="0" borderId="19" xfId="2" applyFont="1" applyBorder="1" applyAlignment="1">
      <alignment horizontal="center" vertical="center"/>
    </xf>
    <xf numFmtId="0" fontId="7" fillId="24" borderId="137" xfId="2" applyFont="1" applyFill="1" applyBorder="1" applyAlignment="1">
      <alignment horizontal="center" vertical="center"/>
    </xf>
    <xf numFmtId="0" fontId="14" fillId="24" borderId="137" xfId="0" applyFont="1" applyFill="1" applyBorder="1" applyAlignment="1">
      <alignment horizontal="center" vertical="center"/>
    </xf>
    <xf numFmtId="186" fontId="7" fillId="24" borderId="136" xfId="2" applyNumberFormat="1" applyFont="1" applyFill="1" applyBorder="1" applyAlignment="1">
      <alignment horizontal="center" vertical="center"/>
    </xf>
    <xf numFmtId="186" fontId="7" fillId="24" borderId="58" xfId="2" applyNumberFormat="1" applyFont="1" applyFill="1" applyBorder="1" applyAlignment="1">
      <alignment horizontal="center" vertical="center"/>
    </xf>
    <xf numFmtId="0" fontId="7" fillId="24" borderId="141" xfId="2" applyFont="1" applyFill="1" applyBorder="1" applyAlignment="1">
      <alignment horizontal="center" vertical="center"/>
    </xf>
    <xf numFmtId="186" fontId="7" fillId="24" borderId="142" xfId="2" applyNumberFormat="1" applyFont="1" applyFill="1" applyBorder="1" applyAlignment="1">
      <alignment horizontal="center" vertical="center"/>
    </xf>
    <xf numFmtId="186" fontId="7" fillId="24" borderId="30" xfId="2" applyNumberFormat="1" applyFont="1" applyFill="1" applyBorder="1" applyAlignment="1">
      <alignment horizontal="center" vertical="center"/>
    </xf>
    <xf numFmtId="0" fontId="7" fillId="24" borderId="143" xfId="2" applyFont="1" applyFill="1" applyBorder="1" applyAlignment="1">
      <alignment horizontal="center" vertical="center"/>
    </xf>
    <xf numFmtId="186" fontId="7" fillId="24" borderId="144" xfId="2" applyNumberFormat="1" applyFont="1" applyFill="1" applyBorder="1" applyAlignment="1">
      <alignment horizontal="center" vertical="center"/>
    </xf>
    <xf numFmtId="186" fontId="7" fillId="24" borderId="59" xfId="2" applyNumberFormat="1" applyFont="1" applyFill="1" applyBorder="1" applyAlignment="1">
      <alignment horizontal="center" vertical="center"/>
    </xf>
    <xf numFmtId="178" fontId="7" fillId="23" borderId="120" xfId="2" applyNumberFormat="1" applyFont="1" applyFill="1" applyBorder="1" applyAlignment="1">
      <alignment horizontal="center" vertical="center"/>
    </xf>
    <xf numFmtId="186" fontId="7" fillId="24" borderId="140" xfId="2" applyNumberFormat="1" applyFont="1" applyFill="1" applyBorder="1" applyAlignment="1">
      <alignment horizontal="center" vertical="center"/>
    </xf>
    <xf numFmtId="186" fontId="7" fillId="24" borderId="31" xfId="2" applyNumberFormat="1" applyFont="1" applyFill="1" applyBorder="1" applyAlignment="1">
      <alignment horizontal="center" vertical="center"/>
    </xf>
    <xf numFmtId="180" fontId="2" fillId="4" borderId="45" xfId="0" applyNumberFormat="1" applyFont="1" applyFill="1" applyBorder="1" applyAlignment="1">
      <alignment horizontal="center" vertical="center"/>
    </xf>
    <xf numFmtId="178" fontId="7" fillId="23" borderId="51" xfId="2" applyNumberFormat="1" applyFont="1" applyFill="1" applyBorder="1" applyAlignment="1">
      <alignment horizontal="center" vertical="center"/>
    </xf>
    <xf numFmtId="178" fontId="7" fillId="23" borderId="196" xfId="2" applyNumberFormat="1" applyFont="1" applyFill="1" applyBorder="1" applyAlignment="1">
      <alignment horizontal="center" vertical="center"/>
    </xf>
    <xf numFmtId="179" fontId="2" fillId="0" borderId="61" xfId="1" applyNumberFormat="1" applyFont="1" applyFill="1" applyBorder="1">
      <alignment vertical="center"/>
    </xf>
    <xf numFmtId="179" fontId="2" fillId="4" borderId="14" xfId="1" applyNumberFormat="1" applyFont="1" applyFill="1" applyBorder="1">
      <alignment vertical="center"/>
    </xf>
    <xf numFmtId="179" fontId="2" fillId="25" borderId="14" xfId="1" applyNumberFormat="1" applyFont="1" applyFill="1" applyBorder="1">
      <alignment vertical="center"/>
    </xf>
    <xf numFmtId="0" fontId="7" fillId="0" borderId="69" xfId="2" applyFont="1" applyBorder="1" applyAlignment="1">
      <alignment horizontal="center" vertical="center"/>
    </xf>
    <xf numFmtId="0" fontId="7" fillId="0" borderId="48" xfId="2" applyFont="1" applyBorder="1" applyAlignment="1">
      <alignment horizontal="center" vertical="center"/>
    </xf>
    <xf numFmtId="186" fontId="7" fillId="0" borderId="48" xfId="2" applyNumberFormat="1" applyFont="1" applyBorder="1" applyAlignment="1">
      <alignment horizontal="center" vertical="center"/>
    </xf>
    <xf numFmtId="186" fontId="7" fillId="0" borderId="69" xfId="2" applyNumberFormat="1" applyFont="1" applyBorder="1" applyAlignment="1">
      <alignment horizontal="center" vertical="center"/>
    </xf>
    <xf numFmtId="178" fontId="12" fillId="4" borderId="34" xfId="2" applyNumberFormat="1" applyFont="1" applyFill="1" applyBorder="1" applyAlignment="1">
      <alignment horizontal="center" vertical="center"/>
    </xf>
    <xf numFmtId="178" fontId="12" fillId="0" borderId="35" xfId="2" applyNumberFormat="1" applyFont="1" applyBorder="1" applyAlignment="1">
      <alignment horizontal="center" vertical="center"/>
    </xf>
    <xf numFmtId="179" fontId="2" fillId="0" borderId="202" xfId="1" applyNumberFormat="1" applyFont="1" applyBorder="1" applyAlignment="1">
      <alignment horizontal="center" vertical="center"/>
    </xf>
    <xf numFmtId="0" fontId="2" fillId="24" borderId="0" xfId="0" applyFont="1" applyFill="1">
      <alignment vertical="center"/>
    </xf>
    <xf numFmtId="0" fontId="7" fillId="24" borderId="58" xfId="2" applyFont="1" applyFill="1" applyBorder="1" applyAlignment="1">
      <alignment horizontal="center" vertical="center"/>
    </xf>
    <xf numFmtId="0" fontId="7" fillId="24" borderId="48" xfId="2" applyFont="1" applyFill="1" applyBorder="1" applyAlignment="1">
      <alignment horizontal="center" vertical="center"/>
    </xf>
    <xf numFmtId="186" fontId="7" fillId="24" borderId="190" xfId="2" applyNumberFormat="1" applyFont="1" applyFill="1" applyBorder="1" applyAlignment="1">
      <alignment horizontal="center" vertical="center"/>
    </xf>
    <xf numFmtId="178" fontId="12" fillId="24" borderId="34" xfId="2" applyNumberFormat="1" applyFont="1" applyFill="1" applyBorder="1" applyAlignment="1">
      <alignment horizontal="center" vertical="center"/>
    </xf>
    <xf numFmtId="178" fontId="12" fillId="24" borderId="35" xfId="2" applyNumberFormat="1" applyFont="1" applyFill="1" applyBorder="1" applyAlignment="1">
      <alignment horizontal="center" vertical="center"/>
    </xf>
    <xf numFmtId="178" fontId="7" fillId="24" borderId="2" xfId="2" applyNumberFormat="1" applyFont="1" applyFill="1" applyBorder="1" applyAlignment="1">
      <alignment horizontal="center" vertical="center"/>
    </xf>
    <xf numFmtId="178" fontId="7" fillId="24" borderId="4" xfId="2" applyNumberFormat="1" applyFont="1" applyFill="1" applyBorder="1" applyAlignment="1">
      <alignment horizontal="center" vertical="center"/>
    </xf>
    <xf numFmtId="178" fontId="12" fillId="24" borderId="6" xfId="2" applyNumberFormat="1" applyFont="1" applyFill="1" applyBorder="1" applyAlignment="1">
      <alignment horizontal="center" vertical="center"/>
    </xf>
    <xf numFmtId="178" fontId="7" fillId="24" borderId="101" xfId="2" applyNumberFormat="1" applyFont="1" applyFill="1" applyBorder="1" applyAlignment="1">
      <alignment horizontal="center" vertical="center"/>
    </xf>
    <xf numFmtId="178" fontId="12" fillId="24" borderId="195" xfId="2" applyNumberFormat="1" applyFont="1" applyFill="1" applyBorder="1" applyAlignment="1">
      <alignment horizontal="center" vertical="center"/>
    </xf>
    <xf numFmtId="178" fontId="12" fillId="24" borderId="188" xfId="2" applyNumberFormat="1" applyFont="1" applyFill="1" applyBorder="1" applyAlignment="1">
      <alignment horizontal="center" vertical="center"/>
    </xf>
    <xf numFmtId="178" fontId="12" fillId="24" borderId="189" xfId="2" applyNumberFormat="1" applyFont="1" applyFill="1" applyBorder="1" applyAlignment="1">
      <alignment horizontal="center" vertical="center"/>
    </xf>
    <xf numFmtId="178" fontId="12" fillId="24" borderId="61" xfId="2" applyNumberFormat="1" applyFont="1" applyFill="1" applyBorder="1" applyAlignment="1">
      <alignment horizontal="center" vertical="center"/>
    </xf>
    <xf numFmtId="178" fontId="12" fillId="24" borderId="0" xfId="2" applyNumberFormat="1" applyFont="1" applyFill="1" applyAlignment="1">
      <alignment horizontal="center" vertical="center"/>
    </xf>
    <xf numFmtId="178" fontId="12" fillId="24" borderId="79" xfId="2" applyNumberFormat="1" applyFont="1" applyFill="1" applyBorder="1" applyAlignment="1">
      <alignment horizontal="center" vertical="center"/>
    </xf>
    <xf numFmtId="0" fontId="2" fillId="24" borderId="35" xfId="0" applyFont="1" applyFill="1" applyBorder="1">
      <alignment vertical="center"/>
    </xf>
    <xf numFmtId="0" fontId="2" fillId="24" borderId="79" xfId="0" applyFont="1" applyFill="1" applyBorder="1">
      <alignment vertical="center"/>
    </xf>
    <xf numFmtId="179" fontId="2" fillId="24" borderId="14" xfId="1" applyNumberFormat="1" applyFont="1" applyFill="1" applyBorder="1">
      <alignment vertical="center"/>
    </xf>
    <xf numFmtId="0" fontId="7" fillId="24" borderId="52" xfId="2" applyFont="1" applyFill="1" applyBorder="1" applyAlignment="1">
      <alignment horizontal="center" vertical="center"/>
    </xf>
    <xf numFmtId="0" fontId="7" fillId="24" borderId="183" xfId="2" applyFont="1" applyFill="1" applyBorder="1" applyAlignment="1">
      <alignment horizontal="center" vertical="center"/>
    </xf>
    <xf numFmtId="186" fontId="7" fillId="24" borderId="1" xfId="2" applyNumberFormat="1" applyFont="1" applyFill="1" applyBorder="1" applyAlignment="1">
      <alignment horizontal="center" vertical="center"/>
    </xf>
    <xf numFmtId="178" fontId="7" fillId="24" borderId="1" xfId="2" applyNumberFormat="1" applyFont="1" applyFill="1" applyBorder="1" applyAlignment="1">
      <alignment horizontal="center" vertical="center"/>
    </xf>
    <xf numFmtId="181" fontId="7" fillId="24" borderId="1" xfId="2" applyNumberFormat="1" applyFont="1" applyFill="1" applyBorder="1" applyAlignment="1">
      <alignment horizontal="center" vertical="center"/>
    </xf>
    <xf numFmtId="178" fontId="7" fillId="24" borderId="10" xfId="2" applyNumberFormat="1" applyFont="1" applyFill="1" applyBorder="1" applyAlignment="1">
      <alignment horizontal="center" vertical="center"/>
    </xf>
    <xf numFmtId="178" fontId="7" fillId="24" borderId="41" xfId="2" applyNumberFormat="1" applyFont="1" applyFill="1" applyBorder="1" applyAlignment="1">
      <alignment horizontal="center" vertical="center"/>
    </xf>
    <xf numFmtId="178" fontId="7" fillId="24" borderId="5" xfId="2" applyNumberFormat="1" applyFont="1" applyFill="1" applyBorder="1" applyAlignment="1">
      <alignment horizontal="center" vertical="center"/>
    </xf>
    <xf numFmtId="178" fontId="7" fillId="0" borderId="110" xfId="2" applyNumberFormat="1" applyFont="1" applyBorder="1" applyAlignment="1">
      <alignment horizontal="center" vertical="center"/>
    </xf>
    <xf numFmtId="181" fontId="2" fillId="0" borderId="0" xfId="0" applyNumberFormat="1" applyFont="1">
      <alignment vertical="center"/>
    </xf>
    <xf numFmtId="179" fontId="2" fillId="0" borderId="0" xfId="1" applyNumberFormat="1" applyFont="1" applyBorder="1" applyAlignment="1">
      <alignment horizontal="center" vertical="center"/>
    </xf>
    <xf numFmtId="0" fontId="2" fillId="0" borderId="0" xfId="0" quotePrefix="1" applyFont="1">
      <alignment vertical="center"/>
    </xf>
    <xf numFmtId="0" fontId="14" fillId="0" borderId="0" xfId="0" applyFont="1">
      <alignment vertical="center"/>
    </xf>
    <xf numFmtId="0" fontId="40" fillId="26" borderId="43" xfId="2" applyFont="1" applyFill="1" applyBorder="1" applyAlignment="1">
      <alignment horizontal="center" vertical="center"/>
    </xf>
    <xf numFmtId="0" fontId="40" fillId="26" borderId="43" xfId="2" applyFont="1" applyFill="1" applyBorder="1">
      <alignment vertical="center"/>
    </xf>
    <xf numFmtId="0" fontId="40" fillId="26" borderId="204" xfId="2" applyFont="1" applyFill="1" applyBorder="1" applyAlignment="1">
      <alignment horizontal="center" vertical="center"/>
    </xf>
    <xf numFmtId="0" fontId="40" fillId="26" borderId="34" xfId="2" applyFont="1" applyFill="1" applyBorder="1" applyAlignment="1">
      <alignment horizontal="center" vertical="center"/>
    </xf>
    <xf numFmtId="0" fontId="40" fillId="26" borderId="6" xfId="2" applyFont="1" applyFill="1" applyBorder="1" applyAlignment="1">
      <alignment horizontal="center" vertical="center"/>
    </xf>
    <xf numFmtId="0" fontId="40" fillId="26" borderId="23" xfId="2" applyFont="1" applyFill="1" applyBorder="1" applyAlignment="1">
      <alignment horizontal="center" vertical="center"/>
    </xf>
    <xf numFmtId="0" fontId="40" fillId="26" borderId="34" xfId="2" applyFont="1" applyFill="1" applyBorder="1">
      <alignment vertical="center"/>
    </xf>
    <xf numFmtId="0" fontId="40" fillId="26" borderId="214" xfId="2" applyFont="1" applyFill="1" applyBorder="1" applyAlignment="1">
      <alignment horizontal="center" vertical="center"/>
    </xf>
    <xf numFmtId="0" fontId="41" fillId="27" borderId="1" xfId="2" applyFont="1" applyFill="1" applyBorder="1" applyAlignment="1">
      <alignment vertical="center" wrapText="1"/>
    </xf>
    <xf numFmtId="0" fontId="12" fillId="28" borderId="1" xfId="0" applyFont="1" applyFill="1" applyBorder="1" applyAlignment="1">
      <alignment horizontal="left" vertical="center"/>
    </xf>
    <xf numFmtId="0" fontId="12" fillId="29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187" fontId="41" fillId="0" borderId="1" xfId="1" applyNumberFormat="1" applyFont="1" applyFill="1" applyBorder="1" applyAlignment="1">
      <alignment vertical="center"/>
    </xf>
    <xf numFmtId="179" fontId="41" fillId="0" borderId="1" xfId="1" applyNumberFormat="1" applyFont="1" applyFill="1" applyBorder="1">
      <alignment vertical="center"/>
    </xf>
    <xf numFmtId="0" fontId="42" fillId="0" borderId="1" xfId="0" applyFont="1" applyBorder="1">
      <alignment vertical="center"/>
    </xf>
    <xf numFmtId="187" fontId="41" fillId="30" borderId="1" xfId="1" applyNumberFormat="1" applyFont="1" applyFill="1" applyBorder="1" applyAlignment="1">
      <alignment vertical="center"/>
    </xf>
    <xf numFmtId="0" fontId="12" fillId="0" borderId="1" xfId="0" applyFont="1" applyBorder="1" applyAlignment="1">
      <alignment horizontal="left" vertical="center"/>
    </xf>
    <xf numFmtId="0" fontId="18" fillId="0" borderId="0" xfId="0" applyFont="1">
      <alignment vertical="center"/>
    </xf>
    <xf numFmtId="187" fontId="41" fillId="29" borderId="1" xfId="1" applyNumberFormat="1" applyFont="1" applyFill="1" applyBorder="1" applyAlignment="1">
      <alignment vertical="center"/>
    </xf>
    <xf numFmtId="0" fontId="41" fillId="31" borderId="1" xfId="2" applyFont="1" applyFill="1" applyBorder="1" applyAlignment="1">
      <alignment horizontal="center" vertical="center"/>
    </xf>
    <xf numFmtId="187" fontId="41" fillId="32" borderId="1" xfId="1" applyNumberFormat="1" applyFont="1" applyFill="1" applyBorder="1" applyAlignment="1">
      <alignment vertical="center"/>
    </xf>
    <xf numFmtId="179" fontId="41" fillId="31" borderId="1" xfId="1" applyNumberFormat="1" applyFont="1" applyFill="1" applyBorder="1">
      <alignment vertical="center"/>
    </xf>
    <xf numFmtId="187" fontId="41" fillId="33" borderId="1" xfId="1" applyNumberFormat="1" applyFont="1" applyFill="1" applyBorder="1" applyAlignment="1">
      <alignment vertical="center"/>
    </xf>
    <xf numFmtId="0" fontId="12" fillId="29" borderId="1" xfId="0" applyFont="1" applyFill="1" applyBorder="1" applyAlignment="1">
      <alignment horizontal="left" vertical="center"/>
    </xf>
    <xf numFmtId="187" fontId="41" fillId="15" borderId="1" xfId="1" applyNumberFormat="1" applyFont="1" applyFill="1" applyBorder="1" applyAlignment="1">
      <alignment vertical="center"/>
    </xf>
    <xf numFmtId="0" fontId="12" fillId="34" borderId="1" xfId="0" applyFont="1" applyFill="1" applyBorder="1" applyAlignment="1">
      <alignment horizontal="left" vertical="center"/>
    </xf>
    <xf numFmtId="0" fontId="12" fillId="34" borderId="1" xfId="0" applyFont="1" applyFill="1" applyBorder="1" applyAlignment="1">
      <alignment horizontal="center" vertical="center"/>
    </xf>
    <xf numFmtId="187" fontId="41" fillId="34" borderId="1" xfId="1" applyNumberFormat="1" applyFont="1" applyFill="1" applyBorder="1" applyAlignment="1">
      <alignment vertical="center"/>
    </xf>
    <xf numFmtId="179" fontId="41" fillId="34" borderId="1" xfId="1" applyNumberFormat="1" applyFont="1" applyFill="1" applyBorder="1">
      <alignment vertical="center"/>
    </xf>
    <xf numFmtId="187" fontId="41" fillId="35" borderId="1" xfId="1" applyNumberFormat="1" applyFont="1" applyFill="1" applyBorder="1" applyAlignment="1">
      <alignment vertical="center"/>
    </xf>
    <xf numFmtId="0" fontId="41" fillId="34" borderId="1" xfId="0" applyFont="1" applyFill="1" applyBorder="1" applyAlignment="1">
      <alignment horizontal="left" vertical="center"/>
    </xf>
    <xf numFmtId="0" fontId="41" fillId="34" borderId="1" xfId="0" applyFont="1" applyFill="1" applyBorder="1" applyAlignment="1">
      <alignment horizontal="center" vertical="center"/>
    </xf>
    <xf numFmtId="0" fontId="41" fillId="36" borderId="1" xfId="0" applyFont="1" applyFill="1" applyBorder="1" applyAlignment="1">
      <alignment horizontal="center" vertical="center"/>
    </xf>
    <xf numFmtId="187" fontId="41" fillId="36" borderId="1" xfId="1" applyNumberFormat="1" applyFont="1" applyFill="1" applyBorder="1" applyAlignment="1">
      <alignment vertical="center"/>
    </xf>
    <xf numFmtId="179" fontId="41" fillId="36" borderId="1" xfId="1" applyNumberFormat="1" applyFont="1" applyFill="1" applyBorder="1">
      <alignment vertical="center"/>
    </xf>
    <xf numFmtId="0" fontId="41" fillId="32" borderId="1" xfId="0" applyFont="1" applyFill="1" applyBorder="1" applyAlignment="1">
      <alignment horizontal="center" vertical="center"/>
    </xf>
    <xf numFmtId="187" fontId="41" fillId="31" borderId="1" xfId="1" applyNumberFormat="1" applyFont="1" applyFill="1" applyBorder="1" applyAlignment="1">
      <alignment vertical="center"/>
    </xf>
    <xf numFmtId="179" fontId="41" fillId="32" borderId="1" xfId="1" applyNumberFormat="1" applyFont="1" applyFill="1" applyBorder="1">
      <alignment vertical="center"/>
    </xf>
    <xf numFmtId="0" fontId="41" fillId="36" borderId="1" xfId="2" applyFont="1" applyFill="1" applyBorder="1" applyAlignment="1">
      <alignment horizontal="center" vertical="center" wrapText="1"/>
    </xf>
    <xf numFmtId="0" fontId="41" fillId="32" borderId="1" xfId="2" applyFont="1" applyFill="1" applyBorder="1" applyAlignment="1">
      <alignment horizontal="center" vertical="center" wrapText="1"/>
    </xf>
    <xf numFmtId="187" fontId="43" fillId="32" borderId="1" xfId="1" applyNumberFormat="1" applyFont="1" applyFill="1" applyBorder="1" applyAlignment="1">
      <alignment vertical="center"/>
    </xf>
    <xf numFmtId="187" fontId="44" fillId="32" borderId="1" xfId="1" applyNumberFormat="1" applyFont="1" applyFill="1" applyBorder="1" applyAlignment="1">
      <alignment vertical="center"/>
    </xf>
    <xf numFmtId="0" fontId="42" fillId="34" borderId="1" xfId="0" applyFont="1" applyFill="1" applyBorder="1">
      <alignment vertical="center"/>
    </xf>
    <xf numFmtId="187" fontId="43" fillId="34" borderId="1" xfId="1" applyNumberFormat="1" applyFont="1" applyFill="1" applyBorder="1" applyAlignment="1">
      <alignment vertical="center"/>
    </xf>
    <xf numFmtId="187" fontId="44" fillId="34" borderId="1" xfId="1" applyNumberFormat="1" applyFont="1" applyFill="1" applyBorder="1" applyAlignment="1">
      <alignment vertical="center"/>
    </xf>
    <xf numFmtId="191" fontId="43" fillId="34" borderId="1" xfId="1" applyNumberFormat="1" applyFont="1" applyFill="1" applyBorder="1" applyAlignment="1">
      <alignment vertical="center" wrapText="1"/>
    </xf>
    <xf numFmtId="0" fontId="42" fillId="0" borderId="0" xfId="2" applyFont="1">
      <alignment vertical="center"/>
    </xf>
    <xf numFmtId="0" fontId="42" fillId="0" borderId="0" xfId="2" applyFont="1" applyAlignment="1">
      <alignment horizontal="center" vertical="center"/>
    </xf>
    <xf numFmtId="177" fontId="42" fillId="0" borderId="0" xfId="2" applyNumberFormat="1" applyFont="1">
      <alignment vertical="center"/>
    </xf>
    <xf numFmtId="0" fontId="42" fillId="0" borderId="0" xfId="0" applyFont="1">
      <alignment vertical="center"/>
    </xf>
    <xf numFmtId="0" fontId="45" fillId="0" borderId="0" xfId="2" applyFont="1">
      <alignment vertical="center"/>
    </xf>
    <xf numFmtId="0" fontId="45" fillId="0" borderId="0" xfId="2" applyFont="1" applyAlignment="1">
      <alignment horizontal="center" vertical="center"/>
    </xf>
    <xf numFmtId="0" fontId="12" fillId="27" borderId="1" xfId="0" applyFont="1" applyFill="1" applyBorder="1" applyAlignment="1">
      <alignment horizontal="center" vertical="center"/>
    </xf>
    <xf numFmtId="0" fontId="45" fillId="0" borderId="0" xfId="0" applyFont="1">
      <alignment vertical="center"/>
    </xf>
    <xf numFmtId="0" fontId="46" fillId="0" borderId="0" xfId="0" applyFont="1">
      <alignment vertical="center"/>
    </xf>
    <xf numFmtId="0" fontId="47" fillId="29" borderId="1" xfId="0" applyFont="1" applyFill="1" applyBorder="1" applyAlignment="1">
      <alignment horizontal="center" vertical="center"/>
    </xf>
    <xf numFmtId="184" fontId="12" fillId="0" borderId="1" xfId="0" applyNumberFormat="1" applyFont="1" applyBorder="1">
      <alignment vertical="center"/>
    </xf>
    <xf numFmtId="184" fontId="47" fillId="0" borderId="1" xfId="0" applyNumberFormat="1" applyFont="1" applyBorder="1">
      <alignment vertical="center"/>
    </xf>
    <xf numFmtId="179" fontId="45" fillId="0" borderId="0" xfId="0" applyNumberFormat="1" applyFont="1">
      <alignment vertical="center"/>
    </xf>
    <xf numFmtId="0" fontId="47" fillId="37" borderId="1" xfId="0" applyFont="1" applyFill="1" applyBorder="1" applyAlignment="1">
      <alignment horizontal="center" vertical="center"/>
    </xf>
    <xf numFmtId="184" fontId="47" fillId="37" borderId="1" xfId="0" applyNumberFormat="1" applyFont="1" applyFill="1" applyBorder="1">
      <alignment vertical="center"/>
    </xf>
    <xf numFmtId="179" fontId="2" fillId="0" borderId="0" xfId="0" applyNumberFormat="1" applyFont="1">
      <alignment vertical="center"/>
    </xf>
    <xf numFmtId="179" fontId="2" fillId="0" borderId="0" xfId="1" quotePrefix="1" applyNumberFormat="1" applyFont="1" applyBorder="1" applyAlignment="1">
      <alignment horizontal="center" vertical="center"/>
    </xf>
    <xf numFmtId="179" fontId="2" fillId="11" borderId="0" xfId="1" applyNumberFormat="1" applyFont="1" applyFill="1" applyBorder="1" applyAlignment="1">
      <alignment horizontal="center" vertical="center"/>
    </xf>
    <xf numFmtId="179" fontId="2" fillId="0" borderId="0" xfId="1" applyNumberFormat="1" applyFont="1" applyFill="1" applyBorder="1" applyAlignment="1">
      <alignment horizontal="center" vertical="center"/>
    </xf>
    <xf numFmtId="187" fontId="2" fillId="0" borderId="0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179" fontId="26" fillId="0" borderId="0" xfId="1" applyNumberFormat="1" applyFont="1" applyBorder="1" applyAlignment="1">
      <alignment horizontal="center" vertical="center"/>
    </xf>
    <xf numFmtId="181" fontId="2" fillId="0" borderId="0" xfId="0" applyNumberFormat="1" applyFont="1" applyAlignment="1">
      <alignment horizontal="center" vertical="center"/>
    </xf>
    <xf numFmtId="192" fontId="0" fillId="4" borderId="0" xfId="0" applyNumberFormat="1" applyFill="1">
      <alignment vertical="center"/>
    </xf>
    <xf numFmtId="192" fontId="2" fillId="4" borderId="0" xfId="0" applyNumberFormat="1" applyFont="1" applyFill="1">
      <alignment vertical="center"/>
    </xf>
    <xf numFmtId="0" fontId="17" fillId="4" borderId="1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center" vertical="center"/>
    </xf>
    <xf numFmtId="186" fontId="2" fillId="3" borderId="194" xfId="0" applyNumberFormat="1" applyFont="1" applyFill="1" applyBorder="1" applyAlignment="1">
      <alignment horizontal="center" vertical="center"/>
    </xf>
    <xf numFmtId="186" fontId="7" fillId="3" borderId="190" xfId="2" applyNumberFormat="1" applyFont="1" applyFill="1" applyBorder="1" applyAlignment="1">
      <alignment horizontal="center" vertical="center"/>
    </xf>
    <xf numFmtId="0" fontId="14" fillId="4" borderId="75" xfId="0" applyFont="1" applyFill="1" applyBorder="1" applyAlignment="1">
      <alignment horizontal="center" vertical="center"/>
    </xf>
    <xf numFmtId="0" fontId="14" fillId="4" borderId="19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2" fillId="0" borderId="12" xfId="0" applyFont="1" applyBorder="1" applyAlignment="1">
      <alignment horizontal="center" vertical="center"/>
    </xf>
    <xf numFmtId="0" fontId="41" fillId="0" borderId="12" xfId="0" applyFont="1" applyBorder="1" applyAlignment="1">
      <alignment horizontal="center" vertical="center"/>
    </xf>
    <xf numFmtId="186" fontId="14" fillId="4" borderId="58" xfId="0" applyNumberFormat="1" applyFont="1" applyFill="1" applyBorder="1" applyAlignment="1">
      <alignment horizontal="center" vertical="center"/>
    </xf>
    <xf numFmtId="186" fontId="7" fillId="4" borderId="32" xfId="2" applyNumberFormat="1" applyFont="1" applyFill="1" applyBorder="1" applyAlignment="1">
      <alignment horizontal="center" vertical="center"/>
    </xf>
    <xf numFmtId="193" fontId="2" fillId="4" borderId="30" xfId="0" applyNumberFormat="1" applyFont="1" applyFill="1" applyBorder="1" applyAlignment="1">
      <alignment horizontal="center" vertical="center"/>
    </xf>
    <xf numFmtId="186" fontId="14" fillId="4" borderId="95" xfId="0" applyNumberFormat="1" applyFont="1" applyFill="1" applyBorder="1" applyAlignment="1">
      <alignment horizontal="center" vertical="center"/>
    </xf>
    <xf numFmtId="0" fontId="7" fillId="4" borderId="19" xfId="2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86" fontId="14" fillId="0" borderId="48" xfId="0" applyNumberFormat="1" applyFont="1" applyBorder="1" applyAlignment="1">
      <alignment horizontal="center" vertical="center"/>
    </xf>
    <xf numFmtId="179" fontId="2" fillId="0" borderId="29" xfId="1" applyNumberFormat="1" applyFont="1" applyFill="1" applyBorder="1">
      <alignment vertical="center"/>
    </xf>
    <xf numFmtId="178" fontId="12" fillId="23" borderId="108" xfId="2" applyNumberFormat="1" applyFont="1" applyFill="1" applyBorder="1" applyAlignment="1">
      <alignment horizontal="center" vertical="center"/>
    </xf>
    <xf numFmtId="178" fontId="7" fillId="4" borderId="188" xfId="2" applyNumberFormat="1" applyFont="1" applyFill="1" applyBorder="1" applyAlignment="1">
      <alignment horizontal="center" vertical="center"/>
    </xf>
    <xf numFmtId="178" fontId="12" fillId="23" borderId="109" xfId="2" applyNumberFormat="1" applyFont="1" applyFill="1" applyBorder="1" applyAlignment="1">
      <alignment horizontal="center" vertical="center"/>
    </xf>
    <xf numFmtId="178" fontId="12" fillId="23" borderId="110" xfId="2" applyNumberFormat="1" applyFont="1" applyFill="1" applyBorder="1" applyAlignment="1">
      <alignment horizontal="center" vertical="center"/>
    </xf>
    <xf numFmtId="178" fontId="12" fillId="23" borderId="45" xfId="2" applyNumberFormat="1" applyFont="1" applyFill="1" applyBorder="1" applyAlignment="1">
      <alignment horizontal="center" vertical="center"/>
    </xf>
    <xf numFmtId="178" fontId="12" fillId="23" borderId="21" xfId="2" applyNumberFormat="1" applyFont="1" applyFill="1" applyBorder="1" applyAlignment="1">
      <alignment horizontal="center" vertical="center"/>
    </xf>
    <xf numFmtId="178" fontId="12" fillId="23" borderId="51" xfId="2" applyNumberFormat="1" applyFont="1" applyFill="1" applyBorder="1" applyAlignment="1">
      <alignment horizontal="center" vertical="center"/>
    </xf>
    <xf numFmtId="178" fontId="12" fillId="23" borderId="16" xfId="2" applyNumberFormat="1" applyFont="1" applyFill="1" applyBorder="1" applyAlignment="1">
      <alignment horizontal="center" vertical="center"/>
    </xf>
    <xf numFmtId="178" fontId="12" fillId="23" borderId="46" xfId="2" applyNumberFormat="1" applyFont="1" applyFill="1" applyBorder="1" applyAlignment="1">
      <alignment horizontal="center" vertical="center"/>
    </xf>
    <xf numFmtId="178" fontId="12" fillId="23" borderId="3" xfId="2" applyNumberFormat="1" applyFont="1" applyFill="1" applyBorder="1" applyAlignment="1">
      <alignment horizontal="center" vertical="center"/>
    </xf>
    <xf numFmtId="178" fontId="12" fillId="23" borderId="1" xfId="2" applyNumberFormat="1" applyFont="1" applyFill="1" applyBorder="1" applyAlignment="1">
      <alignment horizontal="center" vertical="center"/>
    </xf>
    <xf numFmtId="179" fontId="2" fillId="0" borderId="69" xfId="1" applyNumberFormat="1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/>
    </xf>
    <xf numFmtId="179" fontId="2" fillId="0" borderId="5" xfId="1" applyNumberFormat="1" applyFont="1" applyBorder="1">
      <alignment vertical="center"/>
    </xf>
    <xf numFmtId="181" fontId="12" fillId="4" borderId="1" xfId="2" applyNumberFormat="1" applyFont="1" applyFill="1" applyBorder="1" applyAlignment="1">
      <alignment horizontal="center" vertical="center"/>
    </xf>
    <xf numFmtId="179" fontId="2" fillId="0" borderId="1" xfId="1" applyNumberFormat="1" applyFont="1" applyFill="1" applyBorder="1" applyAlignment="1">
      <alignment horizontal="center" vertical="center"/>
    </xf>
    <xf numFmtId="0" fontId="7" fillId="4" borderId="57" xfId="2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left" vertical="center"/>
    </xf>
    <xf numFmtId="0" fontId="2" fillId="4" borderId="27" xfId="0" applyFont="1" applyFill="1" applyBorder="1" applyAlignment="1">
      <alignment horizontal="center" vertical="center"/>
    </xf>
    <xf numFmtId="0" fontId="2" fillId="4" borderId="51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4" borderId="50" xfId="0" applyFont="1" applyFill="1" applyBorder="1" applyAlignment="1">
      <alignment horizontal="center" vertical="center"/>
    </xf>
    <xf numFmtId="186" fontId="14" fillId="0" borderId="31" xfId="0" applyNumberFormat="1" applyFont="1" applyBorder="1" applyAlignment="1">
      <alignment horizontal="center" vertical="center"/>
    </xf>
    <xf numFmtId="186" fontId="2" fillId="4" borderId="78" xfId="0" applyNumberFormat="1" applyFont="1" applyFill="1" applyBorder="1" applyAlignment="1">
      <alignment horizontal="center" vertical="center"/>
    </xf>
    <xf numFmtId="186" fontId="2" fillId="4" borderId="52" xfId="0" applyNumberFormat="1" applyFont="1" applyFill="1" applyBorder="1" applyAlignment="1">
      <alignment horizontal="center" vertical="center"/>
    </xf>
    <xf numFmtId="186" fontId="2" fillId="4" borderId="75" xfId="0" applyNumberFormat="1" applyFont="1" applyFill="1" applyBorder="1" applyAlignment="1">
      <alignment horizontal="center" vertical="center"/>
    </xf>
    <xf numFmtId="186" fontId="2" fillId="4" borderId="74" xfId="0" applyNumberFormat="1" applyFont="1" applyFill="1" applyBorder="1" applyAlignment="1">
      <alignment horizontal="center" vertical="center"/>
    </xf>
    <xf numFmtId="179" fontId="2" fillId="0" borderId="21" xfId="1" applyNumberFormat="1" applyFont="1" applyBorder="1">
      <alignment vertical="center"/>
    </xf>
    <xf numFmtId="2" fontId="27" fillId="15" borderId="2" xfId="0" applyNumberFormat="1" applyFont="1" applyFill="1" applyBorder="1">
      <alignment vertical="center"/>
    </xf>
    <xf numFmtId="2" fontId="2" fillId="0" borderId="0" xfId="0" applyNumberFormat="1" applyFont="1">
      <alignment vertical="center"/>
    </xf>
    <xf numFmtId="182" fontId="2" fillId="0" borderId="7" xfId="1" applyNumberFormat="1" applyFont="1" applyBorder="1">
      <alignment vertical="center"/>
    </xf>
    <xf numFmtId="182" fontId="2" fillId="0" borderId="64" xfId="1" applyNumberFormat="1" applyFont="1" applyBorder="1">
      <alignment vertical="center"/>
    </xf>
    <xf numFmtId="182" fontId="2" fillId="0" borderId="14" xfId="1" applyNumberFormat="1" applyFont="1" applyFill="1" applyBorder="1">
      <alignment vertical="center"/>
    </xf>
    <xf numFmtId="182" fontId="2" fillId="24" borderId="14" xfId="1" applyNumberFormat="1" applyFont="1" applyFill="1" applyBorder="1">
      <alignment vertical="center"/>
    </xf>
    <xf numFmtId="182" fontId="2" fillId="0" borderId="7" xfId="1" applyNumberFormat="1" applyFont="1" applyFill="1" applyBorder="1">
      <alignment vertical="center"/>
    </xf>
    <xf numFmtId="182" fontId="2" fillId="0" borderId="64" xfId="1" applyNumberFormat="1" applyFont="1" applyFill="1" applyBorder="1">
      <alignment vertical="center"/>
    </xf>
    <xf numFmtId="182" fontId="2" fillId="0" borderId="10" xfId="1" applyNumberFormat="1" applyFont="1" applyBorder="1">
      <alignment vertical="center"/>
    </xf>
    <xf numFmtId="182" fontId="2" fillId="4" borderId="14" xfId="1" applyNumberFormat="1" applyFont="1" applyFill="1" applyBorder="1">
      <alignment vertical="center"/>
    </xf>
    <xf numFmtId="178" fontId="12" fillId="23" borderId="5" xfId="2" applyNumberFormat="1" applyFont="1" applyFill="1" applyBorder="1" applyAlignment="1">
      <alignment horizontal="center" vertical="center"/>
    </xf>
    <xf numFmtId="178" fontId="12" fillId="23" borderId="179" xfId="2" applyNumberFormat="1" applyFont="1" applyFill="1" applyBorder="1" applyAlignment="1">
      <alignment horizontal="center" vertical="center"/>
    </xf>
    <xf numFmtId="178" fontId="12" fillId="23" borderId="181" xfId="2" applyNumberFormat="1" applyFont="1" applyFill="1" applyBorder="1" applyAlignment="1">
      <alignment horizontal="center" vertical="center"/>
    </xf>
    <xf numFmtId="178" fontId="12" fillId="4" borderId="21" xfId="2" applyNumberFormat="1" applyFont="1" applyFill="1" applyBorder="1" applyAlignment="1">
      <alignment horizontal="center" vertical="center"/>
    </xf>
    <xf numFmtId="178" fontId="7" fillId="11" borderId="215" xfId="2" applyNumberFormat="1" applyFont="1" applyFill="1" applyBorder="1" applyAlignment="1">
      <alignment horizontal="center" vertical="center"/>
    </xf>
    <xf numFmtId="178" fontId="7" fillId="11" borderId="65" xfId="2" applyNumberFormat="1" applyFont="1" applyFill="1" applyBorder="1" applyAlignment="1">
      <alignment horizontal="center" vertical="center"/>
    </xf>
    <xf numFmtId="179" fontId="2" fillId="4" borderId="10" xfId="1" applyNumberFormat="1" applyFont="1" applyFill="1" applyBorder="1">
      <alignment vertical="center"/>
    </xf>
    <xf numFmtId="182" fontId="2" fillId="4" borderId="10" xfId="1" applyNumberFormat="1" applyFont="1" applyFill="1" applyBorder="1">
      <alignment vertical="center"/>
    </xf>
    <xf numFmtId="178" fontId="7" fillId="4" borderId="119" xfId="2" applyNumberFormat="1" applyFont="1" applyFill="1" applyBorder="1" applyAlignment="1">
      <alignment horizontal="center" vertical="center"/>
    </xf>
    <xf numFmtId="182" fontId="2" fillId="4" borderId="29" xfId="1" applyNumberFormat="1" applyFont="1" applyFill="1" applyBorder="1">
      <alignment vertical="center"/>
    </xf>
    <xf numFmtId="182" fontId="2" fillId="4" borderId="11" xfId="1" applyNumberFormat="1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0" fillId="23" borderId="106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23" borderId="10" xfId="0" applyFont="1" applyFill="1" applyBorder="1" applyAlignment="1">
      <alignment horizontal="center" vertical="center"/>
    </xf>
    <xf numFmtId="0" fontId="10" fillId="23" borderId="5" xfId="0" applyFont="1" applyFill="1" applyBorder="1" applyAlignment="1">
      <alignment horizontal="center" vertical="center"/>
    </xf>
    <xf numFmtId="0" fontId="10" fillId="23" borderId="1" xfId="0" applyFont="1" applyFill="1" applyBorder="1" applyAlignment="1">
      <alignment horizontal="center" vertical="center"/>
    </xf>
    <xf numFmtId="0" fontId="10" fillId="23" borderId="4" xfId="0" applyFont="1" applyFill="1" applyBorder="1" applyAlignment="1">
      <alignment horizontal="center" vertical="center"/>
    </xf>
    <xf numFmtId="0" fontId="10" fillId="23" borderId="41" xfId="0" applyFont="1" applyFill="1" applyBorder="1" applyAlignment="1">
      <alignment horizontal="center" vertical="center"/>
    </xf>
    <xf numFmtId="0" fontId="2" fillId="23" borderId="2" xfId="0" applyFont="1" applyFill="1" applyBorder="1" applyAlignment="1">
      <alignment horizontal="center" vertical="center"/>
    </xf>
    <xf numFmtId="0" fontId="2" fillId="23" borderId="44" xfId="0" applyFont="1" applyFill="1" applyBorder="1" applyAlignment="1">
      <alignment horizontal="center" vertical="center"/>
    </xf>
    <xf numFmtId="0" fontId="2" fillId="23" borderId="12" xfId="0" applyFont="1" applyFill="1" applyBorder="1" applyAlignment="1">
      <alignment horizontal="center" vertical="center"/>
    </xf>
    <xf numFmtId="0" fontId="2" fillId="23" borderId="67" xfId="0" applyFont="1" applyFill="1" applyBorder="1" applyAlignment="1">
      <alignment horizontal="center" vertical="center"/>
    </xf>
    <xf numFmtId="187" fontId="41" fillId="0" borderId="1" xfId="1" applyNumberFormat="1" applyFont="1" applyFill="1" applyBorder="1" applyAlignment="1">
      <alignment horizontal="center" vertical="center"/>
    </xf>
    <xf numFmtId="187" fontId="41" fillId="4" borderId="1" xfId="1" applyNumberFormat="1" applyFont="1" applyFill="1" applyBorder="1" applyAlignment="1">
      <alignment horizontal="center" vertical="center"/>
    </xf>
    <xf numFmtId="187" fontId="41" fillId="40" borderId="1" xfId="1" applyNumberFormat="1" applyFont="1" applyFill="1" applyBorder="1" applyAlignment="1">
      <alignment horizontal="center" vertical="center"/>
    </xf>
    <xf numFmtId="187" fontId="41" fillId="3" borderId="1" xfId="1" applyNumberFormat="1" applyFont="1" applyFill="1" applyBorder="1" applyAlignment="1">
      <alignment horizontal="center" vertical="center"/>
    </xf>
    <xf numFmtId="187" fontId="41" fillId="0" borderId="8" xfId="1" applyNumberFormat="1" applyFont="1" applyFill="1" applyBorder="1" applyAlignment="1">
      <alignment horizontal="center" vertical="center"/>
    </xf>
    <xf numFmtId="187" fontId="41" fillId="29" borderId="1" xfId="1" applyNumberFormat="1" applyFont="1" applyFill="1" applyBorder="1" applyAlignment="1">
      <alignment horizontal="center" vertical="center"/>
    </xf>
    <xf numFmtId="187" fontId="41" fillId="39" borderId="1" xfId="1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187" fontId="41" fillId="39" borderId="3" xfId="1" applyNumberFormat="1" applyFont="1" applyFill="1" applyBorder="1" applyAlignment="1">
      <alignment horizontal="center" vertical="center"/>
    </xf>
    <xf numFmtId="187" fontId="41" fillId="4" borderId="3" xfId="1" applyNumberFormat="1" applyFont="1" applyFill="1" applyBorder="1" applyAlignment="1">
      <alignment horizontal="center" vertical="center"/>
    </xf>
    <xf numFmtId="179" fontId="2" fillId="23" borderId="106" xfId="1" applyNumberFormat="1" applyFont="1" applyFill="1" applyBorder="1" applyAlignment="1">
      <alignment horizontal="center" vertical="center"/>
    </xf>
    <xf numFmtId="179" fontId="2" fillId="23" borderId="133" xfId="1" applyNumberFormat="1" applyFont="1" applyFill="1" applyBorder="1" applyAlignment="1">
      <alignment horizontal="center" vertical="center"/>
    </xf>
    <xf numFmtId="178" fontId="2" fillId="11" borderId="72" xfId="0" applyNumberFormat="1" applyFont="1" applyFill="1" applyBorder="1" applyAlignment="1">
      <alignment horizontal="center" vertical="center"/>
    </xf>
    <xf numFmtId="178" fontId="2" fillId="11" borderId="22" xfId="0" applyNumberFormat="1" applyFont="1" applyFill="1" applyBorder="1" applyAlignment="1">
      <alignment horizontal="center" vertical="center"/>
    </xf>
    <xf numFmtId="178" fontId="2" fillId="11" borderId="111" xfId="0" applyNumberFormat="1" applyFont="1" applyFill="1" applyBorder="1" applyAlignment="1">
      <alignment horizontal="center" vertical="center"/>
    </xf>
    <xf numFmtId="178" fontId="2" fillId="11" borderId="112" xfId="0" applyNumberFormat="1" applyFont="1" applyFill="1" applyBorder="1" applyAlignment="1">
      <alignment horizontal="center" vertical="center"/>
    </xf>
    <xf numFmtId="178" fontId="2" fillId="11" borderId="113" xfId="0" applyNumberFormat="1" applyFont="1" applyFill="1" applyBorder="1" applyAlignment="1">
      <alignment horizontal="center" vertical="center"/>
    </xf>
    <xf numFmtId="178" fontId="2" fillId="11" borderId="47" xfId="0" applyNumberFormat="1" applyFont="1" applyFill="1" applyBorder="1" applyAlignment="1">
      <alignment horizontal="center" vertical="center"/>
    </xf>
    <xf numFmtId="178" fontId="2" fillId="11" borderId="73" xfId="0" applyNumberFormat="1" applyFont="1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23" borderId="98" xfId="0" applyFont="1" applyFill="1" applyBorder="1" applyAlignment="1">
      <alignment horizontal="center" vertical="center"/>
    </xf>
    <xf numFmtId="0" fontId="2" fillId="23" borderId="108" xfId="0" applyFont="1" applyFill="1" applyBorder="1" applyAlignment="1">
      <alignment horizontal="center" vertical="center"/>
    </xf>
    <xf numFmtId="0" fontId="2" fillId="23" borderId="109" xfId="0" applyFont="1" applyFill="1" applyBorder="1" applyAlignment="1">
      <alignment horizontal="center" vertical="center"/>
    </xf>
    <xf numFmtId="2" fontId="2" fillId="23" borderId="109" xfId="0" applyNumberFormat="1" applyFont="1" applyFill="1" applyBorder="1" applyAlignment="1">
      <alignment horizontal="center" vertical="center"/>
    </xf>
    <xf numFmtId="0" fontId="2" fillId="23" borderId="110" xfId="0" applyFont="1" applyFill="1" applyBorder="1" applyAlignment="1">
      <alignment horizontal="center" vertical="center"/>
    </xf>
    <xf numFmtId="0" fontId="2" fillId="23" borderId="45" xfId="0" applyFont="1" applyFill="1" applyBorder="1" applyAlignment="1">
      <alignment horizontal="center" vertical="center"/>
    </xf>
    <xf numFmtId="0" fontId="2" fillId="23" borderId="21" xfId="0" applyFont="1" applyFill="1" applyBorder="1" applyAlignment="1">
      <alignment horizontal="center" vertical="center"/>
    </xf>
    <xf numFmtId="0" fontId="2" fillId="23" borderId="46" xfId="0" applyFont="1" applyFill="1" applyBorder="1" applyAlignment="1">
      <alignment horizontal="center" vertical="center"/>
    </xf>
    <xf numFmtId="0" fontId="2" fillId="23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2" fillId="23" borderId="41" xfId="0" applyFont="1" applyFill="1" applyBorder="1" applyAlignment="1">
      <alignment horizontal="center" vertical="center"/>
    </xf>
    <xf numFmtId="0" fontId="2" fillId="11" borderId="72" xfId="0" applyFont="1" applyFill="1" applyBorder="1" applyAlignment="1">
      <alignment horizontal="center" vertical="center"/>
    </xf>
    <xf numFmtId="0" fontId="2" fillId="11" borderId="22" xfId="0" applyFont="1" applyFill="1" applyBorder="1" applyAlignment="1">
      <alignment horizontal="center" vertical="center"/>
    </xf>
    <xf numFmtId="0" fontId="2" fillId="11" borderId="111" xfId="0" applyFont="1" applyFill="1" applyBorder="1" applyAlignment="1">
      <alignment horizontal="center" vertical="center"/>
    </xf>
    <xf numFmtId="0" fontId="2" fillId="11" borderId="112" xfId="0" applyFont="1" applyFill="1" applyBorder="1" applyAlignment="1">
      <alignment horizontal="center" vertical="center"/>
    </xf>
    <xf numFmtId="0" fontId="2" fillId="11" borderId="113" xfId="0" applyFont="1" applyFill="1" applyBorder="1" applyAlignment="1">
      <alignment horizontal="center" vertical="center"/>
    </xf>
    <xf numFmtId="0" fontId="2" fillId="11" borderId="47" xfId="0" applyFont="1" applyFill="1" applyBorder="1" applyAlignment="1">
      <alignment horizontal="center" vertical="center"/>
    </xf>
    <xf numFmtId="0" fontId="2" fillId="11" borderId="73" xfId="0" applyFont="1" applyFill="1" applyBorder="1" applyAlignment="1">
      <alignment horizontal="center" vertical="center"/>
    </xf>
    <xf numFmtId="181" fontId="2" fillId="0" borderId="47" xfId="0" applyNumberFormat="1" applyFont="1" applyBorder="1" applyAlignment="1">
      <alignment horizontal="center" vertical="center"/>
    </xf>
    <xf numFmtId="181" fontId="2" fillId="3" borderId="22" xfId="0" applyNumberFormat="1" applyFont="1" applyFill="1" applyBorder="1" applyAlignment="1">
      <alignment horizontal="center" vertical="center"/>
    </xf>
    <xf numFmtId="181" fontId="2" fillId="3" borderId="111" xfId="0" applyNumberFormat="1" applyFont="1" applyFill="1" applyBorder="1" applyAlignment="1">
      <alignment horizontal="center" vertical="center"/>
    </xf>
    <xf numFmtId="181" fontId="2" fillId="3" borderId="112" xfId="0" applyNumberFormat="1" applyFont="1" applyFill="1" applyBorder="1" applyAlignment="1">
      <alignment horizontal="center" vertical="center"/>
    </xf>
    <xf numFmtId="181" fontId="2" fillId="3" borderId="113" xfId="0" applyNumberFormat="1" applyFont="1" applyFill="1" applyBorder="1" applyAlignment="1">
      <alignment horizontal="center" vertical="center"/>
    </xf>
    <xf numFmtId="181" fontId="2" fillId="3" borderId="47" xfId="0" applyNumberFormat="1" applyFont="1" applyFill="1" applyBorder="1" applyAlignment="1">
      <alignment horizontal="center" vertical="center"/>
    </xf>
    <xf numFmtId="181" fontId="2" fillId="3" borderId="72" xfId="0" applyNumberFormat="1" applyFont="1" applyFill="1" applyBorder="1" applyAlignment="1">
      <alignment horizontal="center" vertical="center"/>
    </xf>
    <xf numFmtId="181" fontId="2" fillId="3" borderId="73" xfId="0" applyNumberFormat="1" applyFont="1" applyFill="1" applyBorder="1" applyAlignment="1">
      <alignment horizontal="center" vertical="center"/>
    </xf>
    <xf numFmtId="190" fontId="0" fillId="0" borderId="0" xfId="0" applyNumberFormat="1" applyAlignment="1">
      <alignment horizontal="center" vertical="center"/>
    </xf>
    <xf numFmtId="178" fontId="7" fillId="3" borderId="42" xfId="2" applyNumberFormat="1" applyFont="1" applyFill="1" applyBorder="1" applyAlignment="1">
      <alignment horizontal="center" vertical="center"/>
    </xf>
    <xf numFmtId="2" fontId="0" fillId="4" borderId="1" xfId="0" applyNumberFormat="1" applyFill="1" applyBorder="1">
      <alignment vertical="center"/>
    </xf>
    <xf numFmtId="0" fontId="7" fillId="4" borderId="141" xfId="2" applyFont="1" applyFill="1" applyBorder="1" applyAlignment="1">
      <alignment horizontal="center" vertical="center"/>
    </xf>
    <xf numFmtId="186" fontId="7" fillId="4" borderId="142" xfId="2" applyNumberFormat="1" applyFont="1" applyFill="1" applyBorder="1" applyAlignment="1">
      <alignment horizontal="center" vertical="center"/>
    </xf>
    <xf numFmtId="186" fontId="7" fillId="4" borderId="30" xfId="2" applyNumberFormat="1" applyFont="1" applyFill="1" applyBorder="1" applyAlignment="1">
      <alignment horizontal="center" vertical="center"/>
    </xf>
    <xf numFmtId="182" fontId="2" fillId="0" borderId="5" xfId="1" applyNumberFormat="1" applyFont="1" applyBorder="1">
      <alignment vertical="center"/>
    </xf>
    <xf numFmtId="179" fontId="2" fillId="38" borderId="0" xfId="1" applyNumberFormat="1" applyFont="1" applyFill="1" applyBorder="1" applyAlignment="1">
      <alignment horizontal="center" vertical="center"/>
    </xf>
    <xf numFmtId="182" fontId="2" fillId="0" borderId="21" xfId="1" applyNumberFormat="1" applyFont="1" applyBorder="1">
      <alignment vertical="center"/>
    </xf>
    <xf numFmtId="182" fontId="2" fillId="0" borderId="88" xfId="1" applyNumberFormat="1" applyFont="1" applyBorder="1">
      <alignment vertical="center"/>
    </xf>
    <xf numFmtId="178" fontId="7" fillId="41" borderId="106" xfId="2" applyNumberFormat="1" applyFont="1" applyFill="1" applyBorder="1" applyAlignment="1">
      <alignment horizontal="center" vertical="center"/>
    </xf>
    <xf numFmtId="178" fontId="7" fillId="41" borderId="119" xfId="2" applyNumberFormat="1" applyFont="1" applyFill="1" applyBorder="1" applyAlignment="1">
      <alignment horizontal="center" vertical="center"/>
    </xf>
    <xf numFmtId="178" fontId="7" fillId="41" borderId="28" xfId="2" applyNumberFormat="1" applyFont="1" applyFill="1" applyBorder="1" applyAlignment="1">
      <alignment horizontal="center" vertical="center"/>
    </xf>
    <xf numFmtId="178" fontId="7" fillId="41" borderId="27" xfId="2" applyNumberFormat="1" applyFont="1" applyFill="1" applyBorder="1" applyAlignment="1">
      <alignment horizontal="center" vertical="center"/>
    </xf>
    <xf numFmtId="178" fontId="12" fillId="4" borderId="216" xfId="2" applyNumberFormat="1" applyFont="1" applyFill="1" applyBorder="1" applyAlignment="1">
      <alignment horizontal="center" vertical="center"/>
    </xf>
    <xf numFmtId="178" fontId="12" fillId="4" borderId="188" xfId="2" applyNumberFormat="1" applyFont="1" applyFill="1" applyBorder="1" applyAlignment="1">
      <alignment horizontal="center" vertical="center"/>
    </xf>
    <xf numFmtId="178" fontId="12" fillId="4" borderId="189" xfId="2" applyNumberFormat="1" applyFont="1" applyFill="1" applyBorder="1" applyAlignment="1">
      <alignment horizontal="center" vertical="center"/>
    </xf>
    <xf numFmtId="178" fontId="12" fillId="4" borderId="61" xfId="2" applyNumberFormat="1" applyFont="1" applyFill="1" applyBorder="1" applyAlignment="1">
      <alignment horizontal="center" vertical="center"/>
    </xf>
    <xf numFmtId="178" fontId="12" fillId="4" borderId="0" xfId="2" applyNumberFormat="1" applyFont="1" applyFill="1" applyAlignment="1">
      <alignment horizontal="center" vertical="center"/>
    </xf>
    <xf numFmtId="178" fontId="12" fillId="4" borderId="6" xfId="2" applyNumberFormat="1" applyFont="1" applyFill="1" applyBorder="1" applyAlignment="1">
      <alignment horizontal="center" vertical="center"/>
    </xf>
    <xf numFmtId="178" fontId="12" fillId="4" borderId="79" xfId="2" applyNumberFormat="1" applyFont="1" applyFill="1" applyBorder="1" applyAlignment="1">
      <alignment horizontal="center" vertical="center"/>
    </xf>
    <xf numFmtId="178" fontId="12" fillId="4" borderId="35" xfId="2" applyNumberFormat="1" applyFont="1" applyFill="1" applyBorder="1" applyAlignment="1">
      <alignment horizontal="center" vertical="center"/>
    </xf>
    <xf numFmtId="0" fontId="2" fillId="4" borderId="35" xfId="0" applyFont="1" applyFill="1" applyBorder="1" applyAlignment="1">
      <alignment horizontal="center" vertical="center"/>
    </xf>
    <xf numFmtId="0" fontId="2" fillId="4" borderId="79" xfId="0" applyFont="1" applyFill="1" applyBorder="1" applyAlignment="1">
      <alignment horizontal="center" vertical="center"/>
    </xf>
    <xf numFmtId="178" fontId="7" fillId="4" borderId="196" xfId="2" applyNumberFormat="1" applyFont="1" applyFill="1" applyBorder="1" applyAlignment="1">
      <alignment horizontal="center" vertical="center"/>
    </xf>
    <xf numFmtId="178" fontId="7" fillId="4" borderId="200" xfId="2" applyNumberFormat="1" applyFont="1" applyFill="1" applyBorder="1" applyAlignment="1">
      <alignment horizontal="center" vertical="center"/>
    </xf>
    <xf numFmtId="186" fontId="7" fillId="4" borderId="1" xfId="2" applyNumberFormat="1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/>
    </xf>
    <xf numFmtId="178" fontId="7" fillId="0" borderId="215" xfId="2" applyNumberFormat="1" applyFont="1" applyBorder="1" applyAlignment="1">
      <alignment horizontal="center" vertical="center"/>
    </xf>
    <xf numFmtId="178" fontId="7" fillId="17" borderId="217" xfId="2" applyNumberFormat="1" applyFont="1" applyFill="1" applyBorder="1" applyAlignment="1">
      <alignment horizontal="center" vertical="center"/>
    </xf>
    <xf numFmtId="178" fontId="7" fillId="3" borderId="35" xfId="2" applyNumberFormat="1" applyFont="1" applyFill="1" applyBorder="1" applyAlignment="1">
      <alignment horizontal="center" vertical="center"/>
    </xf>
    <xf numFmtId="178" fontId="7" fillId="22" borderId="196" xfId="2" applyNumberFormat="1" applyFont="1" applyFill="1" applyBorder="1" applyAlignment="1">
      <alignment horizontal="center" vertical="center"/>
    </xf>
    <xf numFmtId="178" fontId="12" fillId="4" borderId="5" xfId="2" applyNumberFormat="1" applyFont="1" applyFill="1" applyBorder="1" applyAlignment="1">
      <alignment horizontal="center" vertical="center"/>
    </xf>
    <xf numFmtId="186" fontId="7" fillId="11" borderId="218" xfId="2" applyNumberFormat="1" applyFont="1" applyFill="1" applyBorder="1">
      <alignment vertical="center"/>
    </xf>
    <xf numFmtId="186" fontId="7" fillId="11" borderId="68" xfId="2" applyNumberFormat="1" applyFont="1" applyFill="1" applyBorder="1">
      <alignment vertical="center"/>
    </xf>
    <xf numFmtId="186" fontId="7" fillId="0" borderId="8" xfId="2" applyNumberFormat="1" applyFont="1" applyBorder="1" applyAlignment="1">
      <alignment horizontal="center" vertical="center"/>
    </xf>
    <xf numFmtId="0" fontId="7" fillId="3" borderId="12" xfId="2" applyFont="1" applyFill="1" applyBorder="1" applyAlignment="1">
      <alignment horizontal="center" vertical="center"/>
    </xf>
    <xf numFmtId="186" fontId="7" fillId="3" borderId="12" xfId="2" applyNumberFormat="1" applyFont="1" applyFill="1" applyBorder="1" applyAlignment="1">
      <alignment horizontal="center" vertical="center"/>
    </xf>
    <xf numFmtId="178" fontId="22" fillId="0" borderId="11" xfId="2" applyNumberFormat="1" applyFont="1" applyBorder="1" applyAlignment="1">
      <alignment vertical="center" wrapText="1"/>
    </xf>
    <xf numFmtId="186" fontId="7" fillId="0" borderId="12" xfId="2" applyNumberFormat="1" applyFont="1" applyBorder="1" applyAlignment="1">
      <alignment horizontal="center" vertical="center"/>
    </xf>
    <xf numFmtId="186" fontId="7" fillId="0" borderId="13" xfId="2" applyNumberFormat="1" applyFont="1" applyBorder="1" applyAlignment="1">
      <alignment horizontal="center" vertical="center"/>
    </xf>
    <xf numFmtId="186" fontId="7" fillId="4" borderId="41" xfId="2" applyNumberFormat="1" applyFont="1" applyFill="1" applyBorder="1" applyAlignment="1">
      <alignment horizontal="center" vertical="center"/>
    </xf>
    <xf numFmtId="0" fontId="7" fillId="4" borderId="78" xfId="2" applyFont="1" applyFill="1" applyBorder="1" applyAlignment="1">
      <alignment horizontal="center" vertical="center"/>
    </xf>
    <xf numFmtId="186" fontId="7" fillId="4" borderId="59" xfId="2" applyNumberFormat="1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186" fontId="14" fillId="4" borderId="190" xfId="0" applyNumberFormat="1" applyFont="1" applyFill="1" applyBorder="1" applyAlignment="1">
      <alignment horizontal="center" vertical="center"/>
    </xf>
    <xf numFmtId="186" fontId="14" fillId="4" borderId="59" xfId="0" applyNumberFormat="1" applyFont="1" applyFill="1" applyBorder="1" applyAlignment="1">
      <alignment horizontal="center" vertical="center"/>
    </xf>
    <xf numFmtId="0" fontId="41" fillId="11" borderId="1" xfId="0" applyFont="1" applyFill="1" applyBorder="1" applyAlignment="1">
      <alignment horizontal="center" vertical="center"/>
    </xf>
    <xf numFmtId="0" fontId="2" fillId="11" borderId="58" xfId="0" applyFont="1" applyFill="1" applyBorder="1" applyAlignment="1">
      <alignment horizontal="center" vertical="center"/>
    </xf>
    <xf numFmtId="186" fontId="14" fillId="11" borderId="190" xfId="0" applyNumberFormat="1" applyFont="1" applyFill="1" applyBorder="1" applyAlignment="1">
      <alignment horizontal="center" vertical="center"/>
    </xf>
    <xf numFmtId="186" fontId="14" fillId="11" borderId="59" xfId="0" applyNumberFormat="1" applyFont="1" applyFill="1" applyBorder="1" applyAlignment="1">
      <alignment horizontal="center" vertical="center"/>
    </xf>
    <xf numFmtId="186" fontId="14" fillId="11" borderId="95" xfId="0" applyNumberFormat="1" applyFont="1" applyFill="1" applyBorder="1" applyAlignment="1">
      <alignment horizontal="center" vertical="center"/>
    </xf>
    <xf numFmtId="186" fontId="14" fillId="11" borderId="58" xfId="0" applyNumberFormat="1" applyFont="1" applyFill="1" applyBorder="1" applyAlignment="1">
      <alignment horizontal="center" vertical="center"/>
    </xf>
    <xf numFmtId="0" fontId="2" fillId="11" borderId="58" xfId="0" applyFont="1" applyFill="1" applyBorder="1" applyAlignment="1">
      <alignment horizontal="left" vertical="center"/>
    </xf>
    <xf numFmtId="0" fontId="2" fillId="42" borderId="182" xfId="0" applyFont="1" applyFill="1" applyBorder="1" applyAlignment="1">
      <alignment horizontal="center" vertical="center"/>
    </xf>
    <xf numFmtId="0" fontId="2" fillId="42" borderId="58" xfId="0" applyFont="1" applyFill="1" applyBorder="1" applyAlignment="1">
      <alignment horizontal="center" vertical="center"/>
    </xf>
    <xf numFmtId="186" fontId="14" fillId="42" borderId="95" xfId="0" applyNumberFormat="1" applyFont="1" applyFill="1" applyBorder="1" applyAlignment="1">
      <alignment horizontal="center" vertical="center"/>
    </xf>
    <xf numFmtId="186" fontId="14" fillId="42" borderId="58" xfId="0" applyNumberFormat="1" applyFont="1" applyFill="1" applyBorder="1" applyAlignment="1">
      <alignment horizontal="center" vertical="center"/>
    </xf>
    <xf numFmtId="0" fontId="41" fillId="42" borderId="1" xfId="0" applyFont="1" applyFill="1" applyBorder="1" applyAlignment="1">
      <alignment horizontal="center" vertical="center"/>
    </xf>
    <xf numFmtId="0" fontId="2" fillId="42" borderId="42" xfId="0" applyFont="1" applyFill="1" applyBorder="1" applyAlignment="1">
      <alignment horizontal="center" vertical="center"/>
    </xf>
    <xf numFmtId="186" fontId="2" fillId="42" borderId="58" xfId="0" applyNumberFormat="1" applyFont="1" applyFill="1" applyBorder="1" applyAlignment="1">
      <alignment horizontal="center" vertical="center"/>
    </xf>
    <xf numFmtId="186" fontId="2" fillId="42" borderId="52" xfId="0" applyNumberFormat="1" applyFont="1" applyFill="1" applyBorder="1" applyAlignment="1">
      <alignment horizontal="center" vertical="center"/>
    </xf>
    <xf numFmtId="0" fontId="14" fillId="42" borderId="135" xfId="0" applyFont="1" applyFill="1" applyBorder="1" applyAlignment="1">
      <alignment horizontal="center" vertical="center"/>
    </xf>
    <xf numFmtId="0" fontId="14" fillId="42" borderId="182" xfId="0" applyFont="1" applyFill="1" applyBorder="1" applyAlignment="1">
      <alignment horizontal="center" vertical="center"/>
    </xf>
    <xf numFmtId="0" fontId="2" fillId="42" borderId="49" xfId="0" applyFont="1" applyFill="1" applyBorder="1" applyAlignment="1">
      <alignment horizontal="center" vertical="center"/>
    </xf>
    <xf numFmtId="0" fontId="7" fillId="5" borderId="78" xfId="2" applyFont="1" applyFill="1" applyBorder="1" applyAlignment="1">
      <alignment horizontal="center" vertical="center"/>
    </xf>
    <xf numFmtId="178" fontId="7" fillId="3" borderId="126" xfId="2" applyNumberFormat="1" applyFont="1" applyFill="1" applyBorder="1" applyAlignment="1">
      <alignment horizontal="center" vertical="center"/>
    </xf>
    <xf numFmtId="0" fontId="7" fillId="4" borderId="83" xfId="2" applyFont="1" applyFill="1" applyBorder="1" applyAlignment="1">
      <alignment horizontal="center" vertical="center"/>
    </xf>
    <xf numFmtId="0" fontId="12" fillId="39" borderId="1" xfId="0" applyFont="1" applyFill="1" applyBorder="1" applyAlignment="1">
      <alignment horizontal="left" vertical="center"/>
    </xf>
    <xf numFmtId="0" fontId="12" fillId="39" borderId="10" xfId="0" applyFont="1" applyFill="1" applyBorder="1" applyAlignment="1">
      <alignment horizontal="left" vertical="center"/>
    </xf>
    <xf numFmtId="0" fontId="17" fillId="4" borderId="10" xfId="0" applyFont="1" applyFill="1" applyBorder="1" applyAlignment="1">
      <alignment horizontal="center" vertical="center"/>
    </xf>
    <xf numFmtId="0" fontId="12" fillId="39" borderId="7" xfId="0" applyFont="1" applyFill="1" applyBorder="1" applyAlignment="1">
      <alignment horizontal="left" vertical="center"/>
    </xf>
    <xf numFmtId="0" fontId="12" fillId="4" borderId="10" xfId="0" applyFont="1" applyFill="1" applyBorder="1" applyAlignment="1">
      <alignment horizontal="left" vertical="center"/>
    </xf>
    <xf numFmtId="0" fontId="12" fillId="39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41" fillId="39" borderId="10" xfId="0" applyFont="1" applyFill="1" applyBorder="1" applyAlignment="1">
      <alignment horizontal="left" vertical="center"/>
    </xf>
    <xf numFmtId="0" fontId="7" fillId="5" borderId="1" xfId="2" applyFont="1" applyFill="1" applyBorder="1" applyAlignment="1">
      <alignment horizontal="center" vertical="center"/>
    </xf>
    <xf numFmtId="0" fontId="7" fillId="5" borderId="52" xfId="2" applyFont="1" applyFill="1" applyBorder="1" applyAlignment="1">
      <alignment horizontal="center" vertical="center"/>
    </xf>
    <xf numFmtId="0" fontId="7" fillId="5" borderId="182" xfId="2" applyFont="1" applyFill="1" applyBorder="1" applyAlignment="1">
      <alignment horizontal="center" vertical="center"/>
    </xf>
    <xf numFmtId="0" fontId="2" fillId="5" borderId="58" xfId="0" applyFont="1" applyFill="1" applyBorder="1" applyAlignment="1">
      <alignment horizontal="center" vertical="center"/>
    </xf>
    <xf numFmtId="186" fontId="7" fillId="5" borderId="95" xfId="2" applyNumberFormat="1" applyFont="1" applyFill="1" applyBorder="1" applyAlignment="1">
      <alignment horizontal="center" vertical="center"/>
    </xf>
    <xf numFmtId="186" fontId="7" fillId="5" borderId="58" xfId="2" applyNumberFormat="1" applyFont="1" applyFill="1" applyBorder="1" applyAlignment="1">
      <alignment horizontal="center" vertical="center"/>
    </xf>
    <xf numFmtId="0" fontId="7" fillId="5" borderId="3" xfId="2" applyFont="1" applyFill="1" applyBorder="1" applyAlignment="1">
      <alignment horizontal="center" vertical="center"/>
    </xf>
    <xf numFmtId="0" fontId="14" fillId="5" borderId="58" xfId="0" applyFont="1" applyFill="1" applyBorder="1" applyAlignment="1">
      <alignment horizontal="center" vertical="center"/>
    </xf>
    <xf numFmtId="0" fontId="7" fillId="5" borderId="137" xfId="2" applyFont="1" applyFill="1" applyBorder="1" applyAlignment="1">
      <alignment horizontal="center" vertical="center"/>
    </xf>
    <xf numFmtId="0" fontId="2" fillId="5" borderId="141" xfId="0" applyFont="1" applyFill="1" applyBorder="1" applyAlignment="1">
      <alignment horizontal="center" vertical="center"/>
    </xf>
    <xf numFmtId="186" fontId="7" fillId="5" borderId="136" xfId="2" applyNumberFormat="1" applyFont="1" applyFill="1" applyBorder="1" applyAlignment="1">
      <alignment horizontal="center" vertical="center"/>
    </xf>
    <xf numFmtId="0" fontId="14" fillId="5" borderId="13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7" fillId="5" borderId="143" xfId="2" applyFont="1" applyFill="1" applyBorder="1" applyAlignment="1">
      <alignment horizontal="center" vertical="center"/>
    </xf>
    <xf numFmtId="186" fontId="7" fillId="5" borderId="142" xfId="2" applyNumberFormat="1" applyFont="1" applyFill="1" applyBorder="1" applyAlignment="1">
      <alignment horizontal="center" vertical="center"/>
    </xf>
    <xf numFmtId="186" fontId="7" fillId="5" borderId="59" xfId="2" applyNumberFormat="1" applyFont="1" applyFill="1" applyBorder="1" applyAlignment="1">
      <alignment horizontal="center" vertical="center"/>
    </xf>
    <xf numFmtId="186" fontId="7" fillId="5" borderId="1" xfId="2" applyNumberFormat="1" applyFont="1" applyFill="1" applyBorder="1" applyAlignment="1">
      <alignment horizontal="center" vertical="center"/>
    </xf>
    <xf numFmtId="186" fontId="7" fillId="5" borderId="41" xfId="2" applyNumberFormat="1" applyFont="1" applyFill="1" applyBorder="1" applyAlignment="1">
      <alignment horizontal="center" vertical="center"/>
    </xf>
    <xf numFmtId="0" fontId="12" fillId="43" borderId="1" xfId="0" applyFont="1" applyFill="1" applyBorder="1" applyAlignment="1">
      <alignment horizontal="center" vertical="center"/>
    </xf>
    <xf numFmtId="0" fontId="14" fillId="5" borderId="75" xfId="0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center" vertical="center"/>
    </xf>
    <xf numFmtId="0" fontId="2" fillId="5" borderId="52" xfId="0" applyFont="1" applyFill="1" applyBorder="1" applyAlignment="1">
      <alignment horizontal="center" vertical="center"/>
    </xf>
    <xf numFmtId="186" fontId="14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2" fillId="5" borderId="30" xfId="0" applyFont="1" applyFill="1" applyBorder="1" applyAlignment="1">
      <alignment horizontal="center" vertical="center"/>
    </xf>
    <xf numFmtId="186" fontId="14" fillId="5" borderId="30" xfId="0" applyNumberFormat="1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59" xfId="0" applyFont="1" applyFill="1" applyBorder="1" applyAlignment="1">
      <alignment horizontal="center" vertical="center"/>
    </xf>
    <xf numFmtId="0" fontId="2" fillId="5" borderId="33" xfId="0" applyFont="1" applyFill="1" applyBorder="1" applyAlignment="1">
      <alignment horizontal="center" vertical="center"/>
    </xf>
    <xf numFmtId="186" fontId="2" fillId="5" borderId="59" xfId="0" applyNumberFormat="1" applyFont="1" applyFill="1" applyBorder="1" applyAlignment="1">
      <alignment horizontal="center" vertical="center"/>
    </xf>
    <xf numFmtId="186" fontId="2" fillId="5" borderId="75" xfId="0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42" xfId="0" applyFont="1" applyFill="1" applyBorder="1" applyAlignment="1">
      <alignment horizontal="center" vertical="center"/>
    </xf>
    <xf numFmtId="186" fontId="2" fillId="5" borderId="58" xfId="0" applyNumberFormat="1" applyFont="1" applyFill="1" applyBorder="1" applyAlignment="1">
      <alignment horizontal="center" vertical="center"/>
    </xf>
    <xf numFmtId="186" fontId="2" fillId="5" borderId="5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44" xfId="0" applyFont="1" applyFill="1" applyBorder="1" applyAlignment="1">
      <alignment horizontal="center" vertical="center"/>
    </xf>
    <xf numFmtId="186" fontId="2" fillId="5" borderId="190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4" fillId="5" borderId="135" xfId="0" applyFont="1" applyFill="1" applyBorder="1" applyAlignment="1">
      <alignment horizontal="center" vertical="center"/>
    </xf>
    <xf numFmtId="0" fontId="17" fillId="5" borderId="41" xfId="0" applyFont="1" applyFill="1" applyBorder="1" applyAlignment="1">
      <alignment horizontal="center" vertical="center"/>
    </xf>
    <xf numFmtId="0" fontId="2" fillId="5" borderId="135" xfId="0" applyFont="1" applyFill="1" applyBorder="1" applyAlignment="1">
      <alignment horizontal="center" vertical="center"/>
    </xf>
    <xf numFmtId="186" fontId="2" fillId="5" borderId="136" xfId="0" applyNumberFormat="1" applyFont="1" applyFill="1" applyBorder="1" applyAlignment="1">
      <alignment horizontal="center" vertical="center"/>
    </xf>
    <xf numFmtId="0" fontId="2" fillId="5" borderId="41" xfId="0" applyFont="1" applyFill="1" applyBorder="1" applyAlignment="1">
      <alignment horizontal="center" vertical="center"/>
    </xf>
    <xf numFmtId="0" fontId="2" fillId="5" borderId="49" xfId="0" applyFont="1" applyFill="1" applyBorder="1" applyAlignment="1">
      <alignment horizontal="center" vertical="center"/>
    </xf>
    <xf numFmtId="0" fontId="7" fillId="4" borderId="186" xfId="2" applyFont="1" applyFill="1" applyBorder="1" applyAlignment="1">
      <alignment horizontal="center" vertical="center"/>
    </xf>
    <xf numFmtId="178" fontId="7" fillId="3" borderId="120" xfId="2" applyNumberFormat="1" applyFont="1" applyFill="1" applyBorder="1" applyAlignment="1">
      <alignment horizontal="center" vertical="center"/>
    </xf>
    <xf numFmtId="178" fontId="7" fillId="3" borderId="121" xfId="2" applyNumberFormat="1" applyFont="1" applyFill="1" applyBorder="1" applyAlignment="1">
      <alignment horizontal="center" vertical="center"/>
    </xf>
    <xf numFmtId="0" fontId="7" fillId="3" borderId="183" xfId="2" applyFont="1" applyFill="1" applyBorder="1" applyAlignment="1">
      <alignment horizontal="center" vertical="center"/>
    </xf>
    <xf numFmtId="0" fontId="14" fillId="3" borderId="185" xfId="0" applyFont="1" applyFill="1" applyBorder="1" applyAlignment="1">
      <alignment horizontal="center" vertical="center"/>
    </xf>
    <xf numFmtId="0" fontId="30" fillId="2" borderId="34" xfId="2" applyFont="1" applyFill="1" applyBorder="1" applyAlignment="1">
      <alignment horizontal="center" vertical="center"/>
    </xf>
    <xf numFmtId="0" fontId="30" fillId="2" borderId="29" xfId="2" applyFont="1" applyFill="1" applyBorder="1" applyAlignment="1">
      <alignment horizontal="center" vertical="center"/>
    </xf>
    <xf numFmtId="0" fontId="30" fillId="2" borderId="15" xfId="2" applyFont="1" applyFill="1" applyBorder="1" applyAlignment="1">
      <alignment horizontal="center" vertical="center"/>
    </xf>
    <xf numFmtId="0" fontId="30" fillId="2" borderId="33" xfId="2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8" fillId="8" borderId="1" xfId="2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center" vertical="center"/>
    </xf>
    <xf numFmtId="0" fontId="6" fillId="2" borderId="165" xfId="2" applyFont="1" applyFill="1" applyBorder="1" applyAlignment="1">
      <alignment horizontal="center" vertical="center"/>
    </xf>
    <xf numFmtId="0" fontId="6" fillId="2" borderId="20" xfId="2" applyFont="1" applyFill="1" applyBorder="1" applyAlignment="1">
      <alignment horizontal="center" vertical="center"/>
    </xf>
    <xf numFmtId="0" fontId="6" fillId="2" borderId="165" xfId="2" applyFont="1" applyFill="1" applyBorder="1" applyAlignment="1">
      <alignment horizontal="center" vertical="center" wrapText="1"/>
    </xf>
    <xf numFmtId="0" fontId="7" fillId="4" borderId="10" xfId="2" applyFont="1" applyFill="1" applyBorder="1" applyAlignment="1">
      <alignment horizontal="center" vertical="center" wrapText="1"/>
    </xf>
    <xf numFmtId="0" fontId="7" fillId="4" borderId="10" xfId="2" applyFont="1" applyFill="1" applyBorder="1" applyAlignment="1">
      <alignment horizontal="center" vertical="center"/>
    </xf>
    <xf numFmtId="0" fontId="7" fillId="4" borderId="17" xfId="2" applyFont="1" applyFill="1" applyBorder="1" applyAlignment="1">
      <alignment horizontal="center" vertical="center" wrapText="1"/>
    </xf>
    <xf numFmtId="0" fontId="7" fillId="4" borderId="19" xfId="2" applyFont="1" applyFill="1" applyBorder="1" applyAlignment="1">
      <alignment horizontal="center" vertical="center" wrapText="1"/>
    </xf>
    <xf numFmtId="0" fontId="6" fillId="2" borderId="159" xfId="2" applyFont="1" applyFill="1" applyBorder="1" applyAlignment="1">
      <alignment horizontal="center" vertical="center"/>
    </xf>
    <xf numFmtId="0" fontId="6" fillId="2" borderId="104" xfId="2" applyFont="1" applyFill="1" applyBorder="1" applyAlignment="1">
      <alignment horizontal="center" vertical="center"/>
    </xf>
    <xf numFmtId="0" fontId="6" fillId="2" borderId="103" xfId="2" applyFont="1" applyFill="1" applyBorder="1" applyAlignment="1">
      <alignment horizontal="center" vertical="center"/>
    </xf>
    <xf numFmtId="0" fontId="6" fillId="2" borderId="158" xfId="2" applyFont="1" applyFill="1" applyBorder="1" applyAlignment="1">
      <alignment horizontal="center" vertical="center"/>
    </xf>
    <xf numFmtId="0" fontId="6" fillId="2" borderId="163" xfId="2" applyFont="1" applyFill="1" applyBorder="1" applyAlignment="1">
      <alignment horizontal="center" vertical="center"/>
    </xf>
    <xf numFmtId="0" fontId="7" fillId="0" borderId="45" xfId="2" applyFont="1" applyBorder="1" applyAlignment="1">
      <alignment horizontal="left" vertical="center" wrapText="1"/>
    </xf>
    <xf numFmtId="0" fontId="7" fillId="0" borderId="61" xfId="2" applyFont="1" applyBorder="1" applyAlignment="1">
      <alignment horizontal="left" vertical="center" wrapText="1"/>
    </xf>
    <xf numFmtId="0" fontId="7" fillId="0" borderId="14" xfId="2" applyFont="1" applyBorder="1" applyAlignment="1">
      <alignment horizontal="left" vertical="center" wrapText="1"/>
    </xf>
    <xf numFmtId="178" fontId="22" fillId="0" borderId="7" xfId="2" applyNumberFormat="1" applyFont="1" applyBorder="1" applyAlignment="1">
      <alignment horizontal="left" vertical="center" wrapText="1"/>
    </xf>
    <xf numFmtId="178" fontId="22" fillId="0" borderId="10" xfId="2" applyNumberFormat="1" applyFont="1" applyBorder="1" applyAlignment="1">
      <alignment horizontal="left" vertical="center" wrapText="1"/>
    </xf>
    <xf numFmtId="178" fontId="22" fillId="4" borderId="10" xfId="2" applyNumberFormat="1" applyFont="1" applyFill="1" applyBorder="1" applyAlignment="1">
      <alignment horizontal="left" vertical="center" wrapText="1"/>
    </xf>
    <xf numFmtId="178" fontId="22" fillId="0" borderId="11" xfId="2" applyNumberFormat="1" applyFont="1" applyBorder="1" applyAlignment="1">
      <alignment horizontal="left" vertical="center" wrapText="1"/>
    </xf>
    <xf numFmtId="0" fontId="6" fillId="2" borderId="174" xfId="2" applyFont="1" applyFill="1" applyBorder="1" applyAlignment="1">
      <alignment horizontal="center" vertical="center"/>
    </xf>
    <xf numFmtId="0" fontId="6" fillId="2" borderId="175" xfId="2" applyFont="1" applyFill="1" applyBorder="1" applyAlignment="1">
      <alignment horizontal="center" vertical="center"/>
    </xf>
    <xf numFmtId="0" fontId="6" fillId="2" borderId="176" xfId="2" applyFont="1" applyFill="1" applyBorder="1" applyAlignment="1">
      <alignment horizontal="center" vertical="center"/>
    </xf>
    <xf numFmtId="0" fontId="6" fillId="2" borderId="160" xfId="2" applyFont="1" applyFill="1" applyBorder="1" applyAlignment="1">
      <alignment horizontal="center" vertical="center"/>
    </xf>
    <xf numFmtId="0" fontId="6" fillId="2" borderId="148" xfId="2" applyFont="1" applyFill="1" applyBorder="1" applyAlignment="1">
      <alignment horizontal="center" vertical="center"/>
    </xf>
    <xf numFmtId="0" fontId="6" fillId="2" borderId="164" xfId="2" applyFont="1" applyFill="1" applyBorder="1" applyAlignment="1">
      <alignment horizontal="center" vertical="center"/>
    </xf>
    <xf numFmtId="0" fontId="6" fillId="2" borderId="193" xfId="2" applyFont="1" applyFill="1" applyBorder="1" applyAlignment="1">
      <alignment horizontal="center" vertical="center"/>
    </xf>
    <xf numFmtId="0" fontId="7" fillId="0" borderId="75" xfId="2" applyFont="1" applyBorder="1" applyAlignment="1">
      <alignment horizontal="center" vertical="center"/>
    </xf>
    <xf numFmtId="0" fontId="7" fillId="0" borderId="83" xfId="2" applyFont="1" applyBorder="1" applyAlignment="1">
      <alignment horizontal="center" vertical="center"/>
    </xf>
    <xf numFmtId="0" fontId="7" fillId="4" borderId="57" xfId="2" applyFont="1" applyFill="1" applyBorder="1" applyAlignment="1">
      <alignment horizontal="center" vertical="center" wrapText="1"/>
    </xf>
    <xf numFmtId="0" fontId="6" fillId="2" borderId="157" xfId="2" applyFont="1" applyFill="1" applyBorder="1" applyAlignment="1">
      <alignment horizontal="center" vertical="center"/>
    </xf>
    <xf numFmtId="0" fontId="6" fillId="2" borderId="161" xfId="2" applyFont="1" applyFill="1" applyBorder="1" applyAlignment="1">
      <alignment horizontal="center" vertical="center"/>
    </xf>
    <xf numFmtId="0" fontId="6" fillId="2" borderId="162" xfId="2" applyFont="1" applyFill="1" applyBorder="1" applyAlignment="1">
      <alignment horizontal="center" vertical="center"/>
    </xf>
    <xf numFmtId="0" fontId="7" fillId="0" borderId="78" xfId="2" applyFont="1" applyBorder="1" applyAlignment="1">
      <alignment horizontal="center" vertical="center"/>
    </xf>
    <xf numFmtId="0" fontId="7" fillId="0" borderId="19" xfId="2" applyFont="1" applyBorder="1" applyAlignment="1">
      <alignment horizontal="center" vertical="center"/>
    </xf>
    <xf numFmtId="0" fontId="7" fillId="4" borderId="19" xfId="2" applyFont="1" applyFill="1" applyBorder="1" applyAlignment="1">
      <alignment horizontal="center" vertical="center"/>
    </xf>
    <xf numFmtId="0" fontId="7" fillId="0" borderId="57" xfId="2" applyFont="1" applyBorder="1" applyAlignment="1">
      <alignment horizontal="center" vertical="center"/>
    </xf>
    <xf numFmtId="0" fontId="7" fillId="0" borderId="76" xfId="2" applyFont="1" applyBorder="1" applyAlignment="1">
      <alignment horizontal="center" vertical="center" wrapText="1"/>
    </xf>
    <xf numFmtId="0" fontId="7" fillId="0" borderId="19" xfId="2" applyFont="1" applyBorder="1" applyAlignment="1">
      <alignment horizontal="center" vertical="center" wrapText="1"/>
    </xf>
    <xf numFmtId="0" fontId="7" fillId="0" borderId="57" xfId="2" applyFont="1" applyBorder="1" applyAlignment="1">
      <alignment horizontal="center" vertical="center" wrapText="1"/>
    </xf>
    <xf numFmtId="0" fontId="7" fillId="4" borderId="78" xfId="2" applyFont="1" applyFill="1" applyBorder="1" applyAlignment="1">
      <alignment horizontal="center" vertical="center"/>
    </xf>
    <xf numFmtId="0" fontId="7" fillId="4" borderId="75" xfId="2" applyFont="1" applyFill="1" applyBorder="1" applyAlignment="1">
      <alignment horizontal="center" vertical="center"/>
    </xf>
    <xf numFmtId="0" fontId="7" fillId="4" borderId="57" xfId="2" applyFont="1" applyFill="1" applyBorder="1" applyAlignment="1">
      <alignment horizontal="center" vertical="center"/>
    </xf>
    <xf numFmtId="0" fontId="7" fillId="4" borderId="74" xfId="2" applyFont="1" applyFill="1" applyBorder="1" applyAlignment="1">
      <alignment horizontal="center" vertical="center"/>
    </xf>
    <xf numFmtId="0" fontId="7" fillId="0" borderId="74" xfId="2" applyFont="1" applyBorder="1" applyAlignment="1">
      <alignment horizontal="center" vertical="center"/>
    </xf>
    <xf numFmtId="178" fontId="22" fillId="0" borderId="7" xfId="2" applyNumberFormat="1" applyFont="1" applyBorder="1" applyAlignment="1">
      <alignment horizontal="center" vertical="center" wrapText="1"/>
    </xf>
    <xf numFmtId="178" fontId="22" fillId="0" borderId="10" xfId="2" applyNumberFormat="1" applyFont="1" applyBorder="1" applyAlignment="1">
      <alignment horizontal="center" vertical="center" wrapText="1"/>
    </xf>
    <xf numFmtId="178" fontId="22" fillId="4" borderId="10" xfId="2" applyNumberFormat="1" applyFont="1" applyFill="1" applyBorder="1" applyAlignment="1">
      <alignment horizontal="center" vertical="center" wrapText="1"/>
    </xf>
    <xf numFmtId="178" fontId="22" fillId="4" borderId="11" xfId="2" applyNumberFormat="1" applyFont="1" applyFill="1" applyBorder="1" applyAlignment="1">
      <alignment horizontal="center" vertical="center" wrapText="1"/>
    </xf>
    <xf numFmtId="0" fontId="6" fillId="2" borderId="172" xfId="2" applyFont="1" applyFill="1" applyBorder="1" applyAlignment="1">
      <alignment horizontal="center" vertical="center" wrapText="1"/>
    </xf>
    <xf numFmtId="0" fontId="6" fillId="2" borderId="173" xfId="2" applyFont="1" applyFill="1" applyBorder="1" applyAlignment="1">
      <alignment horizontal="center" vertical="center" wrapText="1"/>
    </xf>
    <xf numFmtId="0" fontId="6" fillId="2" borderId="172" xfId="2" applyFont="1" applyFill="1" applyBorder="1" applyAlignment="1">
      <alignment horizontal="center" vertical="center"/>
    </xf>
    <xf numFmtId="0" fontId="6" fillId="2" borderId="173" xfId="2" applyFont="1" applyFill="1" applyBorder="1" applyAlignment="1">
      <alignment horizontal="center" vertical="center"/>
    </xf>
    <xf numFmtId="0" fontId="6" fillId="2" borderId="93" xfId="2" applyFont="1" applyFill="1" applyBorder="1" applyAlignment="1">
      <alignment horizontal="center" vertical="center"/>
    </xf>
    <xf numFmtId="0" fontId="6" fillId="2" borderId="71" xfId="2" applyFont="1" applyFill="1" applyBorder="1" applyAlignment="1">
      <alignment horizontal="center" vertical="center"/>
    </xf>
    <xf numFmtId="0" fontId="6" fillId="2" borderId="86" xfId="2" applyFont="1" applyFill="1" applyBorder="1" applyAlignment="1">
      <alignment horizontal="center" vertical="center"/>
    </xf>
    <xf numFmtId="0" fontId="6" fillId="2" borderId="24" xfId="2" applyFont="1" applyFill="1" applyBorder="1" applyAlignment="1">
      <alignment horizontal="center" vertical="center"/>
    </xf>
    <xf numFmtId="0" fontId="6" fillId="2" borderId="39" xfId="2" applyFont="1" applyFill="1" applyBorder="1" applyAlignment="1">
      <alignment horizontal="center" vertical="center"/>
    </xf>
    <xf numFmtId="0" fontId="6" fillId="2" borderId="40" xfId="2" applyFont="1" applyFill="1" applyBorder="1" applyAlignment="1">
      <alignment horizontal="center" vertical="center"/>
    </xf>
    <xf numFmtId="0" fontId="6" fillId="2" borderId="36" xfId="2" applyFont="1" applyFill="1" applyBorder="1" applyAlignment="1">
      <alignment horizontal="center" vertical="center"/>
    </xf>
    <xf numFmtId="0" fontId="6" fillId="2" borderId="37" xfId="2" applyFont="1" applyFill="1" applyBorder="1" applyAlignment="1">
      <alignment horizontal="center" vertical="center"/>
    </xf>
    <xf numFmtId="0" fontId="6" fillId="2" borderId="38" xfId="2" applyFont="1" applyFill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9" xfId="2" applyFont="1" applyFill="1" applyBorder="1" applyAlignment="1">
      <alignment horizontal="center" vertical="center"/>
    </xf>
    <xf numFmtId="0" fontId="6" fillId="2" borderId="43" xfId="2" applyFont="1" applyFill="1" applyBorder="1" applyAlignment="1">
      <alignment horizontal="center" vertical="center"/>
    </xf>
    <xf numFmtId="0" fontId="6" fillId="2" borderId="34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6" fillId="2" borderId="35" xfId="2" applyFont="1" applyFill="1" applyBorder="1" applyAlignment="1">
      <alignment horizontal="center" vertical="center"/>
    </xf>
    <xf numFmtId="0" fontId="6" fillId="2" borderId="23" xfId="2" applyFont="1" applyFill="1" applyBorder="1" applyAlignment="1">
      <alignment horizontal="center" vertical="center"/>
    </xf>
    <xf numFmtId="0" fontId="6" fillId="2" borderId="6" xfId="2" applyFont="1" applyFill="1" applyBorder="1" applyAlignment="1">
      <alignment horizontal="center" vertical="center"/>
    </xf>
    <xf numFmtId="0" fontId="6" fillId="2" borderId="92" xfId="2" applyFont="1" applyFill="1" applyBorder="1" applyAlignment="1">
      <alignment horizontal="center" vertical="center"/>
    </xf>
    <xf numFmtId="0" fontId="6" fillId="2" borderId="62" xfId="2" applyFont="1" applyFill="1" applyBorder="1" applyAlignment="1">
      <alignment horizontal="center" vertical="center"/>
    </xf>
    <xf numFmtId="0" fontId="6" fillId="2" borderId="63" xfId="2" applyFont="1" applyFill="1" applyBorder="1" applyAlignment="1">
      <alignment horizontal="center" vertical="center"/>
    </xf>
    <xf numFmtId="0" fontId="7" fillId="0" borderId="17" xfId="2" applyFont="1" applyBorder="1" applyAlignment="1">
      <alignment horizontal="center" vertical="center"/>
    </xf>
    <xf numFmtId="0" fontId="7" fillId="11" borderId="76" xfId="2" applyFont="1" applyFill="1" applyBorder="1" applyAlignment="1">
      <alignment horizontal="center" vertical="center"/>
    </xf>
    <xf numFmtId="0" fontId="7" fillId="11" borderId="54" xfId="2" applyFont="1" applyFill="1" applyBorder="1" applyAlignment="1">
      <alignment horizontal="center" vertical="center"/>
    </xf>
    <xf numFmtId="0" fontId="7" fillId="0" borderId="52" xfId="2" applyFont="1" applyBorder="1" applyAlignment="1">
      <alignment horizontal="center" vertical="center"/>
    </xf>
    <xf numFmtId="0" fontId="7" fillId="5" borderId="17" xfId="2" applyFont="1" applyFill="1" applyBorder="1" applyAlignment="1">
      <alignment horizontal="center" vertical="center" wrapText="1"/>
    </xf>
    <xf numFmtId="0" fontId="7" fillId="5" borderId="19" xfId="2" applyFont="1" applyFill="1" applyBorder="1" applyAlignment="1">
      <alignment horizontal="center" vertical="center" wrapText="1"/>
    </xf>
    <xf numFmtId="0" fontId="7" fillId="5" borderId="57" xfId="2" applyFont="1" applyFill="1" applyBorder="1" applyAlignment="1">
      <alignment horizontal="center" vertical="center" wrapText="1"/>
    </xf>
    <xf numFmtId="0" fontId="7" fillId="0" borderId="45" xfId="2" applyFont="1" applyBorder="1" applyAlignment="1">
      <alignment horizontal="center" vertical="center" wrapText="1"/>
    </xf>
    <xf numFmtId="0" fontId="7" fillId="0" borderId="61" xfId="2" applyFont="1" applyBorder="1" applyAlignment="1">
      <alignment horizontal="center" vertical="center" wrapText="1"/>
    </xf>
    <xf numFmtId="0" fontId="7" fillId="0" borderId="14" xfId="2" applyFont="1" applyBorder="1" applyAlignment="1">
      <alignment horizontal="center" vertical="center" wrapText="1"/>
    </xf>
    <xf numFmtId="0" fontId="7" fillId="0" borderId="17" xfId="2" applyFont="1" applyBorder="1" applyAlignment="1">
      <alignment horizontal="center" vertical="center" wrapText="1"/>
    </xf>
    <xf numFmtId="0" fontId="7" fillId="5" borderId="78" xfId="2" applyFont="1" applyFill="1" applyBorder="1" applyAlignment="1">
      <alignment horizontal="center" vertical="center"/>
    </xf>
    <xf numFmtId="0" fontId="7" fillId="5" borderId="75" xfId="2" applyFont="1" applyFill="1" applyBorder="1" applyAlignment="1">
      <alignment horizontal="center" vertical="center"/>
    </xf>
    <xf numFmtId="0" fontId="7" fillId="5" borderId="74" xfId="2" applyFont="1" applyFill="1" applyBorder="1" applyAlignment="1">
      <alignment horizontal="center" vertical="center"/>
    </xf>
    <xf numFmtId="0" fontId="7" fillId="4" borderId="45" xfId="2" applyFont="1" applyFill="1" applyBorder="1" applyAlignment="1">
      <alignment horizontal="left" vertical="center"/>
    </xf>
    <xf numFmtId="0" fontId="7" fillId="4" borderId="61" xfId="2" applyFont="1" applyFill="1" applyBorder="1" applyAlignment="1">
      <alignment horizontal="left" vertical="center"/>
    </xf>
    <xf numFmtId="0" fontId="7" fillId="4" borderId="60" xfId="2" applyFont="1" applyFill="1" applyBorder="1" applyAlignment="1">
      <alignment horizontal="left" vertical="center" wrapText="1"/>
    </xf>
    <xf numFmtId="179" fontId="2" fillId="0" borderId="0" xfId="1" applyNumberFormat="1" applyFont="1" applyBorder="1" applyAlignment="1">
      <alignment horizontal="center" vertical="center"/>
    </xf>
    <xf numFmtId="0" fontId="7" fillId="11" borderId="60" xfId="2" applyFont="1" applyFill="1" applyBorder="1" applyAlignment="1">
      <alignment horizontal="center" vertical="center"/>
    </xf>
    <xf numFmtId="0" fontId="7" fillId="11" borderId="18" xfId="2" applyFont="1" applyFill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178" fontId="22" fillId="0" borderId="45" xfId="2" applyNumberFormat="1" applyFont="1" applyBorder="1" applyAlignment="1">
      <alignment horizontal="left" vertical="center" wrapText="1"/>
    </xf>
    <xf numFmtId="178" fontId="22" fillId="0" borderId="61" xfId="2" applyNumberFormat="1" applyFont="1" applyBorder="1" applyAlignment="1">
      <alignment horizontal="left" vertical="center" wrapText="1"/>
    </xf>
    <xf numFmtId="178" fontId="22" fillId="0" borderId="60" xfId="2" applyNumberFormat="1" applyFont="1" applyBorder="1" applyAlignment="1">
      <alignment horizontal="center" vertical="center" wrapText="1"/>
    </xf>
    <xf numFmtId="178" fontId="22" fillId="0" borderId="61" xfId="2" applyNumberFormat="1" applyFont="1" applyBorder="1" applyAlignment="1">
      <alignment horizontal="center" vertical="center" wrapText="1"/>
    </xf>
    <xf numFmtId="178" fontId="22" fillId="4" borderId="61" xfId="2" applyNumberFormat="1" applyFont="1" applyFill="1" applyBorder="1" applyAlignment="1">
      <alignment horizontal="center" vertical="center" wrapText="1"/>
    </xf>
    <xf numFmtId="178" fontId="22" fillId="4" borderId="64" xfId="2" applyNumberFormat="1" applyFont="1" applyFill="1" applyBorder="1" applyAlignment="1">
      <alignment horizontal="center" vertical="center" wrapText="1"/>
    </xf>
    <xf numFmtId="0" fontId="7" fillId="4" borderId="19" xfId="2" applyFont="1" applyFill="1" applyBorder="1" applyAlignment="1">
      <alignment horizontal="left" vertical="center" wrapText="1"/>
    </xf>
    <xf numFmtId="0" fontId="7" fillId="4" borderId="57" xfId="2" applyFont="1" applyFill="1" applyBorder="1" applyAlignment="1">
      <alignment horizontal="left" vertical="center"/>
    </xf>
    <xf numFmtId="0" fontId="7" fillId="4" borderId="19" xfId="2" applyFont="1" applyFill="1" applyBorder="1" applyAlignment="1">
      <alignment horizontal="left" vertical="center"/>
    </xf>
    <xf numFmtId="0" fontId="7" fillId="0" borderId="19" xfId="2" applyFont="1" applyBorder="1" applyAlignment="1">
      <alignment horizontal="left" vertical="center"/>
    </xf>
    <xf numFmtId="0" fontId="7" fillId="5" borderId="76" xfId="2" applyFont="1" applyFill="1" applyBorder="1" applyAlignment="1">
      <alignment horizontal="center" vertical="center" wrapText="1"/>
    </xf>
    <xf numFmtId="0" fontId="7" fillId="5" borderId="57" xfId="2" applyFont="1" applyFill="1" applyBorder="1" applyAlignment="1">
      <alignment horizontal="center" vertical="center"/>
    </xf>
    <xf numFmtId="0" fontId="7" fillId="5" borderId="19" xfId="2" applyFont="1" applyFill="1" applyBorder="1" applyAlignment="1">
      <alignment horizontal="center" vertical="center"/>
    </xf>
    <xf numFmtId="0" fontId="42" fillId="34" borderId="1" xfId="0" applyFont="1" applyFill="1" applyBorder="1" applyAlignment="1">
      <alignment horizontal="center" vertical="center"/>
    </xf>
    <xf numFmtId="0" fontId="40" fillId="26" borderId="205" xfId="2" applyFont="1" applyFill="1" applyBorder="1" applyAlignment="1">
      <alignment horizontal="center" vertical="center"/>
    </xf>
    <xf numFmtId="0" fontId="40" fillId="26" borderId="213" xfId="2" applyFont="1" applyFill="1" applyBorder="1" applyAlignment="1">
      <alignment horizontal="center" vertical="center"/>
    </xf>
    <xf numFmtId="0" fontId="40" fillId="26" borderId="207" xfId="2" applyFont="1" applyFill="1" applyBorder="1" applyAlignment="1">
      <alignment horizontal="center" vertical="center"/>
    </xf>
    <xf numFmtId="0" fontId="40" fillId="26" borderId="208" xfId="2" applyFont="1" applyFill="1" applyBorder="1" applyAlignment="1">
      <alignment horizontal="center" vertical="center"/>
    </xf>
    <xf numFmtId="0" fontId="40" fillId="26" borderId="209" xfId="2" applyFont="1" applyFill="1" applyBorder="1" applyAlignment="1">
      <alignment horizontal="center" vertical="center"/>
    </xf>
    <xf numFmtId="0" fontId="40" fillId="26" borderId="210" xfId="2" applyFont="1" applyFill="1" applyBorder="1" applyAlignment="1">
      <alignment horizontal="center" vertical="center"/>
    </xf>
    <xf numFmtId="0" fontId="40" fillId="26" borderId="211" xfId="2" applyFont="1" applyFill="1" applyBorder="1" applyAlignment="1">
      <alignment horizontal="center" vertical="center"/>
    </xf>
    <xf numFmtId="0" fontId="40" fillId="26" borderId="212" xfId="2" applyFont="1" applyFill="1" applyBorder="1" applyAlignment="1">
      <alignment horizontal="center" vertical="center"/>
    </xf>
    <xf numFmtId="0" fontId="12" fillId="31" borderId="1" xfId="2" applyFont="1" applyFill="1" applyBorder="1" applyAlignment="1">
      <alignment horizontal="center" vertical="center"/>
    </xf>
    <xf numFmtId="0" fontId="41" fillId="36" borderId="1" xfId="0" applyFont="1" applyFill="1" applyBorder="1" applyAlignment="1">
      <alignment horizontal="center" vertical="center"/>
    </xf>
    <xf numFmtId="0" fontId="41" fillId="32" borderId="1" xfId="0" applyFont="1" applyFill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0" fillId="26" borderId="17" xfId="2" applyFont="1" applyFill="1" applyBorder="1" applyAlignment="1">
      <alignment horizontal="center" vertical="center"/>
    </xf>
    <xf numFmtId="0" fontId="40" fillId="26" borderId="19" xfId="2" applyFont="1" applyFill="1" applyBorder="1" applyAlignment="1">
      <alignment horizontal="center" vertical="center"/>
    </xf>
    <xf numFmtId="0" fontId="40" fillId="26" borderId="43" xfId="2" applyFont="1" applyFill="1" applyBorder="1" applyAlignment="1">
      <alignment horizontal="center" vertical="center"/>
    </xf>
    <xf numFmtId="0" fontId="40" fillId="26" borderId="34" xfId="2" applyFont="1" applyFill="1" applyBorder="1" applyAlignment="1">
      <alignment horizontal="center" vertical="center"/>
    </xf>
    <xf numFmtId="0" fontId="40" fillId="26" borderId="18" xfId="2" applyFont="1" applyFill="1" applyBorder="1" applyAlignment="1">
      <alignment horizontal="center" vertical="center"/>
    </xf>
    <xf numFmtId="0" fontId="40" fillId="26" borderId="35" xfId="2" applyFont="1" applyFill="1" applyBorder="1" applyAlignment="1">
      <alignment horizontal="center" vertical="center"/>
    </xf>
    <xf numFmtId="0" fontId="40" fillId="26" borderId="23" xfId="2" applyFont="1" applyFill="1" applyBorder="1" applyAlignment="1">
      <alignment horizontal="center" vertical="center"/>
    </xf>
    <xf numFmtId="0" fontId="40" fillId="26" borderId="6" xfId="2" applyFont="1" applyFill="1" applyBorder="1" applyAlignment="1">
      <alignment horizontal="center" vertical="center"/>
    </xf>
    <xf numFmtId="0" fontId="40" fillId="26" borderId="203" xfId="2" applyFont="1" applyFill="1" applyBorder="1" applyAlignment="1">
      <alignment horizontal="center" vertical="center"/>
    </xf>
    <xf numFmtId="0" fontId="40" fillId="26" borderId="206" xfId="2" applyFont="1" applyFill="1" applyBorder="1" applyAlignment="1">
      <alignment horizontal="center" vertical="center"/>
    </xf>
  </cellXfs>
  <cellStyles count="5">
    <cellStyle name="백분율" xfId="4" builtinId="5"/>
    <cellStyle name="쉼표 [0]" xfId="1" builtinId="6"/>
    <cellStyle name="쉼표 [0] 2" xfId="3" xr:uid="{00000000-0005-0000-0000-000002000000}"/>
    <cellStyle name="표준" xfId="0" builtinId="0"/>
    <cellStyle name="표준 2" xfId="2" xr:uid="{00000000-0005-0000-0000-000004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장영진(전략AX BD팀)" id="{AC2CD93D-B9E2-419A-9DCF-3D2B3F586C78}" userId="S::82243096@ktds.co.kr::31d3b635-8936-42aa-b97c-da12820e5cb7" providerId="AD"/>
  <person displayName="박순영(전략BD팀)" id="{C70DA62C-2F73-439C-9B53-27503E1A7AD3}" userId="S::82292524@ktds.co.kr::8a0f6409-8667-4824-a1d0-68fa4d66a27d" providerId="AD"/>
</personLis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I4" dT="2025-01-01T07:44:14.19" personId="{C70DA62C-2F73-439C-9B53-27503E1A7AD3}" id="{87C85122-0094-40BE-B266-2E84153F275A}">
    <text>2026.02.14~18 구정연휴</text>
  </threadedComment>
  <threadedComment ref="L12" dT="2025-02-11T04:42:45.71" personId="{AC2CD93D-B9E2-419A-9DCF-3D2B3F586C78}" id="{CB2E7991-4375-49D9-8892-9C5A6A1D46C0}">
    <text>2/4(화),2/5 (수)</text>
  </threadedComment>
  <threadedComment ref="L13" dT="2025-02-11T04:42:59.42" personId="{AC2CD93D-B9E2-419A-9DCF-3D2B3F586C78}" id="{C83385FB-199A-482B-B7ED-1B78E40A64EB}">
    <text>2/4, 2/5, 2/10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Y5" dT="2025-01-01T07:44:14.19" personId="{C70DA62C-2F73-439C-9B53-27503E1A7AD3}" id="{E632D644-9C3C-40CA-925C-404D1B39AC3C}">
    <text>2026.02.14~18 구정연휴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I36"/>
  <sheetViews>
    <sheetView showGridLines="0" workbookViewId="0">
      <selection activeCell="C4" sqref="C4"/>
    </sheetView>
  </sheetViews>
  <sheetFormatPr baseColWidth="10" defaultColWidth="8.6640625" defaultRowHeight="14"/>
  <cols>
    <col min="1" max="1" width="1.83203125" style="392" customWidth="1"/>
    <col min="2" max="2" width="13.6640625" style="392" bestFit="1" customWidth="1"/>
    <col min="3" max="3" width="5.83203125" style="392" bestFit="1" customWidth="1"/>
    <col min="4" max="4" width="6" style="392" bestFit="1" customWidth="1"/>
    <col min="5" max="5" width="5" style="392" bestFit="1" customWidth="1"/>
    <col min="6" max="6" width="1" style="392" customWidth="1"/>
    <col min="7" max="7" width="5.1640625" style="392" bestFit="1" customWidth="1"/>
    <col min="8" max="8" width="6" style="392" bestFit="1" customWidth="1"/>
    <col min="9" max="9" width="5" style="392" bestFit="1" customWidth="1"/>
    <col min="10" max="10" width="0.6640625" style="392" customWidth="1"/>
    <col min="11" max="11" width="4.33203125" style="392" bestFit="1" customWidth="1"/>
    <col min="12" max="12" width="5.83203125" style="392" bestFit="1" customWidth="1"/>
    <col min="13" max="13" width="4.33203125" style="392" bestFit="1" customWidth="1"/>
    <col min="14" max="14" width="0.6640625" style="392" customWidth="1"/>
    <col min="15" max="15" width="5.1640625" style="392" bestFit="1" customWidth="1"/>
    <col min="16" max="16" width="6" style="392" bestFit="1" customWidth="1"/>
    <col min="17" max="17" width="5" style="392" bestFit="1" customWidth="1"/>
    <col min="18" max="18" width="1.6640625" style="392" customWidth="1"/>
    <col min="19" max="20" width="6" style="392" bestFit="1" customWidth="1"/>
    <col min="21" max="21" width="4.33203125" style="392" bestFit="1" customWidth="1"/>
    <col min="22" max="22" width="0.6640625" style="392" customWidth="1"/>
    <col min="23" max="23" width="5.1640625" style="392" bestFit="1" customWidth="1"/>
    <col min="24" max="24" width="6" style="392" bestFit="1" customWidth="1"/>
    <col min="25" max="25" width="5" style="392" bestFit="1" customWidth="1"/>
    <col min="26" max="26" width="0.6640625" style="392" customWidth="1"/>
    <col min="27" max="28" width="6" style="392" bestFit="1" customWidth="1"/>
    <col min="29" max="29" width="5" style="392" bestFit="1" customWidth="1"/>
    <col min="30" max="30" width="0.6640625" style="392" customWidth="1"/>
    <col min="31" max="32" width="6" style="392" bestFit="1" customWidth="1"/>
    <col min="33" max="33" width="4.33203125" style="392" bestFit="1" customWidth="1"/>
    <col min="34" max="34" width="1.1640625" style="392" customWidth="1"/>
    <col min="35" max="35" width="4.33203125" style="392" bestFit="1" customWidth="1"/>
    <col min="36" max="36" width="5.83203125" style="392" bestFit="1" customWidth="1"/>
    <col min="37" max="37" width="4.33203125" style="392" bestFit="1" customWidth="1"/>
    <col min="38" max="38" width="0.6640625" style="392" customWidth="1"/>
    <col min="39" max="39" width="5.1640625" style="392" bestFit="1" customWidth="1"/>
    <col min="40" max="40" width="5.83203125" style="392" bestFit="1" customWidth="1"/>
    <col min="41" max="41" width="4.33203125" style="392" bestFit="1" customWidth="1"/>
    <col min="42" max="42" width="0.6640625" style="392" customWidth="1"/>
    <col min="43" max="43" width="6" style="392" bestFit="1" customWidth="1"/>
    <col min="44" max="44" width="5.83203125" style="392" bestFit="1" customWidth="1"/>
    <col min="45" max="45" width="4.33203125" style="392" bestFit="1" customWidth="1"/>
    <col min="46" max="46" width="0.6640625" style="392" customWidth="1"/>
    <col min="47" max="47" width="5.1640625" style="392" bestFit="1" customWidth="1"/>
    <col min="48" max="48" width="5.83203125" style="392" bestFit="1" customWidth="1"/>
    <col min="49" max="49" width="4.33203125" style="392" bestFit="1" customWidth="1"/>
    <col min="50" max="50" width="1.1640625" style="392" customWidth="1"/>
    <col min="51" max="51" width="6" style="392" bestFit="1" customWidth="1"/>
    <col min="52" max="52" width="5.83203125" style="392" bestFit="1" customWidth="1"/>
    <col min="53" max="53" width="4.33203125" style="392" bestFit="1" customWidth="1"/>
    <col min="54" max="54" width="0.83203125" style="392" customWidth="1"/>
    <col min="55" max="55" width="5.1640625" style="392" bestFit="1" customWidth="1"/>
    <col min="56" max="56" width="5.83203125" style="392" bestFit="1" customWidth="1"/>
    <col min="57" max="57" width="4.33203125" style="392" bestFit="1" customWidth="1"/>
    <col min="58" max="58" width="1.33203125" style="392" customWidth="1"/>
    <col min="59" max="59" width="4.33203125" style="392" bestFit="1" customWidth="1"/>
    <col min="60" max="60" width="5.83203125" style="392" bestFit="1" customWidth="1"/>
    <col min="61" max="61" width="4.33203125" style="392" bestFit="1" customWidth="1"/>
    <col min="62" max="62" width="1.33203125" style="392" customWidth="1"/>
    <col min="63" max="16384" width="8.6640625" style="392"/>
  </cols>
  <sheetData>
    <row r="2" spans="2:61">
      <c r="B2" s="1786" t="s">
        <v>69</v>
      </c>
      <c r="C2" s="1788" t="s">
        <v>480</v>
      </c>
      <c r="D2" s="1789"/>
      <c r="E2" s="1789"/>
      <c r="G2" s="1788" t="s">
        <v>481</v>
      </c>
      <c r="H2" s="1789"/>
      <c r="I2" s="1789"/>
      <c r="K2" s="1788" t="s">
        <v>482</v>
      </c>
      <c r="L2" s="1789"/>
      <c r="M2" s="1789"/>
      <c r="O2" s="1788" t="s">
        <v>483</v>
      </c>
      <c r="P2" s="1789"/>
      <c r="Q2" s="1789"/>
      <c r="S2" s="1788" t="s">
        <v>484</v>
      </c>
      <c r="T2" s="1789"/>
      <c r="U2" s="1789"/>
      <c r="W2" s="1788" t="s">
        <v>485</v>
      </c>
      <c r="X2" s="1789"/>
      <c r="Y2" s="1789"/>
      <c r="AA2" s="1788" t="s">
        <v>486</v>
      </c>
      <c r="AB2" s="1789"/>
      <c r="AC2" s="1789"/>
      <c r="AE2" s="1788" t="s">
        <v>487</v>
      </c>
      <c r="AF2" s="1789"/>
      <c r="AG2" s="1789"/>
      <c r="AI2" s="1788" t="s">
        <v>488</v>
      </c>
      <c r="AJ2" s="1789"/>
      <c r="AK2" s="1789"/>
      <c r="AM2" s="1788" t="s">
        <v>489</v>
      </c>
      <c r="AN2" s="1789"/>
      <c r="AO2" s="1789"/>
      <c r="AQ2" s="1788" t="s">
        <v>490</v>
      </c>
      <c r="AR2" s="1789"/>
      <c r="AS2" s="1789"/>
      <c r="AU2" s="1788" t="s">
        <v>491</v>
      </c>
      <c r="AV2" s="1789"/>
      <c r="AW2" s="1789"/>
      <c r="AY2" s="1788" t="s">
        <v>492</v>
      </c>
      <c r="AZ2" s="1789"/>
      <c r="BA2" s="1789"/>
      <c r="BC2" s="1788" t="s">
        <v>493</v>
      </c>
      <c r="BD2" s="1789"/>
      <c r="BE2" s="1789"/>
      <c r="BG2" s="1788" t="s">
        <v>494</v>
      </c>
      <c r="BH2" s="1789"/>
      <c r="BI2" s="1789"/>
    </row>
    <row r="3" spans="2:61">
      <c r="B3" s="1787"/>
      <c r="C3" s="478" t="s">
        <v>477</v>
      </c>
      <c r="D3" s="478" t="s">
        <v>475</v>
      </c>
      <c r="E3" s="478" t="s">
        <v>478</v>
      </c>
      <c r="G3" s="478" t="s">
        <v>477</v>
      </c>
      <c r="H3" s="478" t="s">
        <v>475</v>
      </c>
      <c r="I3" s="478" t="s">
        <v>478</v>
      </c>
      <c r="K3" s="478" t="s">
        <v>477</v>
      </c>
      <c r="L3" s="478" t="s">
        <v>475</v>
      </c>
      <c r="M3" s="478" t="s">
        <v>478</v>
      </c>
      <c r="O3" s="478" t="s">
        <v>477</v>
      </c>
      <c r="P3" s="478" t="s">
        <v>475</v>
      </c>
      <c r="Q3" s="478" t="s">
        <v>478</v>
      </c>
      <c r="S3" s="478" t="s">
        <v>477</v>
      </c>
      <c r="T3" s="478" t="s">
        <v>475</v>
      </c>
      <c r="U3" s="478" t="s">
        <v>478</v>
      </c>
      <c r="W3" s="478" t="s">
        <v>477</v>
      </c>
      <c r="X3" s="478" t="s">
        <v>475</v>
      </c>
      <c r="Y3" s="478" t="s">
        <v>478</v>
      </c>
      <c r="AA3" s="478" t="s">
        <v>477</v>
      </c>
      <c r="AB3" s="478" t="s">
        <v>475</v>
      </c>
      <c r="AC3" s="478" t="s">
        <v>478</v>
      </c>
      <c r="AE3" s="478" t="s">
        <v>477</v>
      </c>
      <c r="AF3" s="478" t="s">
        <v>475</v>
      </c>
      <c r="AG3" s="478" t="s">
        <v>478</v>
      </c>
      <c r="AI3" s="478" t="s">
        <v>477</v>
      </c>
      <c r="AJ3" s="478" t="s">
        <v>475</v>
      </c>
      <c r="AK3" s="478" t="s">
        <v>478</v>
      </c>
      <c r="AM3" s="478" t="s">
        <v>477</v>
      </c>
      <c r="AN3" s="478" t="s">
        <v>475</v>
      </c>
      <c r="AO3" s="478" t="s">
        <v>478</v>
      </c>
      <c r="AQ3" s="478" t="s">
        <v>477</v>
      </c>
      <c r="AR3" s="478" t="s">
        <v>475</v>
      </c>
      <c r="AS3" s="478" t="s">
        <v>478</v>
      </c>
      <c r="AU3" s="478" t="s">
        <v>477</v>
      </c>
      <c r="AV3" s="478" t="s">
        <v>475</v>
      </c>
      <c r="AW3" s="478" t="s">
        <v>478</v>
      </c>
      <c r="AY3" s="478" t="s">
        <v>477</v>
      </c>
      <c r="AZ3" s="478" t="s">
        <v>475</v>
      </c>
      <c r="BA3" s="478" t="s">
        <v>478</v>
      </c>
      <c r="BC3" s="478" t="s">
        <v>477</v>
      </c>
      <c r="BD3" s="478" t="s">
        <v>475</v>
      </c>
      <c r="BE3" s="478" t="s">
        <v>478</v>
      </c>
      <c r="BG3" s="478" t="s">
        <v>477</v>
      </c>
      <c r="BH3" s="478" t="s">
        <v>475</v>
      </c>
      <c r="BI3" s="478" t="s">
        <v>478</v>
      </c>
    </row>
    <row r="4" spans="2:61">
      <c r="B4" s="479" t="s">
        <v>17</v>
      </c>
      <c r="C4" s="393">
        <f>견적기준통합!M4</f>
        <v>16</v>
      </c>
      <c r="D4" s="393">
        <f>협력사등급별MM!M5</f>
        <v>13.75</v>
      </c>
      <c r="E4" s="480">
        <f>D4-C4</f>
        <v>-2.25</v>
      </c>
      <c r="G4" s="393">
        <f>견적기준통합!N4</f>
        <v>16.5</v>
      </c>
      <c r="H4" s="393">
        <f>협력사등급별MM!O5</f>
        <v>16.5</v>
      </c>
      <c r="I4" s="480">
        <f>H4-G4</f>
        <v>0</v>
      </c>
      <c r="K4" s="393">
        <f>견적기준통합!O4</f>
        <v>20</v>
      </c>
      <c r="L4" s="393">
        <f>협력사등급별MM!Q5</f>
        <v>17.5</v>
      </c>
      <c r="M4" s="480">
        <f>L4-K4</f>
        <v>-2.5</v>
      </c>
      <c r="O4" s="393">
        <f>견적기준통합!P4</f>
        <v>21</v>
      </c>
      <c r="P4" s="393">
        <f>협력사등급별MM!S5</f>
        <v>16.7</v>
      </c>
      <c r="Q4" s="393">
        <f>P4-O4</f>
        <v>-4.3000000000000007</v>
      </c>
      <c r="S4" s="393">
        <f>견적기준통합!Q4</f>
        <v>23</v>
      </c>
      <c r="T4" s="393">
        <f>협력사등급별MM!U5</f>
        <v>18</v>
      </c>
      <c r="U4" s="393">
        <f>T4-S4</f>
        <v>-5</v>
      </c>
      <c r="W4" s="393">
        <f>견적기준통합!R4</f>
        <v>24</v>
      </c>
      <c r="X4" s="393">
        <f>협력사등급별MM!W5</f>
        <v>23</v>
      </c>
      <c r="Y4" s="393">
        <f>X4-W4</f>
        <v>-1</v>
      </c>
      <c r="AA4" s="393">
        <f>견적기준통합!S4</f>
        <v>23</v>
      </c>
      <c r="AB4" s="393">
        <f>협력사등급별MM!Y5</f>
        <v>25.5</v>
      </c>
      <c r="AC4" s="393">
        <f>AB4-AA4</f>
        <v>2.5</v>
      </c>
      <c r="AE4" s="393">
        <f>견적기준통합!T4</f>
        <v>24</v>
      </c>
      <c r="AF4" s="393">
        <f>협력사등급별MM!AA5</f>
        <v>24.5</v>
      </c>
      <c r="AG4" s="393">
        <f>AF4-AE4</f>
        <v>0.5</v>
      </c>
      <c r="AI4" s="393">
        <f>견적기준통합!U4</f>
        <v>26</v>
      </c>
      <c r="AJ4" s="393">
        <f>협력사등급별MM!AC5</f>
        <v>26</v>
      </c>
      <c r="AK4" s="393">
        <f>AJ4-AI4</f>
        <v>0</v>
      </c>
      <c r="AM4" s="393">
        <f>견적기준통합!V4</f>
        <v>27.5</v>
      </c>
      <c r="AN4" s="393">
        <f>협력사등급별MM!AE5</f>
        <v>30</v>
      </c>
      <c r="AO4" s="393">
        <f>AN4-AM4</f>
        <v>2.5</v>
      </c>
      <c r="AQ4" s="393">
        <f>견적기준통합!W4</f>
        <v>26.5</v>
      </c>
      <c r="AR4" s="393">
        <f>협력사등급별MM!AG5</f>
        <v>29.5</v>
      </c>
      <c r="AS4" s="393">
        <f>AR4-AQ4</f>
        <v>3</v>
      </c>
      <c r="AU4" s="393">
        <f>견적기준통합!X4</f>
        <v>24.5</v>
      </c>
      <c r="AV4" s="393">
        <f>협력사등급별MM!AI5</f>
        <v>27.5</v>
      </c>
      <c r="AW4" s="393">
        <f>AV4-AU4</f>
        <v>3</v>
      </c>
      <c r="AY4" s="393">
        <f>견적기준통합!Y4</f>
        <v>20</v>
      </c>
      <c r="AZ4" s="393">
        <f>협력사등급별MM!AK5</f>
        <v>21.2</v>
      </c>
      <c r="BA4" s="393">
        <f>AZ4-AY4</f>
        <v>1.1999999999999993</v>
      </c>
      <c r="BC4" s="393">
        <f>견적기준통합!Z4</f>
        <v>15</v>
      </c>
      <c r="BD4" s="393">
        <f>협력사등급별MM!AM5</f>
        <v>18</v>
      </c>
      <c r="BE4" s="393">
        <f>BD4-BC4</f>
        <v>3</v>
      </c>
      <c r="BG4" s="393">
        <f>견적기준통합!AA4</f>
        <v>8</v>
      </c>
      <c r="BH4" s="393">
        <f>협력사등급별MM!AO5</f>
        <v>11.8</v>
      </c>
      <c r="BI4" s="393">
        <f>BH4-BG4</f>
        <v>3.8000000000000007</v>
      </c>
    </row>
    <row r="5" spans="2:61">
      <c r="B5" s="479" t="s">
        <v>90</v>
      </c>
      <c r="C5" s="393">
        <f>견적기준통합!M5</f>
        <v>0</v>
      </c>
      <c r="D5" s="393">
        <f>협력사등급별MM!M6</f>
        <v>0</v>
      </c>
      <c r="E5" s="480">
        <f t="shared" ref="E5:E16" si="0">D5-C5</f>
        <v>0</v>
      </c>
      <c r="G5" s="393">
        <f>견적기준통합!N5</f>
        <v>0</v>
      </c>
      <c r="H5" s="393">
        <f>협력사등급별MM!O6</f>
        <v>0.5</v>
      </c>
      <c r="I5" s="480">
        <f t="shared" ref="I5:I16" si="1">H5-G5</f>
        <v>0.5</v>
      </c>
      <c r="K5" s="393">
        <f>견적기준통합!O5</f>
        <v>1</v>
      </c>
      <c r="L5" s="393">
        <f>협력사등급별MM!Q6</f>
        <v>0.5</v>
      </c>
      <c r="M5" s="480">
        <f t="shared" ref="M5:M16" si="2">L5-K5</f>
        <v>-0.5</v>
      </c>
      <c r="O5" s="393">
        <f>견적기준통합!P5</f>
        <v>1</v>
      </c>
      <c r="P5" s="393">
        <f>협력사등급별MM!S6</f>
        <v>0.75</v>
      </c>
      <c r="Q5" s="393">
        <f t="shared" ref="Q5:Q16" si="3">P5-O5</f>
        <v>-0.25</v>
      </c>
      <c r="S5" s="393">
        <f>견적기준통합!Q5</f>
        <v>0</v>
      </c>
      <c r="T5" s="393">
        <f>협력사등급별MM!U6</f>
        <v>0.5</v>
      </c>
      <c r="U5" s="393">
        <f t="shared" ref="U5:U16" si="4">T5-S5</f>
        <v>0.5</v>
      </c>
      <c r="W5" s="393">
        <f>견적기준통합!R5</f>
        <v>0</v>
      </c>
      <c r="X5" s="393">
        <f>협력사등급별MM!W6</f>
        <v>0</v>
      </c>
      <c r="Y5" s="393">
        <f t="shared" ref="Y5:Y16" si="5">X5-W5</f>
        <v>0</v>
      </c>
      <c r="AA5" s="393">
        <f>견적기준통합!S5</f>
        <v>0</v>
      </c>
      <c r="AB5" s="393">
        <f>협력사등급별MM!Y6</f>
        <v>0</v>
      </c>
      <c r="AC5" s="393">
        <f t="shared" ref="AC5:AC16" si="6">AB5-AA5</f>
        <v>0</v>
      </c>
      <c r="AE5" s="393">
        <f>견적기준통합!T5</f>
        <v>0</v>
      </c>
      <c r="AF5" s="393">
        <f>협력사등급별MM!AA6</f>
        <v>0.75</v>
      </c>
      <c r="AG5" s="393">
        <f t="shared" ref="AG5:AG16" si="7">AF5-AE5</f>
        <v>0.75</v>
      </c>
      <c r="AI5" s="393">
        <f>견적기준통합!U5</f>
        <v>0</v>
      </c>
      <c r="AJ5" s="393">
        <f>협력사등급별MM!AC6</f>
        <v>0</v>
      </c>
      <c r="AK5" s="393">
        <f t="shared" ref="AK5:AK17" si="8">AJ5-AI5</f>
        <v>0</v>
      </c>
      <c r="AM5" s="393">
        <f>견적기준통합!V5</f>
        <v>0.5</v>
      </c>
      <c r="AN5" s="393">
        <f>협력사등급별MM!AE6</f>
        <v>1.75</v>
      </c>
      <c r="AO5" s="393">
        <f t="shared" ref="AO5:AO17" si="9">AN5-AM5</f>
        <v>1.25</v>
      </c>
      <c r="AQ5" s="393">
        <f>견적기준통합!W5</f>
        <v>2</v>
      </c>
      <c r="AR5" s="393">
        <f>협력사등급별MM!AG6</f>
        <v>2.5</v>
      </c>
      <c r="AS5" s="393">
        <f t="shared" ref="AS5:AS17" si="10">AR5-AQ5</f>
        <v>0.5</v>
      </c>
      <c r="AU5" s="393">
        <f>견적기준통합!X5</f>
        <v>2</v>
      </c>
      <c r="AV5" s="393">
        <f>협력사등급별MM!AI6</f>
        <v>0</v>
      </c>
      <c r="AW5" s="393">
        <f t="shared" ref="AW5:AW17" si="11">AV5-AU5</f>
        <v>-2</v>
      </c>
      <c r="AY5" s="393">
        <f>견적기준통합!Y5</f>
        <v>0.75</v>
      </c>
      <c r="AZ5" s="393">
        <f>협력사등급별MM!AK6</f>
        <v>0</v>
      </c>
      <c r="BA5" s="393">
        <f t="shared" ref="BA5:BA17" si="12">AZ5-AY5</f>
        <v>-0.75</v>
      </c>
      <c r="BC5" s="393">
        <f>견적기준통합!Z5</f>
        <v>0</v>
      </c>
      <c r="BD5" s="393">
        <f>협력사등급별MM!AM6</f>
        <v>0</v>
      </c>
      <c r="BE5" s="393">
        <f t="shared" ref="BE5:BE17" si="13">BD5-BC5</f>
        <v>0</v>
      </c>
      <c r="BG5" s="393">
        <f>견적기준통합!AA5</f>
        <v>0</v>
      </c>
      <c r="BH5" s="393">
        <f>협력사등급별MM!AO6</f>
        <v>0</v>
      </c>
      <c r="BI5" s="393">
        <f t="shared" ref="BI5:BI17" si="14">BH5-BG5</f>
        <v>0</v>
      </c>
    </row>
    <row r="6" spans="2:61">
      <c r="B6" s="479" t="s">
        <v>93</v>
      </c>
      <c r="C6" s="393">
        <f>견적기준통합!M6</f>
        <v>0</v>
      </c>
      <c r="D6" s="393">
        <f>협력사등급별MM!M7</f>
        <v>0</v>
      </c>
      <c r="E6" s="480">
        <f t="shared" si="0"/>
        <v>0</v>
      </c>
      <c r="G6" s="393">
        <f>견적기준통합!N6</f>
        <v>0</v>
      </c>
      <c r="H6" s="393">
        <f>협력사등급별MM!O7</f>
        <v>0</v>
      </c>
      <c r="I6" s="480">
        <f t="shared" si="1"/>
        <v>0</v>
      </c>
      <c r="K6" s="393">
        <f>견적기준통합!O6</f>
        <v>0</v>
      </c>
      <c r="L6" s="393">
        <f>협력사등급별MM!Q7</f>
        <v>0</v>
      </c>
      <c r="M6" s="480">
        <f t="shared" si="2"/>
        <v>0</v>
      </c>
      <c r="O6" s="393">
        <f>견적기준통합!P6</f>
        <v>2</v>
      </c>
      <c r="P6" s="393">
        <f>협력사등급별MM!S7</f>
        <v>1.25</v>
      </c>
      <c r="Q6" s="393">
        <f t="shared" si="3"/>
        <v>-0.75</v>
      </c>
      <c r="S6" s="393">
        <f>견적기준통합!Q6</f>
        <v>6.5</v>
      </c>
      <c r="T6" s="393">
        <f>협력사등급별MM!U7</f>
        <v>5</v>
      </c>
      <c r="U6" s="393">
        <f t="shared" si="4"/>
        <v>-1.5</v>
      </c>
      <c r="W6" s="393">
        <f>견적기준통합!R6</f>
        <v>7</v>
      </c>
      <c r="X6" s="393">
        <f>협력사등급별MM!W7</f>
        <v>7</v>
      </c>
      <c r="Y6" s="393">
        <f t="shared" si="5"/>
        <v>0</v>
      </c>
      <c r="AA6" s="393">
        <f>견적기준통합!S6</f>
        <v>7</v>
      </c>
      <c r="AB6" s="393">
        <f>협력사등급별MM!Y7</f>
        <v>7</v>
      </c>
      <c r="AC6" s="393">
        <f t="shared" si="6"/>
        <v>0</v>
      </c>
      <c r="AE6" s="393">
        <f>견적기준통합!T6</f>
        <v>7</v>
      </c>
      <c r="AF6" s="393">
        <f>협력사등급별MM!AA7</f>
        <v>7</v>
      </c>
      <c r="AG6" s="393">
        <f t="shared" si="7"/>
        <v>0</v>
      </c>
      <c r="AI6" s="393">
        <f>견적기준통합!U6</f>
        <v>7.5</v>
      </c>
      <c r="AJ6" s="393">
        <f>협력사등급별MM!AC7</f>
        <v>7.5</v>
      </c>
      <c r="AK6" s="393">
        <f t="shared" si="8"/>
        <v>0</v>
      </c>
      <c r="AM6" s="393">
        <f>견적기준통합!V6</f>
        <v>7.5</v>
      </c>
      <c r="AN6" s="393">
        <f>협력사등급별MM!AE7</f>
        <v>8</v>
      </c>
      <c r="AO6" s="393">
        <f t="shared" si="9"/>
        <v>0.5</v>
      </c>
      <c r="AQ6" s="393">
        <f>견적기준통합!W6</f>
        <v>7</v>
      </c>
      <c r="AR6" s="393">
        <f>협력사등급별MM!AG7</f>
        <v>7.5</v>
      </c>
      <c r="AS6" s="393">
        <f t="shared" si="10"/>
        <v>0.5</v>
      </c>
      <c r="AU6" s="393">
        <f>견적기준통합!X6</f>
        <v>7</v>
      </c>
      <c r="AV6" s="393">
        <f>협력사등급별MM!AI7</f>
        <v>7</v>
      </c>
      <c r="AW6" s="393">
        <f t="shared" si="11"/>
        <v>0</v>
      </c>
      <c r="AY6" s="393">
        <f>견적기준통합!Y6</f>
        <v>7</v>
      </c>
      <c r="AZ6" s="393">
        <f>협력사등급별MM!AK7</f>
        <v>7</v>
      </c>
      <c r="BA6" s="393">
        <f t="shared" si="12"/>
        <v>0</v>
      </c>
      <c r="BC6" s="393">
        <f>견적기준통합!Z6</f>
        <v>4</v>
      </c>
      <c r="BD6" s="393">
        <f>협력사등급별MM!AM7</f>
        <v>4.5</v>
      </c>
      <c r="BE6" s="393">
        <f t="shared" si="13"/>
        <v>0.5</v>
      </c>
      <c r="BG6" s="393">
        <f>견적기준통합!AA6</f>
        <v>0</v>
      </c>
      <c r="BH6" s="393">
        <f>협력사등급별MM!AO7</f>
        <v>1.25</v>
      </c>
      <c r="BI6" s="393">
        <f t="shared" si="14"/>
        <v>1.25</v>
      </c>
    </row>
    <row r="7" spans="2:61">
      <c r="B7" s="479" t="s">
        <v>102</v>
      </c>
      <c r="C7" s="393">
        <f>견적기준통합!M7</f>
        <v>2</v>
      </c>
      <c r="D7" s="393">
        <f>협력사등급별MM!M8</f>
        <v>2</v>
      </c>
      <c r="E7" s="480">
        <f t="shared" si="0"/>
        <v>0</v>
      </c>
      <c r="G7" s="393">
        <f>견적기준통합!N7</f>
        <v>4</v>
      </c>
      <c r="H7" s="393">
        <f>협력사등급별MM!O8</f>
        <v>2</v>
      </c>
      <c r="I7" s="480">
        <f t="shared" si="1"/>
        <v>-2</v>
      </c>
      <c r="K7" s="393">
        <f>견적기준통합!O7</f>
        <v>5</v>
      </c>
      <c r="L7" s="393">
        <f>협력사등급별MM!Q8</f>
        <v>5</v>
      </c>
      <c r="M7" s="480">
        <f t="shared" si="2"/>
        <v>0</v>
      </c>
      <c r="O7" s="393">
        <f>견적기준통합!P7</f>
        <v>5</v>
      </c>
      <c r="P7" s="393">
        <f>협력사등급별MM!S8</f>
        <v>5</v>
      </c>
      <c r="Q7" s="393">
        <f t="shared" si="3"/>
        <v>0</v>
      </c>
      <c r="S7" s="393">
        <f>견적기준통합!Q7</f>
        <v>4</v>
      </c>
      <c r="T7" s="393">
        <f>협력사등급별MM!U8</f>
        <v>5</v>
      </c>
      <c r="U7" s="393">
        <f t="shared" si="4"/>
        <v>1</v>
      </c>
      <c r="W7" s="393">
        <f>견적기준통합!R7</f>
        <v>5</v>
      </c>
      <c r="X7" s="393">
        <f>협력사등급별MM!W8</f>
        <v>5</v>
      </c>
      <c r="Y7" s="393">
        <f t="shared" si="5"/>
        <v>0</v>
      </c>
      <c r="AA7" s="393">
        <f>견적기준통합!S7</f>
        <v>4</v>
      </c>
      <c r="AB7" s="393">
        <f>협력사등급별MM!Y8</f>
        <v>4</v>
      </c>
      <c r="AC7" s="393">
        <f t="shared" si="6"/>
        <v>0</v>
      </c>
      <c r="AE7" s="393">
        <f>견적기준통합!T7</f>
        <v>3</v>
      </c>
      <c r="AF7" s="393">
        <f>협력사등급별MM!AA8</f>
        <v>3</v>
      </c>
      <c r="AG7" s="393">
        <f t="shared" si="7"/>
        <v>0</v>
      </c>
      <c r="AI7" s="393">
        <f>견적기준통합!U7</f>
        <v>3</v>
      </c>
      <c r="AJ7" s="393">
        <f>협력사등급별MM!AC8</f>
        <v>3</v>
      </c>
      <c r="AK7" s="393">
        <f t="shared" si="8"/>
        <v>0</v>
      </c>
      <c r="AM7" s="393">
        <f>견적기준통합!V7</f>
        <v>2</v>
      </c>
      <c r="AN7" s="393">
        <f>협력사등급별MM!AE8</f>
        <v>3</v>
      </c>
      <c r="AO7" s="393">
        <f t="shared" si="9"/>
        <v>1</v>
      </c>
      <c r="AQ7" s="393">
        <f>견적기준통합!W7</f>
        <v>2</v>
      </c>
      <c r="AR7" s="393">
        <f>협력사등급별MM!AG8</f>
        <v>2</v>
      </c>
      <c r="AS7" s="393">
        <f t="shared" si="10"/>
        <v>0</v>
      </c>
      <c r="AU7" s="393">
        <f>견적기준통합!X7</f>
        <v>2</v>
      </c>
      <c r="AV7" s="393">
        <f>협력사등급별MM!AI8</f>
        <v>2</v>
      </c>
      <c r="AW7" s="393">
        <f t="shared" si="11"/>
        <v>0</v>
      </c>
      <c r="AY7" s="393">
        <f>견적기준통합!Y7</f>
        <v>2</v>
      </c>
      <c r="AZ7" s="393">
        <f>협력사등급별MM!AK8</f>
        <v>2</v>
      </c>
      <c r="BA7" s="393">
        <f t="shared" si="12"/>
        <v>0</v>
      </c>
      <c r="BC7" s="393">
        <f>견적기준통합!Z7</f>
        <v>2</v>
      </c>
      <c r="BD7" s="393">
        <f>협력사등급별MM!AM8</f>
        <v>2</v>
      </c>
      <c r="BE7" s="393">
        <f t="shared" si="13"/>
        <v>0</v>
      </c>
      <c r="BG7" s="393">
        <f>견적기준통합!AA7</f>
        <v>2</v>
      </c>
      <c r="BH7" s="393">
        <f>협력사등급별MM!AO8</f>
        <v>2</v>
      </c>
      <c r="BI7" s="393">
        <f t="shared" si="14"/>
        <v>0</v>
      </c>
    </row>
    <row r="8" spans="2:61">
      <c r="B8" s="481" t="s">
        <v>56</v>
      </c>
      <c r="C8" s="393">
        <f>견적기준통합!M8</f>
        <v>11</v>
      </c>
      <c r="D8" s="393">
        <f>협력사등급별MM!M9</f>
        <v>6.5</v>
      </c>
      <c r="E8" s="480">
        <f t="shared" si="0"/>
        <v>-4.5</v>
      </c>
      <c r="G8" s="393">
        <f>견적기준통합!N8</f>
        <v>12</v>
      </c>
      <c r="H8" s="393">
        <f>협력사등급별MM!O9</f>
        <v>12</v>
      </c>
      <c r="I8" s="480">
        <f t="shared" si="1"/>
        <v>0</v>
      </c>
      <c r="K8" s="393">
        <f>견적기준통합!O8</f>
        <v>15</v>
      </c>
      <c r="L8" s="393">
        <f>협력사등급별MM!Q9</f>
        <v>17</v>
      </c>
      <c r="M8" s="480">
        <f t="shared" si="2"/>
        <v>2</v>
      </c>
      <c r="O8" s="393">
        <f>견적기준통합!P8</f>
        <v>15</v>
      </c>
      <c r="P8" s="393">
        <f>협력사등급별MM!S9</f>
        <v>17</v>
      </c>
      <c r="Q8" s="393">
        <f t="shared" si="3"/>
        <v>2</v>
      </c>
      <c r="S8" s="393">
        <f>견적기준통합!Q8</f>
        <v>14.5</v>
      </c>
      <c r="T8" s="393">
        <f>협력사등급별MM!U9</f>
        <v>17</v>
      </c>
      <c r="U8" s="393">
        <f t="shared" si="4"/>
        <v>2.5</v>
      </c>
      <c r="W8" s="393">
        <f>견적기준통합!R8</f>
        <v>14</v>
      </c>
      <c r="X8" s="393">
        <f>협력사등급별MM!W9</f>
        <v>17</v>
      </c>
      <c r="Y8" s="393">
        <f t="shared" si="5"/>
        <v>3</v>
      </c>
      <c r="AA8" s="393">
        <f>견적기준통합!S8</f>
        <v>14</v>
      </c>
      <c r="AB8" s="393">
        <f>협력사등급별MM!Y9</f>
        <v>17</v>
      </c>
      <c r="AC8" s="393">
        <f t="shared" si="6"/>
        <v>3</v>
      </c>
      <c r="AE8" s="393">
        <f>견적기준통합!T8</f>
        <v>14</v>
      </c>
      <c r="AF8" s="393">
        <f>협력사등급별MM!AA9</f>
        <v>15.75</v>
      </c>
      <c r="AG8" s="393">
        <f t="shared" si="7"/>
        <v>1.75</v>
      </c>
      <c r="AI8" s="393">
        <f>견적기준통합!U8</f>
        <v>14</v>
      </c>
      <c r="AJ8" s="393">
        <f>협력사등급별MM!AC9</f>
        <v>15</v>
      </c>
      <c r="AK8" s="393">
        <f t="shared" si="8"/>
        <v>1</v>
      </c>
      <c r="AM8" s="393">
        <f>견적기준통합!V8</f>
        <v>12</v>
      </c>
      <c r="AN8" s="393">
        <f>협력사등급별MM!AE9</f>
        <v>11</v>
      </c>
      <c r="AO8" s="393">
        <f t="shared" si="9"/>
        <v>-1</v>
      </c>
      <c r="AQ8" s="393">
        <f>견적기준통합!W8</f>
        <v>11</v>
      </c>
      <c r="AR8" s="393">
        <f>협력사등급별MM!AG9</f>
        <v>7.5</v>
      </c>
      <c r="AS8" s="393">
        <f t="shared" si="10"/>
        <v>-3.5</v>
      </c>
      <c r="AU8" s="393">
        <f>견적기준통합!X8</f>
        <v>9.5</v>
      </c>
      <c r="AV8" s="393">
        <f>협력사등급별MM!AI9</f>
        <v>6.25</v>
      </c>
      <c r="AW8" s="393">
        <f t="shared" si="11"/>
        <v>-3.25</v>
      </c>
      <c r="AY8" s="393">
        <f>견적기준통합!Y8</f>
        <v>8</v>
      </c>
      <c r="AZ8" s="393">
        <f>협력사등급별MM!AK9</f>
        <v>5.5</v>
      </c>
      <c r="BA8" s="393">
        <f t="shared" si="12"/>
        <v>-2.5</v>
      </c>
      <c r="BC8" s="393">
        <f>견적기준통합!Z8</f>
        <v>6</v>
      </c>
      <c r="BD8" s="393">
        <f>협력사등급별MM!AM9</f>
        <v>5</v>
      </c>
      <c r="BE8" s="393">
        <f t="shared" si="13"/>
        <v>-1</v>
      </c>
      <c r="BG8" s="393">
        <f>견적기준통합!AA8</f>
        <v>2</v>
      </c>
      <c r="BH8" s="393">
        <f>협력사등급별MM!AO9</f>
        <v>2.5</v>
      </c>
      <c r="BI8" s="393">
        <f t="shared" si="14"/>
        <v>0.5</v>
      </c>
    </row>
    <row r="9" spans="2:61">
      <c r="B9" s="482" t="s">
        <v>57</v>
      </c>
      <c r="C9" s="393">
        <f>견적기준통합!M9</f>
        <v>16</v>
      </c>
      <c r="D9" s="393">
        <f>협력사등급별MM!M10</f>
        <v>16.75</v>
      </c>
      <c r="E9" s="480">
        <f t="shared" si="0"/>
        <v>0.75</v>
      </c>
      <c r="G9" s="393">
        <f>견적기준통합!N9</f>
        <v>16</v>
      </c>
      <c r="H9" s="393">
        <f>협력사등급별MM!O10</f>
        <v>18</v>
      </c>
      <c r="I9" s="480">
        <f t="shared" si="1"/>
        <v>2</v>
      </c>
      <c r="K9" s="393">
        <f>견적기준통합!O9</f>
        <v>16</v>
      </c>
      <c r="L9" s="393">
        <f>협력사등급별MM!Q10</f>
        <v>19</v>
      </c>
      <c r="M9" s="480">
        <f t="shared" si="2"/>
        <v>3</v>
      </c>
      <c r="O9" s="393">
        <f>견적기준통합!P9</f>
        <v>16.5</v>
      </c>
      <c r="P9" s="393">
        <f>협력사등급별MM!S10</f>
        <v>19</v>
      </c>
      <c r="Q9" s="393">
        <f t="shared" si="3"/>
        <v>2.5</v>
      </c>
      <c r="S9" s="393">
        <f>견적기준통합!Q9</f>
        <v>42</v>
      </c>
      <c r="T9" s="393">
        <f>협력사등급별MM!U10</f>
        <v>41</v>
      </c>
      <c r="U9" s="393">
        <f t="shared" si="4"/>
        <v>-1</v>
      </c>
      <c r="W9" s="393">
        <f>견적기준통합!R9</f>
        <v>42</v>
      </c>
      <c r="X9" s="393">
        <f>협력사등급별MM!W10</f>
        <v>43.5</v>
      </c>
      <c r="Y9" s="393">
        <f t="shared" si="5"/>
        <v>1.5</v>
      </c>
      <c r="AA9" s="393">
        <f>견적기준통합!S9</f>
        <v>45</v>
      </c>
      <c r="AB9" s="393">
        <f>협력사등급별MM!Y10</f>
        <v>46</v>
      </c>
      <c r="AC9" s="393">
        <f t="shared" si="6"/>
        <v>1</v>
      </c>
      <c r="AE9" s="393">
        <f>견적기준통합!T9</f>
        <v>45</v>
      </c>
      <c r="AF9" s="393">
        <f>협력사등급별MM!AA10</f>
        <v>46</v>
      </c>
      <c r="AG9" s="393">
        <f t="shared" si="7"/>
        <v>1</v>
      </c>
      <c r="AI9" s="393">
        <f>견적기준통합!U9</f>
        <v>45</v>
      </c>
      <c r="AJ9" s="393">
        <f>협력사등급별MM!AC10</f>
        <v>46</v>
      </c>
      <c r="AK9" s="393">
        <f t="shared" si="8"/>
        <v>1</v>
      </c>
      <c r="AM9" s="393">
        <f>견적기준통합!V9</f>
        <v>45</v>
      </c>
      <c r="AN9" s="393">
        <f>협력사등급별MM!AE10</f>
        <v>46</v>
      </c>
      <c r="AO9" s="393">
        <f t="shared" si="9"/>
        <v>1</v>
      </c>
      <c r="AQ9" s="393">
        <f>견적기준통합!W9</f>
        <v>45</v>
      </c>
      <c r="AR9" s="393">
        <f>협력사등급별MM!AG10</f>
        <v>46</v>
      </c>
      <c r="AS9" s="393">
        <f t="shared" si="10"/>
        <v>1</v>
      </c>
      <c r="AU9" s="393">
        <f>견적기준통합!X9</f>
        <v>45</v>
      </c>
      <c r="AV9" s="393">
        <f>협력사등급별MM!AI10</f>
        <v>46</v>
      </c>
      <c r="AW9" s="393">
        <f t="shared" si="11"/>
        <v>1</v>
      </c>
      <c r="AY9" s="393">
        <f>견적기준통합!Y9</f>
        <v>45</v>
      </c>
      <c r="AZ9" s="393">
        <f>협력사등급별MM!AK10</f>
        <v>46</v>
      </c>
      <c r="BA9" s="393">
        <f t="shared" si="12"/>
        <v>1</v>
      </c>
      <c r="BC9" s="393">
        <f>견적기준통합!Z9</f>
        <v>45</v>
      </c>
      <c r="BD9" s="393">
        <f>협력사등급별MM!AM10</f>
        <v>46</v>
      </c>
      <c r="BE9" s="393">
        <f t="shared" si="13"/>
        <v>1</v>
      </c>
      <c r="BG9" s="393">
        <f>견적기준통합!AA9</f>
        <v>26</v>
      </c>
      <c r="BH9" s="393">
        <f>협력사등급별MM!AO10</f>
        <v>34</v>
      </c>
      <c r="BI9" s="393">
        <f t="shared" si="14"/>
        <v>8</v>
      </c>
    </row>
    <row r="10" spans="2:61">
      <c r="B10" s="482" t="s">
        <v>348</v>
      </c>
      <c r="C10" s="393">
        <f>견적기준통합!M10</f>
        <v>1.25</v>
      </c>
      <c r="D10" s="393">
        <f>협력사등급별MM!M11</f>
        <v>0</v>
      </c>
      <c r="E10" s="480">
        <f t="shared" si="0"/>
        <v>-1.25</v>
      </c>
      <c r="G10" s="393">
        <f>견적기준통합!N10</f>
        <v>0.75</v>
      </c>
      <c r="H10" s="393">
        <f>협력사등급별MM!O11</f>
        <v>0</v>
      </c>
      <c r="I10" s="480">
        <f t="shared" si="1"/>
        <v>-0.75</v>
      </c>
      <c r="K10" s="393">
        <f>견적기준통합!O10</f>
        <v>0.5</v>
      </c>
      <c r="L10" s="393">
        <f>협력사등급별MM!Q11</f>
        <v>0</v>
      </c>
      <c r="M10" s="480">
        <f t="shared" si="2"/>
        <v>-0.5</v>
      </c>
      <c r="O10" s="393">
        <f>견적기준통합!P10</f>
        <v>0.5</v>
      </c>
      <c r="P10" s="393">
        <f>협력사등급별MM!S11</f>
        <v>0</v>
      </c>
      <c r="Q10" s="393">
        <f t="shared" si="3"/>
        <v>-0.5</v>
      </c>
      <c r="S10" s="393">
        <f>견적기준통합!Q10</f>
        <v>3.25</v>
      </c>
      <c r="T10" s="393">
        <f>협력사등급별MM!U11</f>
        <v>0</v>
      </c>
      <c r="U10" s="393">
        <f t="shared" si="4"/>
        <v>-3.25</v>
      </c>
      <c r="W10" s="393">
        <f>견적기준통합!R10</f>
        <v>2.5</v>
      </c>
      <c r="X10" s="393">
        <f>협력사등급별MM!W11</f>
        <v>0</v>
      </c>
      <c r="Y10" s="393">
        <f t="shared" si="5"/>
        <v>-2.5</v>
      </c>
      <c r="AA10" s="393">
        <f>견적기준통합!S10</f>
        <v>2.5</v>
      </c>
      <c r="AB10" s="393">
        <f>협력사등급별MM!Y11</f>
        <v>0</v>
      </c>
      <c r="AC10" s="393">
        <f t="shared" si="6"/>
        <v>-2.5</v>
      </c>
      <c r="AE10" s="393">
        <f>견적기준통합!T10</f>
        <v>2.5</v>
      </c>
      <c r="AF10" s="393">
        <f>협력사등급별MM!AA11</f>
        <v>0</v>
      </c>
      <c r="AG10" s="393">
        <f t="shared" si="7"/>
        <v>-2.5</v>
      </c>
      <c r="AI10" s="393">
        <f>견적기준통합!U10</f>
        <v>3.5</v>
      </c>
      <c r="AJ10" s="393">
        <f>협력사등급별MM!AC11</f>
        <v>0</v>
      </c>
      <c r="AK10" s="393">
        <f t="shared" si="8"/>
        <v>-3.5</v>
      </c>
      <c r="AM10" s="393">
        <f>견적기준통합!V10</f>
        <v>3.5</v>
      </c>
      <c r="AN10" s="393">
        <f>협력사등급별MM!AE11</f>
        <v>0</v>
      </c>
      <c r="AO10" s="393">
        <f t="shared" si="9"/>
        <v>-3.5</v>
      </c>
      <c r="AQ10" s="393">
        <f>견적기준통합!W10</f>
        <v>3.75</v>
      </c>
      <c r="AR10" s="393">
        <f>협력사등급별MM!AG11</f>
        <v>0</v>
      </c>
      <c r="AS10" s="393">
        <f t="shared" si="10"/>
        <v>-3.75</v>
      </c>
      <c r="AU10" s="393">
        <f>견적기준통합!X10</f>
        <v>3.5</v>
      </c>
      <c r="AV10" s="393">
        <f>협력사등급별MM!AI11</f>
        <v>0</v>
      </c>
      <c r="AW10" s="393">
        <f t="shared" si="11"/>
        <v>-3.5</v>
      </c>
      <c r="AY10" s="393">
        <f>견적기준통합!Y10</f>
        <v>2.5</v>
      </c>
      <c r="AZ10" s="393">
        <f>협력사등급별MM!AK11</f>
        <v>0</v>
      </c>
      <c r="BA10" s="393">
        <f t="shared" si="12"/>
        <v>-2.5</v>
      </c>
      <c r="BC10" s="393">
        <f>견적기준통합!Z10</f>
        <v>0.5</v>
      </c>
      <c r="BD10" s="393">
        <f>협력사등급별MM!AM11</f>
        <v>0</v>
      </c>
      <c r="BE10" s="393">
        <f t="shared" si="13"/>
        <v>-0.5</v>
      </c>
      <c r="BG10" s="393">
        <f>견적기준통합!AA10</f>
        <v>0.5</v>
      </c>
      <c r="BH10" s="393">
        <f>협력사등급별MM!AO11</f>
        <v>0</v>
      </c>
      <c r="BI10" s="393">
        <f t="shared" si="14"/>
        <v>-0.5</v>
      </c>
    </row>
    <row r="11" spans="2:61">
      <c r="B11" s="482" t="s">
        <v>58</v>
      </c>
      <c r="C11" s="393">
        <f>견적기준통합!M11</f>
        <v>2</v>
      </c>
      <c r="D11" s="393">
        <f>협력사등급별MM!M12</f>
        <v>2</v>
      </c>
      <c r="E11" s="480">
        <f t="shared" si="0"/>
        <v>0</v>
      </c>
      <c r="G11" s="393">
        <f>견적기준통합!N11</f>
        <v>2.5</v>
      </c>
      <c r="H11" s="393">
        <f>협력사등급별MM!O12</f>
        <v>3.4000000000000004</v>
      </c>
      <c r="I11" s="480">
        <f t="shared" si="1"/>
        <v>0.90000000000000036</v>
      </c>
      <c r="K11" s="393">
        <f>견적기준통합!O11</f>
        <v>4.5</v>
      </c>
      <c r="L11" s="393">
        <f>협력사등급별MM!Q12</f>
        <v>4</v>
      </c>
      <c r="M11" s="480">
        <f t="shared" si="2"/>
        <v>-0.5</v>
      </c>
      <c r="O11" s="393">
        <f>견적기준통합!P11</f>
        <v>5.5</v>
      </c>
      <c r="P11" s="393">
        <f>협력사등급별MM!S12</f>
        <v>5.4</v>
      </c>
      <c r="Q11" s="393">
        <f t="shared" si="3"/>
        <v>-9.9999999999999645E-2</v>
      </c>
      <c r="S11" s="393">
        <f>견적기준통합!Q11</f>
        <v>7.5</v>
      </c>
      <c r="T11" s="393">
        <f>협력사등급별MM!U12</f>
        <v>9</v>
      </c>
      <c r="U11" s="393">
        <f t="shared" si="4"/>
        <v>1.5</v>
      </c>
      <c r="W11" s="393">
        <f>견적기준통합!R11</f>
        <v>8</v>
      </c>
      <c r="X11" s="393">
        <f>협력사등급별MM!W12</f>
        <v>9</v>
      </c>
      <c r="Y11" s="393">
        <f t="shared" si="5"/>
        <v>1</v>
      </c>
      <c r="AA11" s="393">
        <f>견적기준통합!S11</f>
        <v>8</v>
      </c>
      <c r="AB11" s="393">
        <f>협력사등급별MM!Y12</f>
        <v>7</v>
      </c>
      <c r="AC11" s="393">
        <f t="shared" si="6"/>
        <v>-1</v>
      </c>
      <c r="AE11" s="393">
        <f>견적기준통합!T11</f>
        <v>8</v>
      </c>
      <c r="AF11" s="393">
        <f>협력사등급별MM!AA12</f>
        <v>7</v>
      </c>
      <c r="AG11" s="393">
        <f t="shared" si="7"/>
        <v>-1</v>
      </c>
      <c r="AI11" s="393">
        <f>견적기준통합!U11</f>
        <v>8</v>
      </c>
      <c r="AJ11" s="393">
        <f>협력사등급별MM!AC12</f>
        <v>6.5</v>
      </c>
      <c r="AK11" s="393">
        <f t="shared" si="8"/>
        <v>-1.5</v>
      </c>
      <c r="AM11" s="393">
        <f>견적기준통합!V11</f>
        <v>8</v>
      </c>
      <c r="AN11" s="393">
        <f>협력사등급별MM!AE12</f>
        <v>6</v>
      </c>
      <c r="AO11" s="393">
        <f t="shared" si="9"/>
        <v>-2</v>
      </c>
      <c r="AQ11" s="393">
        <f>견적기준통합!W11</f>
        <v>8</v>
      </c>
      <c r="AR11" s="393">
        <f>협력사등급별MM!AG12</f>
        <v>6</v>
      </c>
      <c r="AS11" s="393">
        <f t="shared" si="10"/>
        <v>-2</v>
      </c>
      <c r="AU11" s="393">
        <f>견적기준통합!X11</f>
        <v>8</v>
      </c>
      <c r="AV11" s="393">
        <f>협력사등급별MM!AI12</f>
        <v>3</v>
      </c>
      <c r="AW11" s="393">
        <f t="shared" si="11"/>
        <v>-5</v>
      </c>
      <c r="AY11" s="393">
        <f>견적기준통합!Y11</f>
        <v>8</v>
      </c>
      <c r="AZ11" s="393">
        <f>협력사등급별MM!AK12</f>
        <v>2.2999999999999998</v>
      </c>
      <c r="BA11" s="393">
        <f t="shared" si="12"/>
        <v>-5.7</v>
      </c>
      <c r="BC11" s="393">
        <f>견적기준통합!Z11</f>
        <v>5.5</v>
      </c>
      <c r="BD11" s="393">
        <f>협력사등급별MM!AM12</f>
        <v>1</v>
      </c>
      <c r="BE11" s="393">
        <f t="shared" si="13"/>
        <v>-4.5</v>
      </c>
      <c r="BG11" s="393">
        <f>견적기준통합!AA11</f>
        <v>1.5</v>
      </c>
      <c r="BH11" s="393">
        <f>협력사등급별MM!AO12</f>
        <v>0.5</v>
      </c>
      <c r="BI11" s="393">
        <f t="shared" si="14"/>
        <v>-1</v>
      </c>
    </row>
    <row r="12" spans="2:61">
      <c r="B12" s="482" t="s">
        <v>40</v>
      </c>
      <c r="C12" s="393">
        <f>견적기준통합!M12</f>
        <v>6</v>
      </c>
      <c r="D12" s="393">
        <f>협력사등급별MM!M13</f>
        <v>2.75</v>
      </c>
      <c r="E12" s="480">
        <f t="shared" si="0"/>
        <v>-3.25</v>
      </c>
      <c r="G12" s="393">
        <f>견적기준통합!N12</f>
        <v>12</v>
      </c>
      <c r="H12" s="393">
        <f>협력사등급별MM!O13</f>
        <v>7.45</v>
      </c>
      <c r="I12" s="480">
        <f t="shared" si="1"/>
        <v>-4.55</v>
      </c>
      <c r="K12" s="393">
        <f>견적기준통합!O12</f>
        <v>12</v>
      </c>
      <c r="L12" s="393">
        <f>협력사등급별MM!Q13</f>
        <v>11.350000000000001</v>
      </c>
      <c r="M12" s="480">
        <f t="shared" si="2"/>
        <v>-0.64999999999999858</v>
      </c>
      <c r="O12" s="393">
        <f>견적기준통합!P12</f>
        <v>15</v>
      </c>
      <c r="P12" s="393">
        <f>협력사등급별MM!S13</f>
        <v>17.05</v>
      </c>
      <c r="Q12" s="393">
        <f t="shared" si="3"/>
        <v>2.0500000000000007</v>
      </c>
      <c r="S12" s="393">
        <f>견적기준통합!Q12</f>
        <v>22</v>
      </c>
      <c r="T12" s="393">
        <f>협력사등급별MM!U13</f>
        <v>16.5</v>
      </c>
      <c r="U12" s="393">
        <f t="shared" si="4"/>
        <v>-5.5</v>
      </c>
      <c r="W12" s="393">
        <f>견적기준통합!R12</f>
        <v>19</v>
      </c>
      <c r="X12" s="393">
        <f>협력사등급별MM!W13</f>
        <v>22</v>
      </c>
      <c r="Y12" s="393">
        <f t="shared" si="5"/>
        <v>3</v>
      </c>
      <c r="AA12" s="393">
        <f>견적기준통합!S12</f>
        <v>17</v>
      </c>
      <c r="AB12" s="393">
        <f>협력사등급별MM!Y13</f>
        <v>21</v>
      </c>
      <c r="AC12" s="393">
        <f t="shared" si="6"/>
        <v>4</v>
      </c>
      <c r="AE12" s="393">
        <f>견적기준통합!T12</f>
        <v>17</v>
      </c>
      <c r="AF12" s="393">
        <f>협력사등급별MM!AA13</f>
        <v>17.95</v>
      </c>
      <c r="AG12" s="393">
        <f t="shared" si="7"/>
        <v>0.94999999999999929</v>
      </c>
      <c r="AI12" s="393">
        <f>견적기준통합!U12</f>
        <v>17</v>
      </c>
      <c r="AJ12" s="393">
        <f>협력사등급별MM!AC13</f>
        <v>17</v>
      </c>
      <c r="AK12" s="393">
        <f t="shared" si="8"/>
        <v>0</v>
      </c>
      <c r="AM12" s="393">
        <f>견적기준통합!V12</f>
        <v>17</v>
      </c>
      <c r="AN12" s="393">
        <f>협력사등급별MM!AE13</f>
        <v>17</v>
      </c>
      <c r="AO12" s="393">
        <f t="shared" si="9"/>
        <v>0</v>
      </c>
      <c r="AQ12" s="393">
        <f>견적기준통합!W12</f>
        <v>16</v>
      </c>
      <c r="AR12" s="393">
        <f>협력사등급별MM!AG13</f>
        <v>18</v>
      </c>
      <c r="AS12" s="393">
        <f t="shared" si="10"/>
        <v>2</v>
      </c>
      <c r="AU12" s="393">
        <f>견적기준통합!X12</f>
        <v>16</v>
      </c>
      <c r="AV12" s="393">
        <f>협력사등급별MM!AI13</f>
        <v>17.5</v>
      </c>
      <c r="AW12" s="393">
        <f t="shared" si="11"/>
        <v>1.5</v>
      </c>
      <c r="AY12" s="393">
        <f>견적기준통합!Y12</f>
        <v>15</v>
      </c>
      <c r="AZ12" s="393">
        <f>협력사등급별MM!AK13</f>
        <v>15</v>
      </c>
      <c r="BA12" s="393">
        <f t="shared" si="12"/>
        <v>0</v>
      </c>
      <c r="BC12" s="393">
        <f>견적기준통합!Z12</f>
        <v>13</v>
      </c>
      <c r="BD12" s="393">
        <f>협력사등급별MM!AM13</f>
        <v>6.25</v>
      </c>
      <c r="BE12" s="393">
        <f t="shared" si="13"/>
        <v>-6.75</v>
      </c>
      <c r="BG12" s="393">
        <f>견적기준통합!AA12</f>
        <v>7</v>
      </c>
      <c r="BH12" s="393">
        <f>협력사등급별MM!AO13</f>
        <v>0</v>
      </c>
      <c r="BI12" s="393">
        <f t="shared" si="14"/>
        <v>-7</v>
      </c>
    </row>
    <row r="13" spans="2:61">
      <c r="B13" s="482" t="s">
        <v>59</v>
      </c>
      <c r="C13" s="393">
        <f>견적기준통합!M13</f>
        <v>4</v>
      </c>
      <c r="D13" s="393">
        <f>협력사등급별MM!M14</f>
        <v>4</v>
      </c>
      <c r="E13" s="480">
        <f t="shared" si="0"/>
        <v>0</v>
      </c>
      <c r="G13" s="393">
        <f>견적기준통합!N13</f>
        <v>6</v>
      </c>
      <c r="H13" s="393">
        <f>협력사등급별MM!O14</f>
        <v>5</v>
      </c>
      <c r="I13" s="480">
        <f t="shared" si="1"/>
        <v>-1</v>
      </c>
      <c r="K13" s="393">
        <f>견적기준통합!O13</f>
        <v>7</v>
      </c>
      <c r="L13" s="393">
        <f>협력사등급별MM!Q14</f>
        <v>6</v>
      </c>
      <c r="M13" s="480">
        <f t="shared" si="2"/>
        <v>-1</v>
      </c>
      <c r="O13" s="393">
        <f>견적기준통합!P13</f>
        <v>7</v>
      </c>
      <c r="P13" s="393">
        <f>협력사등급별MM!S14</f>
        <v>7</v>
      </c>
      <c r="Q13" s="393">
        <f t="shared" si="3"/>
        <v>0</v>
      </c>
      <c r="S13" s="393">
        <f>견적기준통합!Q13</f>
        <v>9</v>
      </c>
      <c r="T13" s="393">
        <f>협력사등급별MM!U14</f>
        <v>9.5</v>
      </c>
      <c r="U13" s="393">
        <f t="shared" si="4"/>
        <v>0.5</v>
      </c>
      <c r="W13" s="393">
        <f>견적기준통합!R13</f>
        <v>9</v>
      </c>
      <c r="X13" s="393">
        <f>협력사등급별MM!W14</f>
        <v>10</v>
      </c>
      <c r="Y13" s="393">
        <f t="shared" si="5"/>
        <v>1</v>
      </c>
      <c r="AA13" s="393">
        <f>견적기준통합!S13</f>
        <v>9</v>
      </c>
      <c r="AB13" s="393">
        <f>협력사등급별MM!Y14</f>
        <v>10</v>
      </c>
      <c r="AC13" s="393">
        <f t="shared" si="6"/>
        <v>1</v>
      </c>
      <c r="AE13" s="393">
        <f>견적기준통합!T13</f>
        <v>9</v>
      </c>
      <c r="AF13" s="393">
        <f>협력사등급별MM!AA14</f>
        <v>10</v>
      </c>
      <c r="AG13" s="393">
        <f t="shared" si="7"/>
        <v>1</v>
      </c>
      <c r="AI13" s="393">
        <f>견적기준통합!U13</f>
        <v>9</v>
      </c>
      <c r="AJ13" s="393">
        <f>협력사등급별MM!AC14</f>
        <v>10</v>
      </c>
      <c r="AK13" s="393">
        <f t="shared" si="8"/>
        <v>1</v>
      </c>
      <c r="AM13" s="393">
        <f>견적기준통합!V13</f>
        <v>9</v>
      </c>
      <c r="AN13" s="393">
        <f>협력사등급별MM!AE14</f>
        <v>9.5</v>
      </c>
      <c r="AO13" s="393">
        <f t="shared" si="9"/>
        <v>0.5</v>
      </c>
      <c r="AQ13" s="393">
        <f>견적기준통합!W13</f>
        <v>8</v>
      </c>
      <c r="AR13" s="393">
        <f>협력사등급별MM!AG14</f>
        <v>7</v>
      </c>
      <c r="AS13" s="393">
        <f t="shared" si="10"/>
        <v>-1</v>
      </c>
      <c r="AU13" s="393">
        <f>견적기준통합!X13</f>
        <v>8</v>
      </c>
      <c r="AV13" s="393">
        <f>협력사등급별MM!AI14</f>
        <v>6</v>
      </c>
      <c r="AW13" s="393">
        <f t="shared" si="11"/>
        <v>-2</v>
      </c>
      <c r="AY13" s="393">
        <f>견적기준통합!Y13</f>
        <v>6</v>
      </c>
      <c r="AZ13" s="393">
        <f>협력사등급별MM!AK14</f>
        <v>6</v>
      </c>
      <c r="BA13" s="393">
        <f t="shared" si="12"/>
        <v>0</v>
      </c>
      <c r="BC13" s="393">
        <f>견적기준통합!Z13</f>
        <v>4</v>
      </c>
      <c r="BD13" s="393">
        <f>협력사등급별MM!AM14</f>
        <v>4</v>
      </c>
      <c r="BE13" s="393">
        <f t="shared" si="13"/>
        <v>0</v>
      </c>
      <c r="BG13" s="393">
        <f>견적기준통합!AA13</f>
        <v>4</v>
      </c>
      <c r="BH13" s="393">
        <f>협력사등급별MM!AO14</f>
        <v>4</v>
      </c>
      <c r="BI13" s="393">
        <f t="shared" si="14"/>
        <v>0</v>
      </c>
    </row>
    <row r="14" spans="2:61">
      <c r="B14" s="483" t="s">
        <v>60</v>
      </c>
      <c r="C14" s="393">
        <f>견적기준통합!M14</f>
        <v>0</v>
      </c>
      <c r="D14" s="393">
        <f>협력사등급별MM!M15</f>
        <v>0</v>
      </c>
      <c r="E14" s="480">
        <f t="shared" si="0"/>
        <v>0</v>
      </c>
      <c r="G14" s="393">
        <f>견적기준통합!N14</f>
        <v>0</v>
      </c>
      <c r="H14" s="393">
        <f>협력사등급별MM!O15</f>
        <v>0.4</v>
      </c>
      <c r="I14" s="480">
        <f t="shared" si="1"/>
        <v>0.4</v>
      </c>
      <c r="K14" s="393">
        <f>견적기준통합!O14</f>
        <v>0</v>
      </c>
      <c r="L14" s="393">
        <f>협력사등급별MM!Q15</f>
        <v>0.4</v>
      </c>
      <c r="M14" s="480">
        <f t="shared" si="2"/>
        <v>0.4</v>
      </c>
      <c r="O14" s="393">
        <f>견적기준통합!P14</f>
        <v>0</v>
      </c>
      <c r="P14" s="393">
        <f>협력사등급별MM!S15</f>
        <v>0.4</v>
      </c>
      <c r="Q14" s="393">
        <f t="shared" si="3"/>
        <v>0.4</v>
      </c>
      <c r="S14" s="393">
        <f>견적기준통합!Q14</f>
        <v>0</v>
      </c>
      <c r="T14" s="393">
        <f>협력사등급별MM!U15</f>
        <v>0.4</v>
      </c>
      <c r="U14" s="393">
        <f t="shared" si="4"/>
        <v>0.4</v>
      </c>
      <c r="W14" s="393">
        <f>견적기준통합!R14</f>
        <v>0</v>
      </c>
      <c r="X14" s="393">
        <f>협력사등급별MM!W15</f>
        <v>0.4</v>
      </c>
      <c r="Y14" s="393">
        <f t="shared" si="5"/>
        <v>0.4</v>
      </c>
      <c r="AA14" s="393">
        <f>견적기준통합!S14</f>
        <v>5</v>
      </c>
      <c r="AB14" s="393">
        <f>협력사등급별MM!Y15</f>
        <v>6</v>
      </c>
      <c r="AC14" s="393">
        <f t="shared" si="6"/>
        <v>1</v>
      </c>
      <c r="AE14" s="393">
        <f>견적기준통합!T14</f>
        <v>8</v>
      </c>
      <c r="AF14" s="393">
        <f>협력사등급별MM!AA15</f>
        <v>11</v>
      </c>
      <c r="AG14" s="393">
        <f t="shared" si="7"/>
        <v>3</v>
      </c>
      <c r="AI14" s="393">
        <f>견적기준통합!U14</f>
        <v>9</v>
      </c>
      <c r="AJ14" s="393">
        <f>협력사등급별MM!AC15</f>
        <v>11</v>
      </c>
      <c r="AK14" s="393">
        <f t="shared" si="8"/>
        <v>2</v>
      </c>
      <c r="AM14" s="393">
        <f>견적기준통합!V14</f>
        <v>10</v>
      </c>
      <c r="AN14" s="393">
        <f>협력사등급별MM!AE15</f>
        <v>10</v>
      </c>
      <c r="AO14" s="393">
        <f t="shared" si="9"/>
        <v>0</v>
      </c>
      <c r="AQ14" s="393">
        <f>견적기준통합!W14</f>
        <v>12</v>
      </c>
      <c r="AR14" s="393">
        <f>협력사등급별MM!AG15</f>
        <v>10</v>
      </c>
      <c r="AS14" s="393">
        <f t="shared" si="10"/>
        <v>-2</v>
      </c>
      <c r="AU14" s="393">
        <f>견적기준통합!X14</f>
        <v>12</v>
      </c>
      <c r="AV14" s="393">
        <f>협력사등급별MM!AI15</f>
        <v>10</v>
      </c>
      <c r="AW14" s="393">
        <f t="shared" si="11"/>
        <v>-2</v>
      </c>
      <c r="AY14" s="393">
        <f>견적기준통합!Y14</f>
        <v>12</v>
      </c>
      <c r="AZ14" s="393">
        <f>협력사등급별MM!AK15</f>
        <v>10</v>
      </c>
      <c r="BA14" s="393">
        <f t="shared" si="12"/>
        <v>-2</v>
      </c>
      <c r="BC14" s="393">
        <f>견적기준통합!Z14</f>
        <v>12</v>
      </c>
      <c r="BD14" s="393">
        <f>협력사등급별MM!AM15</f>
        <v>10</v>
      </c>
      <c r="BE14" s="393">
        <f t="shared" si="13"/>
        <v>-2</v>
      </c>
      <c r="BG14" s="393">
        <f>견적기준통합!AA14</f>
        <v>0</v>
      </c>
      <c r="BH14" s="393">
        <f>협력사등급별MM!AO15</f>
        <v>0</v>
      </c>
      <c r="BI14" s="393">
        <f t="shared" si="14"/>
        <v>0</v>
      </c>
    </row>
    <row r="15" spans="2:61">
      <c r="B15" s="479" t="s">
        <v>41</v>
      </c>
      <c r="C15" s="393">
        <f>견적기준통합!M15</f>
        <v>0</v>
      </c>
      <c r="D15" s="393">
        <f>협력사등급별MM!M16</f>
        <v>0</v>
      </c>
      <c r="E15" s="480">
        <f t="shared" si="0"/>
        <v>0</v>
      </c>
      <c r="G15" s="393">
        <f>견적기준통합!N15</f>
        <v>0</v>
      </c>
      <c r="H15" s="393">
        <f>협력사등급별MM!O16</f>
        <v>0</v>
      </c>
      <c r="I15" s="480">
        <f t="shared" si="1"/>
        <v>0</v>
      </c>
      <c r="K15" s="393">
        <f>견적기준통합!O15</f>
        <v>0</v>
      </c>
      <c r="L15" s="393">
        <f>협력사등급별MM!Q16</f>
        <v>0</v>
      </c>
      <c r="M15" s="480">
        <f t="shared" si="2"/>
        <v>0</v>
      </c>
      <c r="O15" s="393">
        <f>견적기준통합!P15</f>
        <v>1</v>
      </c>
      <c r="P15" s="393">
        <f>협력사등급별MM!S16</f>
        <v>0</v>
      </c>
      <c r="Q15" s="393">
        <f t="shared" si="3"/>
        <v>-1</v>
      </c>
      <c r="S15" s="393">
        <f>견적기준통합!Q15</f>
        <v>1</v>
      </c>
      <c r="T15" s="393">
        <f>협력사등급별MM!U16</f>
        <v>0</v>
      </c>
      <c r="U15" s="393">
        <f t="shared" si="4"/>
        <v>-1</v>
      </c>
      <c r="W15" s="393">
        <f>견적기준통합!R15</f>
        <v>1</v>
      </c>
      <c r="X15" s="393">
        <f>협력사등급별MM!W16</f>
        <v>1</v>
      </c>
      <c r="Y15" s="393">
        <f t="shared" si="5"/>
        <v>0</v>
      </c>
      <c r="AA15" s="393">
        <f>견적기준통합!S15</f>
        <v>1</v>
      </c>
      <c r="AB15" s="393">
        <f>협력사등급별MM!Y16</f>
        <v>1</v>
      </c>
      <c r="AC15" s="393">
        <f t="shared" si="6"/>
        <v>0</v>
      </c>
      <c r="AE15" s="393">
        <f>견적기준통합!T15</f>
        <v>1</v>
      </c>
      <c r="AF15" s="393">
        <f>협력사등급별MM!AA16</f>
        <v>1</v>
      </c>
      <c r="AG15" s="393">
        <f t="shared" si="7"/>
        <v>0</v>
      </c>
      <c r="AI15" s="393">
        <f>견적기준통합!U15</f>
        <v>1</v>
      </c>
      <c r="AJ15" s="393">
        <f>협력사등급별MM!AC16</f>
        <v>1</v>
      </c>
      <c r="AK15" s="393">
        <f t="shared" si="8"/>
        <v>0</v>
      </c>
      <c r="AM15" s="393">
        <f>견적기준통합!V15</f>
        <v>0.3</v>
      </c>
      <c r="AN15" s="393">
        <f>협력사등급별MM!AE16</f>
        <v>1</v>
      </c>
      <c r="AO15" s="393">
        <f t="shared" si="9"/>
        <v>0.7</v>
      </c>
      <c r="AQ15" s="393">
        <f>견적기준통합!W15</f>
        <v>0</v>
      </c>
      <c r="AR15" s="393">
        <f>협력사등급별MM!AG16</f>
        <v>1</v>
      </c>
      <c r="AS15" s="393">
        <f t="shared" si="10"/>
        <v>1</v>
      </c>
      <c r="AU15" s="393">
        <f>견적기준통합!X15</f>
        <v>0</v>
      </c>
      <c r="AV15" s="393">
        <f>협력사등급별MM!AI16</f>
        <v>0.3</v>
      </c>
      <c r="AW15" s="393">
        <f t="shared" si="11"/>
        <v>0.3</v>
      </c>
      <c r="AY15" s="393">
        <f>견적기준통합!Y15</f>
        <v>0</v>
      </c>
      <c r="AZ15" s="393">
        <f>협력사등급별MM!AK16</f>
        <v>0</v>
      </c>
      <c r="BA15" s="393">
        <f t="shared" si="12"/>
        <v>0</v>
      </c>
      <c r="BC15" s="393">
        <f>견적기준통합!Z15</f>
        <v>0</v>
      </c>
      <c r="BD15" s="393">
        <f>협력사등급별MM!AM16</f>
        <v>0</v>
      </c>
      <c r="BE15" s="393">
        <f t="shared" si="13"/>
        <v>0</v>
      </c>
      <c r="BG15" s="393">
        <f>견적기준통합!AA15</f>
        <v>0</v>
      </c>
      <c r="BH15" s="393">
        <f>협력사등급별MM!AO16</f>
        <v>0</v>
      </c>
      <c r="BI15" s="393">
        <f t="shared" si="14"/>
        <v>0</v>
      </c>
    </row>
    <row r="16" spans="2:61">
      <c r="B16" s="482" t="s">
        <v>61</v>
      </c>
      <c r="C16" s="393">
        <f>견적기준통합!M16</f>
        <v>0</v>
      </c>
      <c r="D16" s="393">
        <f>협력사등급별MM!M18</f>
        <v>1</v>
      </c>
      <c r="E16" s="480">
        <f t="shared" si="0"/>
        <v>1</v>
      </c>
      <c r="G16" s="393">
        <f>견적기준통합!N16</f>
        <v>4</v>
      </c>
      <c r="H16" s="393">
        <f>협력사등급별MM!O18</f>
        <v>4</v>
      </c>
      <c r="I16" s="480">
        <f t="shared" si="1"/>
        <v>0</v>
      </c>
      <c r="K16" s="393">
        <f>견적기준통합!O16</f>
        <v>4</v>
      </c>
      <c r="L16" s="393">
        <f>협력사등급별MM!Q18</f>
        <v>5.8</v>
      </c>
      <c r="M16" s="480">
        <f t="shared" si="2"/>
        <v>1.7999999999999998</v>
      </c>
      <c r="O16" s="393">
        <f>견적기준통합!P16</f>
        <v>4</v>
      </c>
      <c r="P16" s="393">
        <f>협력사등급별MM!S18</f>
        <v>6.3</v>
      </c>
      <c r="Q16" s="393">
        <f t="shared" si="3"/>
        <v>2.2999999999999998</v>
      </c>
      <c r="S16" s="393">
        <f>견적기준통합!Q16</f>
        <v>7.5</v>
      </c>
      <c r="T16" s="393">
        <f>협력사등급별MM!U18</f>
        <v>6.5</v>
      </c>
      <c r="U16" s="393">
        <f t="shared" si="4"/>
        <v>-1</v>
      </c>
      <c r="W16" s="393">
        <f>견적기준통합!R16</f>
        <v>9</v>
      </c>
      <c r="X16" s="393">
        <f>협력사등급별MM!W18</f>
        <v>6.5</v>
      </c>
      <c r="Y16" s="393">
        <f t="shared" si="5"/>
        <v>-2.5</v>
      </c>
      <c r="AA16" s="393">
        <f>견적기준통합!S16</f>
        <v>9</v>
      </c>
      <c r="AB16" s="393">
        <f>협력사등급별MM!Y18</f>
        <v>8</v>
      </c>
      <c r="AC16" s="393">
        <f t="shared" si="6"/>
        <v>-1</v>
      </c>
      <c r="AE16" s="393">
        <f>견적기준통합!T16</f>
        <v>9</v>
      </c>
      <c r="AF16" s="393">
        <f>협력사등급별MM!AA18</f>
        <v>8</v>
      </c>
      <c r="AG16" s="393">
        <f t="shared" si="7"/>
        <v>-1</v>
      </c>
      <c r="AI16" s="393">
        <f>견적기준통합!U16</f>
        <v>9</v>
      </c>
      <c r="AJ16" s="393">
        <f>협력사등급별MM!AC18</f>
        <v>9</v>
      </c>
      <c r="AK16" s="393">
        <f t="shared" si="8"/>
        <v>0</v>
      </c>
      <c r="AM16" s="393">
        <f>견적기준통합!V16</f>
        <v>9</v>
      </c>
      <c r="AN16" s="393">
        <f>협력사등급별MM!AE18</f>
        <v>9</v>
      </c>
      <c r="AO16" s="393">
        <f t="shared" si="9"/>
        <v>0</v>
      </c>
      <c r="AQ16" s="393">
        <f>견적기준통합!W16</f>
        <v>8</v>
      </c>
      <c r="AR16" s="393">
        <f>협력사등급별MM!AG18</f>
        <v>9</v>
      </c>
      <c r="AS16" s="393">
        <f t="shared" si="10"/>
        <v>1</v>
      </c>
      <c r="AU16" s="393">
        <f>견적기준통합!X16</f>
        <v>7</v>
      </c>
      <c r="AV16" s="393">
        <f>협력사등급별MM!AI18</f>
        <v>9</v>
      </c>
      <c r="AW16" s="393">
        <f t="shared" si="11"/>
        <v>2</v>
      </c>
      <c r="AY16" s="393">
        <f>견적기준통합!Y16</f>
        <v>7</v>
      </c>
      <c r="AZ16" s="393">
        <f>협력사등급별MM!AK18</f>
        <v>7</v>
      </c>
      <c r="BA16" s="393">
        <f t="shared" si="12"/>
        <v>0</v>
      </c>
      <c r="BC16" s="393">
        <f>견적기준통합!Z16</f>
        <v>5.5</v>
      </c>
      <c r="BD16" s="393">
        <f>협력사등급별MM!AM18</f>
        <v>6.5</v>
      </c>
      <c r="BE16" s="393">
        <f t="shared" si="13"/>
        <v>1</v>
      </c>
      <c r="BG16" s="393">
        <f>견적기준통합!AA16</f>
        <v>0</v>
      </c>
      <c r="BH16" s="393">
        <f>협력사등급별MM!AO18</f>
        <v>0</v>
      </c>
      <c r="BI16" s="393">
        <f t="shared" si="14"/>
        <v>0</v>
      </c>
    </row>
    <row r="17" spans="2:61">
      <c r="B17" s="484" t="s">
        <v>159</v>
      </c>
      <c r="C17" s="480">
        <f>SUM(C4:C16)</f>
        <v>58.25</v>
      </c>
      <c r="D17" s="480">
        <f>SUM(D4:D16)</f>
        <v>48.75</v>
      </c>
      <c r="E17" s="480">
        <f>SUM(E4:E16)</f>
        <v>-9.5</v>
      </c>
      <c r="G17" s="480">
        <f>SUM(G4:G16)</f>
        <v>73.75</v>
      </c>
      <c r="H17" s="480">
        <f>SUM(H4:H16)</f>
        <v>69.25</v>
      </c>
      <c r="I17" s="480">
        <f>SUM(I4:I16)</f>
        <v>-4.4999999999999991</v>
      </c>
      <c r="K17" s="480">
        <f>SUM(K4:K16)</f>
        <v>85</v>
      </c>
      <c r="L17" s="480">
        <f>SUM(L4:L16)</f>
        <v>86.55</v>
      </c>
      <c r="M17" s="480">
        <f>SUM(M4:M16)</f>
        <v>1.5500000000000012</v>
      </c>
      <c r="O17" s="480">
        <f>SUM(O4:O16)</f>
        <v>93.5</v>
      </c>
      <c r="P17" s="480">
        <f>SUM(P4:P16)</f>
        <v>95.850000000000009</v>
      </c>
      <c r="Q17" s="480">
        <f>SUM(Q4:Q16)</f>
        <v>2.35</v>
      </c>
      <c r="S17" s="480">
        <f>SUM(S4:S16)</f>
        <v>140.25</v>
      </c>
      <c r="T17" s="480">
        <f>SUM(T4:T16)</f>
        <v>128.4</v>
      </c>
      <c r="U17" s="480">
        <f>SUM(U4:U16)</f>
        <v>-11.85</v>
      </c>
      <c r="W17" s="480">
        <f>SUM(W4:W16)</f>
        <v>140.5</v>
      </c>
      <c r="X17" s="480">
        <f>SUM(X4:X16)</f>
        <v>144.4</v>
      </c>
      <c r="Y17" s="480">
        <f>SUM(Y4:Y16)</f>
        <v>3.9000000000000004</v>
      </c>
      <c r="AA17" s="480">
        <f>SUM(AA4:AA16)</f>
        <v>144.5</v>
      </c>
      <c r="AB17" s="480">
        <f>SUM(AB4:AB16)</f>
        <v>152.5</v>
      </c>
      <c r="AC17" s="480">
        <f>SUM(AC4:AC16)</f>
        <v>8</v>
      </c>
      <c r="AE17" s="480">
        <f>SUM(AE4:AE16)</f>
        <v>147.5</v>
      </c>
      <c r="AF17" s="480">
        <f>SUM(AF4:AF16)</f>
        <v>151.94999999999999</v>
      </c>
      <c r="AG17" s="480">
        <f>SUM(AG4:AG16)</f>
        <v>4.4499999999999993</v>
      </c>
      <c r="AI17" s="393">
        <f>견적기준통합!U17</f>
        <v>152</v>
      </c>
      <c r="AJ17" s="393">
        <f>협력사등급별MM!AC21</f>
        <v>156.19999999999999</v>
      </c>
      <c r="AK17" s="393">
        <f t="shared" si="8"/>
        <v>4.1999999999999886</v>
      </c>
      <c r="AM17" s="393">
        <f>견적기준통합!V17</f>
        <v>151.30000000000001</v>
      </c>
      <c r="AN17" s="393">
        <f>협력사등급별MM!AE21</f>
        <v>156.44999999999999</v>
      </c>
      <c r="AO17" s="393">
        <f t="shared" si="9"/>
        <v>5.1499999999999773</v>
      </c>
      <c r="AQ17" s="393">
        <f>견적기준통합!W17</f>
        <v>149.25</v>
      </c>
      <c r="AR17" s="393">
        <f>협력사등급별MM!AG21</f>
        <v>147.39999999999998</v>
      </c>
      <c r="AS17" s="393">
        <f t="shared" si="10"/>
        <v>-1.8500000000000227</v>
      </c>
      <c r="AU17" s="393">
        <f>견적기준통합!X17</f>
        <v>144.5</v>
      </c>
      <c r="AV17" s="393">
        <f>협력사등급별MM!AI21</f>
        <v>134.75</v>
      </c>
      <c r="AW17" s="393">
        <f t="shared" si="11"/>
        <v>-9.75</v>
      </c>
      <c r="AY17" s="393">
        <f>견적기준통합!Y17</f>
        <v>133.25</v>
      </c>
      <c r="AZ17" s="393">
        <f>협력사등급별MM!AK21</f>
        <v>122.2</v>
      </c>
      <c r="BA17" s="393">
        <f t="shared" si="12"/>
        <v>-11.049999999999997</v>
      </c>
      <c r="BC17" s="393">
        <f>견적기준통합!Z17</f>
        <v>112.5</v>
      </c>
      <c r="BD17" s="393">
        <f>협력사등급별MM!AM21</f>
        <v>103.45</v>
      </c>
      <c r="BE17" s="393">
        <f t="shared" si="13"/>
        <v>-9.0499999999999972</v>
      </c>
      <c r="BG17" s="393">
        <f>견적기준통합!AA17</f>
        <v>51</v>
      </c>
      <c r="BH17" s="393">
        <f>협력사등급별MM!AO21</f>
        <v>56.05</v>
      </c>
      <c r="BI17" s="393">
        <f t="shared" si="14"/>
        <v>5.0499999999999972</v>
      </c>
    </row>
    <row r="18" spans="2:61">
      <c r="B18" s="486" t="s">
        <v>479</v>
      </c>
      <c r="C18" s="486">
        <f>C17</f>
        <v>58.25</v>
      </c>
      <c r="D18" s="486">
        <f>D17</f>
        <v>48.75</v>
      </c>
      <c r="E18" s="486">
        <f>E17</f>
        <v>-9.5</v>
      </c>
      <c r="F18" s="485"/>
      <c r="G18" s="486">
        <f>C18+G17</f>
        <v>132</v>
      </c>
      <c r="H18" s="486">
        <f>D18+H17</f>
        <v>118</v>
      </c>
      <c r="I18" s="486">
        <f>E18+I17</f>
        <v>-14</v>
      </c>
      <c r="J18" s="485"/>
      <c r="K18" s="486">
        <f>G18+K17</f>
        <v>217</v>
      </c>
      <c r="L18" s="486">
        <f>H18+L17</f>
        <v>204.55</v>
      </c>
      <c r="M18" s="486">
        <f>I18+M17</f>
        <v>-12.45</v>
      </c>
      <c r="N18" s="485"/>
      <c r="O18" s="486">
        <f>K18+O17</f>
        <v>310.5</v>
      </c>
      <c r="P18" s="486">
        <f>L18+P17</f>
        <v>300.40000000000003</v>
      </c>
      <c r="Q18" s="486">
        <f>M18+Q17</f>
        <v>-10.1</v>
      </c>
      <c r="R18" s="485"/>
      <c r="S18" s="486">
        <f>O18+S17</f>
        <v>450.75</v>
      </c>
      <c r="T18" s="486">
        <f>P18+T17</f>
        <v>428.80000000000007</v>
      </c>
      <c r="U18" s="486">
        <f>Q18+U17</f>
        <v>-21.95</v>
      </c>
      <c r="W18" s="486">
        <f>S18+W17</f>
        <v>591.25</v>
      </c>
      <c r="X18" s="486">
        <f>T18+X17</f>
        <v>573.20000000000005</v>
      </c>
      <c r="Y18" s="486">
        <f>U18+Y17</f>
        <v>-18.049999999999997</v>
      </c>
      <c r="AA18" s="486">
        <f>W18+AA17</f>
        <v>735.75</v>
      </c>
      <c r="AB18" s="486">
        <f>X18+AB17</f>
        <v>725.7</v>
      </c>
      <c r="AC18" s="486">
        <f>Y18+AC17</f>
        <v>-10.049999999999997</v>
      </c>
      <c r="AE18" s="486">
        <f>AA18+AE17</f>
        <v>883.25</v>
      </c>
      <c r="AF18" s="486">
        <f>AB18+AF17</f>
        <v>877.65000000000009</v>
      </c>
      <c r="AG18" s="486">
        <f>AC18+AG17</f>
        <v>-5.5999999999999979</v>
      </c>
      <c r="AI18" s="486">
        <f>AE18+AI17</f>
        <v>1035.25</v>
      </c>
      <c r="AJ18" s="486">
        <f>AF18+AJ17</f>
        <v>1033.8500000000001</v>
      </c>
      <c r="AK18" s="486">
        <f>AG18+AK17</f>
        <v>-1.4000000000000092</v>
      </c>
      <c r="AM18" s="486">
        <f>AI18+AM17</f>
        <v>1186.55</v>
      </c>
      <c r="AN18" s="486">
        <f>AJ18+AN17</f>
        <v>1190.3000000000002</v>
      </c>
      <c r="AO18" s="486">
        <f>AK18+AO17</f>
        <v>3.749999999999968</v>
      </c>
      <c r="AQ18" s="486">
        <f>AM18+AQ17</f>
        <v>1335.8</v>
      </c>
      <c r="AR18" s="486">
        <f>AN18+AR17</f>
        <v>1337.7000000000003</v>
      </c>
      <c r="AS18" s="486">
        <f>AO18+AS17</f>
        <v>1.8999999999999453</v>
      </c>
      <c r="AU18" s="486">
        <f>AQ18+AU17</f>
        <v>1480.3</v>
      </c>
      <c r="AV18" s="486">
        <f>AR18+AV17</f>
        <v>1472.4500000000003</v>
      </c>
      <c r="AW18" s="486">
        <f>AS18+AW17</f>
        <v>-7.8500000000000547</v>
      </c>
      <c r="AY18" s="486">
        <f>AU18+AY17</f>
        <v>1613.55</v>
      </c>
      <c r="AZ18" s="486">
        <f>AV18+AZ17</f>
        <v>1594.6500000000003</v>
      </c>
      <c r="BA18" s="486">
        <f>AW18+BA17</f>
        <v>-18.900000000000052</v>
      </c>
      <c r="BC18" s="486">
        <f>AY18+BC17</f>
        <v>1726.05</v>
      </c>
      <c r="BD18" s="486">
        <f>AZ18+BD17</f>
        <v>1698.1000000000004</v>
      </c>
      <c r="BE18" s="486">
        <f>BA18+BE17</f>
        <v>-27.950000000000049</v>
      </c>
      <c r="BG18" s="486">
        <f>BC18+BG17</f>
        <v>1777.05</v>
      </c>
      <c r="BH18" s="486">
        <f>BD18+BH17</f>
        <v>1754.1500000000003</v>
      </c>
      <c r="BI18" s="486">
        <f>BE18+BI17</f>
        <v>-22.900000000000052</v>
      </c>
    </row>
    <row r="20" spans="2:61">
      <c r="B20" s="392" t="s">
        <v>495</v>
      </c>
    </row>
    <row r="21" spans="2:61">
      <c r="B21" s="1786" t="s">
        <v>69</v>
      </c>
      <c r="C21" s="1788" t="s">
        <v>495</v>
      </c>
      <c r="D21" s="1789"/>
      <c r="E21" s="1789"/>
    </row>
    <row r="22" spans="2:61">
      <c r="B22" s="1787"/>
      <c r="C22" s="478" t="s">
        <v>477</v>
      </c>
      <c r="D22" s="478" t="s">
        <v>475</v>
      </c>
      <c r="E22" s="478" t="s">
        <v>478</v>
      </c>
    </row>
    <row r="23" spans="2:61">
      <c r="B23" s="479" t="s">
        <v>17</v>
      </c>
      <c r="C23" s="393">
        <f>C4+G4+K4+O4+S4+W4+AA4+AE4+AI4+AM4+AQ4+AU4+AY4+BC4+BG4</f>
        <v>315</v>
      </c>
      <c r="D23" s="393">
        <f>D4+H4+L4+P4+T4+X4+AB4+AF4+AJ4+AN4+AR4+AV4+AZ4+BD4+BH4</f>
        <v>319.45</v>
      </c>
      <c r="E23" s="393">
        <f>D23-C23</f>
        <v>4.4499999999999886</v>
      </c>
    </row>
    <row r="24" spans="2:61">
      <c r="B24" s="479" t="s">
        <v>90</v>
      </c>
      <c r="C24" s="393">
        <f t="shared" ref="C24:D24" si="15">C5+G5+K5+O5+S5+W5+AA5+AE5+AI5+AM5+AQ5+AU5+AY5+BC5+BG5</f>
        <v>7.25</v>
      </c>
      <c r="D24" s="393">
        <f t="shared" si="15"/>
        <v>7.25</v>
      </c>
      <c r="E24" s="393">
        <f t="shared" ref="E24:E36" si="16">D24-C24</f>
        <v>0</v>
      </c>
    </row>
    <row r="25" spans="2:61">
      <c r="B25" s="479" t="s">
        <v>93</v>
      </c>
      <c r="C25" s="393">
        <f t="shared" ref="C25:D25" si="17">C6+G6+K6+O6+S6+W6+AA6+AE6+AI6+AM6+AQ6+AU6+AY6+BC6+BG6</f>
        <v>69.5</v>
      </c>
      <c r="D25" s="393">
        <f t="shared" si="17"/>
        <v>70</v>
      </c>
      <c r="E25" s="393">
        <f t="shared" si="16"/>
        <v>0.5</v>
      </c>
    </row>
    <row r="26" spans="2:61">
      <c r="B26" s="479" t="s">
        <v>102</v>
      </c>
      <c r="C26" s="393">
        <f t="shared" ref="C26:D26" si="18">C7+G7+K7+O7+S7+W7+AA7+AE7+AI7+AM7+AQ7+AU7+AY7+BC7+BG7</f>
        <v>47</v>
      </c>
      <c r="D26" s="393">
        <f t="shared" si="18"/>
        <v>47</v>
      </c>
      <c r="E26" s="393">
        <f t="shared" si="16"/>
        <v>0</v>
      </c>
    </row>
    <row r="27" spans="2:61">
      <c r="B27" s="481" t="s">
        <v>56</v>
      </c>
      <c r="C27" s="393">
        <f t="shared" ref="C27:D27" si="19">C8+G8+K8+O8+S8+W8+AA8+AE8+AI8+AM8+AQ8+AU8+AY8+BC8+BG8</f>
        <v>172</v>
      </c>
      <c r="D27" s="393">
        <f t="shared" si="19"/>
        <v>172</v>
      </c>
      <c r="E27" s="393">
        <f t="shared" si="16"/>
        <v>0</v>
      </c>
    </row>
    <row r="28" spans="2:61">
      <c r="B28" s="482" t="s">
        <v>57</v>
      </c>
      <c r="C28" s="393">
        <f t="shared" ref="C28:D28" si="20">C9+G9+K9+O9+S9+W9+AA9+AE9+AI9+AM9+AQ9+AU9+AY9+BC9+BG9</f>
        <v>534.5</v>
      </c>
      <c r="D28" s="393">
        <f t="shared" si="20"/>
        <v>559.25</v>
      </c>
      <c r="E28" s="393">
        <f t="shared" si="16"/>
        <v>24.75</v>
      </c>
    </row>
    <row r="29" spans="2:61">
      <c r="B29" s="482" t="s">
        <v>348</v>
      </c>
      <c r="C29" s="393">
        <f t="shared" ref="C29:D29" si="21">C10+G10+K10+O10+S10+W10+AA10+AE10+AI10+AM10+AQ10+AU10+AY10+BC10+BG10</f>
        <v>31.5</v>
      </c>
      <c r="D29" s="393">
        <f t="shared" si="21"/>
        <v>0</v>
      </c>
      <c r="E29" s="393">
        <f t="shared" si="16"/>
        <v>-31.5</v>
      </c>
    </row>
    <row r="30" spans="2:61">
      <c r="B30" s="482" t="s">
        <v>58</v>
      </c>
      <c r="C30" s="393">
        <f t="shared" ref="C30:D30" si="22">C11+G11+K11+O11+S11+W11+AA11+AE11+AI11+AM11+AQ11+AU11+AY11+BC11+BG11</f>
        <v>93</v>
      </c>
      <c r="D30" s="393">
        <f t="shared" si="22"/>
        <v>72.099999999999994</v>
      </c>
      <c r="E30" s="393">
        <f t="shared" si="16"/>
        <v>-20.900000000000006</v>
      </c>
    </row>
    <row r="31" spans="2:61">
      <c r="B31" s="482" t="s">
        <v>40</v>
      </c>
      <c r="C31" s="393">
        <f t="shared" ref="C31:D31" si="23">C12+G12+K12+O12+S12+W12+AA12+AE12+AI12+AM12+AQ12+AU12+AY12+BC12+BG12</f>
        <v>221</v>
      </c>
      <c r="D31" s="393">
        <f t="shared" si="23"/>
        <v>206.8</v>
      </c>
      <c r="E31" s="393">
        <f t="shared" si="16"/>
        <v>-14.199999999999989</v>
      </c>
    </row>
    <row r="32" spans="2:61">
      <c r="B32" s="482" t="s">
        <v>59</v>
      </c>
      <c r="C32" s="393">
        <f t="shared" ref="C32:D32" si="24">C13+G13+K13+O13+S13+W13+AA13+AE13+AI13+AM13+AQ13+AU13+AY13+BC13+BG13</f>
        <v>108</v>
      </c>
      <c r="D32" s="393">
        <f t="shared" si="24"/>
        <v>108</v>
      </c>
      <c r="E32" s="393">
        <f t="shared" si="16"/>
        <v>0</v>
      </c>
    </row>
    <row r="33" spans="2:5">
      <c r="B33" s="483" t="s">
        <v>60</v>
      </c>
      <c r="C33" s="393">
        <f t="shared" ref="C33:D33" si="25">C14+G14+K14+O14+S14+W14+AA14+AE14+AI14+AM14+AQ14+AU14+AY14+BC14+BG14</f>
        <v>80</v>
      </c>
      <c r="D33" s="393">
        <f t="shared" si="25"/>
        <v>80</v>
      </c>
      <c r="E33" s="393">
        <f t="shared" si="16"/>
        <v>0</v>
      </c>
    </row>
    <row r="34" spans="2:5">
      <c r="B34" s="479" t="s">
        <v>41</v>
      </c>
      <c r="C34" s="393">
        <f t="shared" ref="C34:D34" si="26">C15+G15+K15+O15+S15+W15+AA15+AE15+AI15+AM15+AQ15+AU15+AY15+BC15+BG15</f>
        <v>6.3</v>
      </c>
      <c r="D34" s="393">
        <f t="shared" si="26"/>
        <v>6.3</v>
      </c>
      <c r="E34" s="393">
        <f t="shared" si="16"/>
        <v>0</v>
      </c>
    </row>
    <row r="35" spans="2:5">
      <c r="B35" s="482" t="s">
        <v>61</v>
      </c>
      <c r="C35" s="393">
        <f t="shared" ref="C35:D35" si="27">C16+G16+K16+O16+S16+W16+AA16+AE16+AI16+AM16+AQ16+AU16+AY16+BC16+BG16</f>
        <v>92</v>
      </c>
      <c r="D35" s="393">
        <f t="shared" si="27"/>
        <v>95.6</v>
      </c>
      <c r="E35" s="393">
        <f t="shared" si="16"/>
        <v>3.5999999999999943</v>
      </c>
    </row>
    <row r="36" spans="2:5">
      <c r="B36" s="487" t="s">
        <v>159</v>
      </c>
      <c r="C36" s="488">
        <f t="shared" ref="C36:D36" si="28">C17+G17+K17+O17+S17+W17+AA17+AE17+AI17+AM17+AQ17+AU17+AY17+BC17+BG17</f>
        <v>1777.05</v>
      </c>
      <c r="D36" s="488">
        <f t="shared" si="28"/>
        <v>1754.1500000000003</v>
      </c>
      <c r="E36" s="486">
        <f t="shared" si="16"/>
        <v>-22.899999999999636</v>
      </c>
    </row>
  </sheetData>
  <mergeCells count="18">
    <mergeCell ref="AU2:AW2"/>
    <mergeCell ref="AY2:BA2"/>
    <mergeCell ref="BC2:BE2"/>
    <mergeCell ref="BG2:BI2"/>
    <mergeCell ref="AI2:AK2"/>
    <mergeCell ref="AM2:AO2"/>
    <mergeCell ref="AQ2:AS2"/>
    <mergeCell ref="B21:B22"/>
    <mergeCell ref="C21:E21"/>
    <mergeCell ref="W2:Y2"/>
    <mergeCell ref="AA2:AC2"/>
    <mergeCell ref="AE2:AG2"/>
    <mergeCell ref="C2:E2"/>
    <mergeCell ref="B2:B3"/>
    <mergeCell ref="G2:I2"/>
    <mergeCell ref="K2:M2"/>
    <mergeCell ref="O2:Q2"/>
    <mergeCell ref="S2:U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18"/>
  <sheetViews>
    <sheetView workbookViewId="0">
      <selection activeCell="K18" sqref="K18"/>
    </sheetView>
  </sheetViews>
  <sheetFormatPr baseColWidth="10" defaultColWidth="8.83203125" defaultRowHeight="17"/>
  <cols>
    <col min="1" max="1" width="3.5" customWidth="1"/>
    <col min="3" max="3" width="13.6640625" bestFit="1" customWidth="1"/>
    <col min="4" max="4" width="7.1640625" customWidth="1"/>
    <col min="9" max="9" width="0.83203125" customWidth="1"/>
    <col min="10" max="10" width="6.6640625" customWidth="1"/>
    <col min="15" max="15" width="1.5" customWidth="1"/>
  </cols>
  <sheetData>
    <row r="2" spans="2:20" ht="30.5" customHeight="1">
      <c r="B2" s="1791" t="s">
        <v>220</v>
      </c>
      <c r="C2" s="1791"/>
      <c r="D2" s="1791"/>
      <c r="E2" s="1791"/>
      <c r="F2" s="1791"/>
      <c r="G2" s="1791"/>
      <c r="H2" s="1791"/>
      <c r="I2" s="410"/>
    </row>
    <row r="3" spans="2:20" ht="30.5" customHeight="1">
      <c r="B3" s="1793" t="s">
        <v>474</v>
      </c>
      <c r="C3" s="1793"/>
      <c r="D3" s="1790" t="s">
        <v>475</v>
      </c>
      <c r="E3" s="1790"/>
      <c r="F3" s="1790"/>
      <c r="G3" s="1790"/>
      <c r="H3" s="1790"/>
      <c r="I3" s="410"/>
      <c r="J3" s="1790" t="s">
        <v>473</v>
      </c>
      <c r="K3" s="1790"/>
      <c r="L3" s="1790"/>
      <c r="M3" s="1790"/>
      <c r="N3" s="1790"/>
      <c r="P3" s="1790" t="s">
        <v>476</v>
      </c>
      <c r="Q3" s="1790"/>
      <c r="R3" s="1790"/>
      <c r="S3" s="1790"/>
      <c r="T3" s="1790"/>
    </row>
    <row r="4" spans="2:20" s="140" customFormat="1" ht="18" customHeight="1">
      <c r="B4" s="97" t="s">
        <v>160</v>
      </c>
      <c r="C4" s="97" t="s">
        <v>69</v>
      </c>
      <c r="D4" s="461" t="s">
        <v>13</v>
      </c>
      <c r="E4" s="96" t="s">
        <v>19</v>
      </c>
      <c r="F4" s="461" t="s">
        <v>21</v>
      </c>
      <c r="G4" s="461" t="s">
        <v>22</v>
      </c>
      <c r="H4" s="461" t="s">
        <v>159</v>
      </c>
      <c r="I4" s="410"/>
      <c r="J4" s="461" t="s">
        <v>13</v>
      </c>
      <c r="K4" s="96" t="s">
        <v>19</v>
      </c>
      <c r="L4" s="461" t="s">
        <v>21</v>
      </c>
      <c r="M4" s="461" t="s">
        <v>22</v>
      </c>
      <c r="N4" s="461" t="s">
        <v>159</v>
      </c>
      <c r="P4" s="461" t="s">
        <v>13</v>
      </c>
      <c r="Q4" s="96" t="s">
        <v>19</v>
      </c>
      <c r="R4" s="461" t="s">
        <v>21</v>
      </c>
      <c r="S4" s="461" t="s">
        <v>22</v>
      </c>
      <c r="T4" s="461" t="s">
        <v>159</v>
      </c>
    </row>
    <row r="5" spans="2:20">
      <c r="B5" s="78">
        <v>1</v>
      </c>
      <c r="C5" s="229" t="s">
        <v>17</v>
      </c>
      <c r="D5" s="462">
        <f>협력사등급별MM!D5</f>
        <v>157.44999999999999</v>
      </c>
      <c r="E5" s="462">
        <f>협력사등급별MM!E5</f>
        <v>71</v>
      </c>
      <c r="F5" s="462">
        <f>협력사등급별MM!F5</f>
        <v>40</v>
      </c>
      <c r="G5" s="462">
        <f>협력사등급별MM!G5</f>
        <v>51</v>
      </c>
      <c r="H5" s="462">
        <f>SUM(D5:G5)</f>
        <v>319.45</v>
      </c>
      <c r="J5" s="462">
        <f>견적기준통합!D4</f>
        <v>157.5</v>
      </c>
      <c r="K5" s="462">
        <f>견적기준통합!E4</f>
        <v>76.5</v>
      </c>
      <c r="L5" s="462">
        <f>견적기준통합!F4</f>
        <v>40</v>
      </c>
      <c r="M5" s="462">
        <f>견적기준통합!G4</f>
        <v>41</v>
      </c>
      <c r="N5" s="462">
        <f>SUM(J5:M5)</f>
        <v>315</v>
      </c>
      <c r="P5" s="462">
        <f>D5-J5</f>
        <v>-5.0000000000011369E-2</v>
      </c>
      <c r="Q5" s="462">
        <f t="shared" ref="Q5:S17" si="0">E5-K5</f>
        <v>-5.5</v>
      </c>
      <c r="R5" s="462">
        <f t="shared" si="0"/>
        <v>0</v>
      </c>
      <c r="S5" s="462">
        <f t="shared" si="0"/>
        <v>10</v>
      </c>
      <c r="T5" s="462">
        <f>SUM(P5:S5)</f>
        <v>4.4499999999999886</v>
      </c>
    </row>
    <row r="6" spans="2:20">
      <c r="B6" s="78">
        <v>2</v>
      </c>
      <c r="C6" s="229" t="s">
        <v>90</v>
      </c>
      <c r="D6" s="462">
        <f>협력사등급별MM!D6</f>
        <v>0</v>
      </c>
      <c r="E6" s="462">
        <f>협력사등급별MM!E6</f>
        <v>2</v>
      </c>
      <c r="F6" s="462">
        <f>협력사등급별MM!F6</f>
        <v>5.25</v>
      </c>
      <c r="G6" s="462">
        <f>협력사등급별MM!G6</f>
        <v>0</v>
      </c>
      <c r="H6" s="462">
        <f t="shared" ref="H6:H17" si="1">SUM(D6:G6)</f>
        <v>7.25</v>
      </c>
      <c r="J6" s="462">
        <f>견적기준통합!D5</f>
        <v>0</v>
      </c>
      <c r="K6" s="462">
        <f>견적기준통합!E5</f>
        <v>2</v>
      </c>
      <c r="L6" s="462">
        <f>견적기준통합!F5</f>
        <v>5.25</v>
      </c>
      <c r="M6" s="462">
        <f>견적기준통합!G5</f>
        <v>0</v>
      </c>
      <c r="N6" s="462">
        <f t="shared" ref="N6:N17" si="2">SUM(J6:M6)</f>
        <v>7.25</v>
      </c>
      <c r="P6" s="462">
        <f t="shared" ref="P6:P17" si="3">D6-J6</f>
        <v>0</v>
      </c>
      <c r="Q6" s="462">
        <f t="shared" si="0"/>
        <v>0</v>
      </c>
      <c r="R6" s="462">
        <f t="shared" si="0"/>
        <v>0</v>
      </c>
      <c r="S6" s="462">
        <f t="shared" si="0"/>
        <v>0</v>
      </c>
      <c r="T6" s="462">
        <f t="shared" ref="T6:T18" si="4">SUM(P6:S6)</f>
        <v>0</v>
      </c>
    </row>
    <row r="7" spans="2:20">
      <c r="B7" s="78">
        <v>3</v>
      </c>
      <c r="C7" s="229" t="s">
        <v>93</v>
      </c>
      <c r="D7" s="462">
        <f>협력사등급별MM!D7</f>
        <v>36</v>
      </c>
      <c r="E7" s="462">
        <f>협력사등급별MM!E7</f>
        <v>15</v>
      </c>
      <c r="F7" s="462">
        <f>협력사등급별MM!F7</f>
        <v>9.5</v>
      </c>
      <c r="G7" s="462">
        <f>협력사등급별MM!G7</f>
        <v>9.5</v>
      </c>
      <c r="H7" s="462">
        <f t="shared" si="1"/>
        <v>70</v>
      </c>
      <c r="J7" s="462">
        <f>견적기준통합!D6</f>
        <v>36</v>
      </c>
      <c r="K7" s="462">
        <f>견적기준통합!E6</f>
        <v>14.5</v>
      </c>
      <c r="L7" s="462">
        <f>견적기준통합!F6</f>
        <v>9.5</v>
      </c>
      <c r="M7" s="462">
        <f>견적기준통합!G6</f>
        <v>9.5</v>
      </c>
      <c r="N7" s="462">
        <f t="shared" si="2"/>
        <v>69.5</v>
      </c>
      <c r="P7" s="462">
        <f t="shared" si="3"/>
        <v>0</v>
      </c>
      <c r="Q7" s="462">
        <f t="shared" si="0"/>
        <v>0.5</v>
      </c>
      <c r="R7" s="462">
        <f t="shared" si="0"/>
        <v>0</v>
      </c>
      <c r="S7" s="462">
        <f t="shared" si="0"/>
        <v>0</v>
      </c>
      <c r="T7" s="462">
        <f t="shared" si="4"/>
        <v>0.5</v>
      </c>
    </row>
    <row r="8" spans="2:20">
      <c r="B8" s="78">
        <v>4</v>
      </c>
      <c r="C8" s="229" t="s">
        <v>102</v>
      </c>
      <c r="D8" s="462">
        <f>협력사등급별MM!D8</f>
        <v>24</v>
      </c>
      <c r="E8" s="462">
        <f>협력사등급별MM!E8</f>
        <v>0</v>
      </c>
      <c r="F8" s="462">
        <f>협력사등급별MM!F8</f>
        <v>23</v>
      </c>
      <c r="G8" s="462">
        <f>협력사등급별MM!G8</f>
        <v>0</v>
      </c>
      <c r="H8" s="462">
        <f t="shared" si="1"/>
        <v>47</v>
      </c>
      <c r="J8" s="462">
        <f>견적기준통합!D7</f>
        <v>22</v>
      </c>
      <c r="K8" s="462">
        <f>견적기준통합!E7</f>
        <v>0</v>
      </c>
      <c r="L8" s="462">
        <f>견적기준통합!F7</f>
        <v>23</v>
      </c>
      <c r="M8" s="462">
        <f>견적기준통합!G7</f>
        <v>2</v>
      </c>
      <c r="N8" s="462">
        <f t="shared" si="2"/>
        <v>47</v>
      </c>
      <c r="P8" s="462">
        <f t="shared" si="3"/>
        <v>2</v>
      </c>
      <c r="Q8" s="462">
        <f t="shared" si="0"/>
        <v>0</v>
      </c>
      <c r="R8" s="462">
        <f t="shared" si="0"/>
        <v>0</v>
      </c>
      <c r="S8" s="462">
        <f t="shared" si="0"/>
        <v>-2</v>
      </c>
      <c r="T8" s="462">
        <f t="shared" si="4"/>
        <v>0</v>
      </c>
    </row>
    <row r="9" spans="2:20">
      <c r="B9" s="78">
        <v>5</v>
      </c>
      <c r="C9" s="231" t="s">
        <v>56</v>
      </c>
      <c r="D9" s="462">
        <f>협력사등급별MM!D9</f>
        <v>14.5</v>
      </c>
      <c r="E9" s="462">
        <f>협력사등급별MM!E9</f>
        <v>34.5</v>
      </c>
      <c r="F9" s="462">
        <f>협력사등급별MM!F9</f>
        <v>68</v>
      </c>
      <c r="G9" s="462">
        <f>협력사등급별MM!G9</f>
        <v>55</v>
      </c>
      <c r="H9" s="462">
        <f t="shared" si="1"/>
        <v>172</v>
      </c>
      <c r="J9" s="462">
        <f>견적기준통합!D8</f>
        <v>14.5</v>
      </c>
      <c r="K9" s="462">
        <f>견적기준통합!E8</f>
        <v>40.5</v>
      </c>
      <c r="L9" s="462">
        <f>견적기준통합!F8</f>
        <v>62</v>
      </c>
      <c r="M9" s="462">
        <f>견적기준통합!G8</f>
        <v>55</v>
      </c>
      <c r="N9" s="462">
        <f t="shared" si="2"/>
        <v>172</v>
      </c>
      <c r="P9" s="462">
        <f t="shared" si="3"/>
        <v>0</v>
      </c>
      <c r="Q9" s="462">
        <f t="shared" si="0"/>
        <v>-6</v>
      </c>
      <c r="R9" s="462">
        <f t="shared" si="0"/>
        <v>6</v>
      </c>
      <c r="S9" s="462">
        <f t="shared" si="0"/>
        <v>0</v>
      </c>
      <c r="T9" s="462">
        <f t="shared" si="4"/>
        <v>0</v>
      </c>
    </row>
    <row r="10" spans="2:20">
      <c r="B10" s="78">
        <v>6</v>
      </c>
      <c r="C10" s="73" t="s">
        <v>57</v>
      </c>
      <c r="D10" s="462">
        <f>협력사등급별MM!D10</f>
        <v>60</v>
      </c>
      <c r="E10" s="462">
        <f>협력사등급별MM!E10</f>
        <v>153.25</v>
      </c>
      <c r="F10" s="462">
        <f>협력사등급별MM!F10</f>
        <v>159</v>
      </c>
      <c r="G10" s="462">
        <f>협력사등급별MM!G10</f>
        <v>187</v>
      </c>
      <c r="H10" s="462">
        <f t="shared" si="1"/>
        <v>559.25</v>
      </c>
      <c r="J10" s="462">
        <f>견적기준통합!D9</f>
        <v>60</v>
      </c>
      <c r="K10" s="462">
        <f>견적기준통합!E9</f>
        <v>137</v>
      </c>
      <c r="L10" s="462">
        <f>견적기준통합!F9</f>
        <v>152.5</v>
      </c>
      <c r="M10" s="462">
        <f>견적기준통합!G9</f>
        <v>185</v>
      </c>
      <c r="N10" s="462">
        <f t="shared" si="2"/>
        <v>534.5</v>
      </c>
      <c r="P10" s="462">
        <f t="shared" si="3"/>
        <v>0</v>
      </c>
      <c r="Q10" s="462">
        <f t="shared" si="0"/>
        <v>16.25</v>
      </c>
      <c r="R10" s="462">
        <f t="shared" si="0"/>
        <v>6.5</v>
      </c>
      <c r="S10" s="462">
        <f t="shared" si="0"/>
        <v>2</v>
      </c>
      <c r="T10" s="462">
        <f t="shared" si="4"/>
        <v>24.75</v>
      </c>
    </row>
    <row r="11" spans="2:20">
      <c r="B11" s="78">
        <v>7</v>
      </c>
      <c r="C11" s="73" t="s">
        <v>348</v>
      </c>
      <c r="D11" s="462">
        <f>협력사등급별MM!D11</f>
        <v>0</v>
      </c>
      <c r="E11" s="462">
        <f>협력사등급별MM!E11</f>
        <v>0</v>
      </c>
      <c r="F11" s="462">
        <f>협력사등급별MM!F11</f>
        <v>0</v>
      </c>
      <c r="G11" s="462">
        <f>협력사등급별MM!G11</f>
        <v>0</v>
      </c>
      <c r="H11" s="462">
        <f t="shared" si="1"/>
        <v>0</v>
      </c>
      <c r="J11" s="462">
        <f>견적기준통합!D10</f>
        <v>4</v>
      </c>
      <c r="K11" s="462">
        <f>견적기준통합!E10</f>
        <v>0</v>
      </c>
      <c r="L11" s="462">
        <f>견적기준통합!F10</f>
        <v>18.5</v>
      </c>
      <c r="M11" s="462">
        <f>견적기준통합!G10</f>
        <v>9</v>
      </c>
      <c r="N11" s="462">
        <f t="shared" si="2"/>
        <v>31.5</v>
      </c>
      <c r="P11" s="462">
        <f t="shared" si="3"/>
        <v>-4</v>
      </c>
      <c r="Q11" s="462">
        <f t="shared" si="0"/>
        <v>0</v>
      </c>
      <c r="R11" s="462">
        <f t="shared" si="0"/>
        <v>-18.5</v>
      </c>
      <c r="S11" s="462">
        <f t="shared" si="0"/>
        <v>-9</v>
      </c>
      <c r="T11" s="462">
        <f t="shared" si="4"/>
        <v>-31.5</v>
      </c>
    </row>
    <row r="12" spans="2:20">
      <c r="B12" s="78">
        <v>8</v>
      </c>
      <c r="C12" s="73" t="s">
        <v>58</v>
      </c>
      <c r="D12" s="462">
        <f>협력사등급별MM!D12</f>
        <v>47.400000000000006</v>
      </c>
      <c r="E12" s="462">
        <f>협력사등급별MM!E12</f>
        <v>11.7</v>
      </c>
      <c r="F12" s="462">
        <f>협력사등급별MM!F12</f>
        <v>9</v>
      </c>
      <c r="G12" s="462">
        <f>협력사등급별MM!G12</f>
        <v>4</v>
      </c>
      <c r="H12" s="462">
        <f t="shared" si="1"/>
        <v>72.100000000000009</v>
      </c>
      <c r="J12" s="462">
        <f>견적기준통합!D11</f>
        <v>41</v>
      </c>
      <c r="K12" s="462">
        <f>견적기준통합!E11</f>
        <v>33.5</v>
      </c>
      <c r="L12" s="462">
        <f>견적기준통합!F11</f>
        <v>9.5</v>
      </c>
      <c r="M12" s="462">
        <f>견적기준통합!G11</f>
        <v>9</v>
      </c>
      <c r="N12" s="462">
        <f t="shared" si="2"/>
        <v>93</v>
      </c>
      <c r="P12" s="462">
        <f t="shared" si="3"/>
        <v>6.4000000000000057</v>
      </c>
      <c r="Q12" s="462">
        <f t="shared" si="0"/>
        <v>-21.8</v>
      </c>
      <c r="R12" s="462">
        <f t="shared" si="0"/>
        <v>-0.5</v>
      </c>
      <c r="S12" s="462">
        <f t="shared" si="0"/>
        <v>-5</v>
      </c>
      <c r="T12" s="462">
        <f t="shared" si="4"/>
        <v>-20.899999999999995</v>
      </c>
    </row>
    <row r="13" spans="2:20">
      <c r="B13" s="78">
        <v>9</v>
      </c>
      <c r="C13" s="73" t="s">
        <v>40</v>
      </c>
      <c r="D13" s="462">
        <f>협력사등급별MM!D13</f>
        <v>24.5</v>
      </c>
      <c r="E13" s="462">
        <f>협력사등급별MM!E13</f>
        <v>143.5</v>
      </c>
      <c r="F13" s="462">
        <f>협력사등급별MM!F13</f>
        <v>23.8</v>
      </c>
      <c r="G13" s="462">
        <f>협력사등급별MM!G13</f>
        <v>4</v>
      </c>
      <c r="H13" s="462">
        <f t="shared" si="1"/>
        <v>195.8</v>
      </c>
      <c r="J13" s="462">
        <f>견적기준통합!D12</f>
        <v>30</v>
      </c>
      <c r="K13" s="462">
        <f>견적기준통합!E12</f>
        <v>157</v>
      </c>
      <c r="L13" s="462">
        <f>견적기준통합!F12</f>
        <v>30</v>
      </c>
      <c r="M13" s="462">
        <f>견적기준통합!G12</f>
        <v>4</v>
      </c>
      <c r="N13" s="462">
        <f t="shared" si="2"/>
        <v>221</v>
      </c>
      <c r="P13" s="462">
        <f t="shared" si="3"/>
        <v>-5.5</v>
      </c>
      <c r="Q13" s="462">
        <f t="shared" si="0"/>
        <v>-13.5</v>
      </c>
      <c r="R13" s="462">
        <f t="shared" si="0"/>
        <v>-6.1999999999999993</v>
      </c>
      <c r="S13" s="462">
        <f t="shared" si="0"/>
        <v>0</v>
      </c>
      <c r="T13" s="462">
        <f t="shared" si="4"/>
        <v>-25.2</v>
      </c>
    </row>
    <row r="14" spans="2:20">
      <c r="B14" s="78">
        <v>10</v>
      </c>
      <c r="C14" s="73" t="s">
        <v>59</v>
      </c>
      <c r="D14" s="462">
        <f>협력사등급별MM!D14</f>
        <v>30</v>
      </c>
      <c r="E14" s="462">
        <f>협력사등급별MM!E14</f>
        <v>52</v>
      </c>
      <c r="F14" s="462">
        <f>협력사등급별MM!F14</f>
        <v>26</v>
      </c>
      <c r="G14" s="462">
        <f>협력사등급별MM!G14</f>
        <v>0</v>
      </c>
      <c r="H14" s="462">
        <f t="shared" si="1"/>
        <v>108</v>
      </c>
      <c r="J14" s="462">
        <f>견적기준통합!D13</f>
        <v>30</v>
      </c>
      <c r="K14" s="462">
        <f>견적기준통합!E13</f>
        <v>61.5</v>
      </c>
      <c r="L14" s="462">
        <f>견적기준통합!F13</f>
        <v>16.5</v>
      </c>
      <c r="M14" s="462">
        <f>견적기준통합!G13</f>
        <v>0</v>
      </c>
      <c r="N14" s="462">
        <f t="shared" si="2"/>
        <v>108</v>
      </c>
      <c r="P14" s="462">
        <f t="shared" si="3"/>
        <v>0</v>
      </c>
      <c r="Q14" s="462">
        <f t="shared" si="0"/>
        <v>-9.5</v>
      </c>
      <c r="R14" s="462">
        <f t="shared" si="0"/>
        <v>9.5</v>
      </c>
      <c r="S14" s="462">
        <f t="shared" si="0"/>
        <v>0</v>
      </c>
      <c r="T14" s="462">
        <f t="shared" si="4"/>
        <v>0</v>
      </c>
    </row>
    <row r="15" spans="2:20">
      <c r="B15" s="78">
        <v>11</v>
      </c>
      <c r="C15" s="114" t="s">
        <v>60</v>
      </c>
      <c r="D15" s="462">
        <f>협력사등급별MM!D15</f>
        <v>26</v>
      </c>
      <c r="E15" s="462">
        <f>협력사등급별MM!E15</f>
        <v>46</v>
      </c>
      <c r="F15" s="462">
        <f>협력사등급별MM!F15</f>
        <v>0</v>
      </c>
      <c r="G15" s="462">
        <f>협력사등급별MM!G15</f>
        <v>8</v>
      </c>
      <c r="H15" s="462">
        <f t="shared" si="1"/>
        <v>80</v>
      </c>
      <c r="J15" s="462">
        <f>견적기준통합!D14</f>
        <v>24</v>
      </c>
      <c r="K15" s="462">
        <f>견적기준통합!E14</f>
        <v>51</v>
      </c>
      <c r="L15" s="462">
        <f>견적기준통합!F14</f>
        <v>0</v>
      </c>
      <c r="M15" s="462">
        <f>견적기준통합!G14</f>
        <v>5</v>
      </c>
      <c r="N15" s="462">
        <f t="shared" si="2"/>
        <v>80</v>
      </c>
      <c r="P15" s="462">
        <f t="shared" si="3"/>
        <v>2</v>
      </c>
      <c r="Q15" s="462">
        <f t="shared" si="0"/>
        <v>-5</v>
      </c>
      <c r="R15" s="462">
        <f t="shared" si="0"/>
        <v>0</v>
      </c>
      <c r="S15" s="462">
        <f t="shared" si="0"/>
        <v>3</v>
      </c>
      <c r="T15" s="462">
        <f t="shared" si="4"/>
        <v>0</v>
      </c>
    </row>
    <row r="16" spans="2:20">
      <c r="B16" s="78">
        <v>12</v>
      </c>
      <c r="C16" s="229" t="s">
        <v>41</v>
      </c>
      <c r="D16" s="462">
        <f>협력사등급별MM!D16</f>
        <v>0</v>
      </c>
      <c r="E16" s="462">
        <f>협력사등급별MM!E16</f>
        <v>0</v>
      </c>
      <c r="F16" s="462">
        <f>협력사등급별MM!F16</f>
        <v>6.3</v>
      </c>
      <c r="G16" s="462">
        <f>협력사등급별MM!G16</f>
        <v>0</v>
      </c>
      <c r="H16" s="462">
        <f t="shared" si="1"/>
        <v>6.3</v>
      </c>
      <c r="J16" s="462">
        <f>견적기준통합!D15</f>
        <v>0</v>
      </c>
      <c r="K16" s="462">
        <f>견적기준통합!E15</f>
        <v>0</v>
      </c>
      <c r="L16" s="462">
        <f>견적기준통합!F15</f>
        <v>6.3</v>
      </c>
      <c r="M16" s="462">
        <f>견적기준통합!G15</f>
        <v>0</v>
      </c>
      <c r="N16" s="462">
        <f t="shared" si="2"/>
        <v>6.3</v>
      </c>
      <c r="P16" s="462">
        <f t="shared" si="3"/>
        <v>0</v>
      </c>
      <c r="Q16" s="462">
        <f t="shared" si="0"/>
        <v>0</v>
      </c>
      <c r="R16" s="462">
        <f t="shared" si="0"/>
        <v>0</v>
      </c>
      <c r="S16" s="462">
        <f t="shared" si="0"/>
        <v>0</v>
      </c>
      <c r="T16" s="462">
        <f t="shared" si="4"/>
        <v>0</v>
      </c>
    </row>
    <row r="17" spans="2:20">
      <c r="B17" s="78">
        <v>14</v>
      </c>
      <c r="C17" s="73" t="s">
        <v>61</v>
      </c>
      <c r="D17" s="462">
        <f>협력사등급별MM!D18</f>
        <v>0</v>
      </c>
      <c r="E17" s="462">
        <f>협력사등급별MM!E18</f>
        <v>67.599999999999994</v>
      </c>
      <c r="F17" s="462">
        <f>협력사등급별MM!F18</f>
        <v>19.5</v>
      </c>
      <c r="G17" s="462">
        <f>협력사등급별MM!G18</f>
        <v>8.5</v>
      </c>
      <c r="H17" s="462">
        <f t="shared" si="1"/>
        <v>95.6</v>
      </c>
      <c r="J17" s="462">
        <f>견적기준통합!D16</f>
        <v>0</v>
      </c>
      <c r="K17" s="462">
        <f>견적기준통합!E16</f>
        <v>66.5</v>
      </c>
      <c r="L17" s="462">
        <f>견적기준통합!F16</f>
        <v>19.5</v>
      </c>
      <c r="M17" s="462">
        <f>견적기준통합!G16</f>
        <v>6</v>
      </c>
      <c r="N17" s="462">
        <f t="shared" si="2"/>
        <v>92</v>
      </c>
      <c r="P17" s="462">
        <f t="shared" si="3"/>
        <v>0</v>
      </c>
      <c r="Q17" s="462">
        <f t="shared" si="0"/>
        <v>1.0999999999999943</v>
      </c>
      <c r="R17" s="462">
        <f t="shared" si="0"/>
        <v>0</v>
      </c>
      <c r="S17" s="462">
        <f t="shared" si="0"/>
        <v>2.5</v>
      </c>
      <c r="T17" s="462">
        <f t="shared" si="4"/>
        <v>3.5999999999999943</v>
      </c>
    </row>
    <row r="18" spans="2:20">
      <c r="B18" s="1792" t="s">
        <v>159</v>
      </c>
      <c r="C18" s="1792"/>
      <c r="D18" s="462">
        <f>SUM(D5:D17)</f>
        <v>419.85</v>
      </c>
      <c r="E18" s="462">
        <f t="shared" ref="E18:J18" si="5">SUM(E5:E17)</f>
        <v>596.55000000000007</v>
      </c>
      <c r="F18" s="462">
        <f t="shared" si="5"/>
        <v>389.35</v>
      </c>
      <c r="G18" s="462">
        <f t="shared" si="5"/>
        <v>327</v>
      </c>
      <c r="H18" s="462">
        <f t="shared" si="5"/>
        <v>1732.7499999999998</v>
      </c>
      <c r="J18" s="462">
        <f t="shared" si="5"/>
        <v>419</v>
      </c>
      <c r="K18" s="462">
        <f t="shared" ref="K18" si="6">SUM(K5:K17)</f>
        <v>640</v>
      </c>
      <c r="L18" s="462">
        <f t="shared" ref="L18" si="7">SUM(L5:L17)</f>
        <v>392.55</v>
      </c>
      <c r="M18" s="462">
        <f t="shared" ref="M18:N18" si="8">SUM(M5:M17)</f>
        <v>325.5</v>
      </c>
      <c r="N18" s="462">
        <f t="shared" si="8"/>
        <v>1777.05</v>
      </c>
      <c r="P18" s="462">
        <f>SUM(P5:P17)</f>
        <v>0.84999999999999432</v>
      </c>
      <c r="Q18" s="462">
        <f t="shared" ref="Q18:S18" si="9">SUM(Q5:Q17)</f>
        <v>-43.45</v>
      </c>
      <c r="R18" s="462">
        <f t="shared" si="9"/>
        <v>-3.1999999999999993</v>
      </c>
      <c r="S18" s="462">
        <f t="shared" si="9"/>
        <v>1.5</v>
      </c>
      <c r="T18" s="462">
        <f t="shared" si="4"/>
        <v>-44.300000000000011</v>
      </c>
    </row>
  </sheetData>
  <mergeCells count="6">
    <mergeCell ref="P3:T3"/>
    <mergeCell ref="B2:H2"/>
    <mergeCell ref="B18:C18"/>
    <mergeCell ref="D3:H3"/>
    <mergeCell ref="B3:C3"/>
    <mergeCell ref="J3:N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C34"/>
  <sheetViews>
    <sheetView showGridLines="0" topLeftCell="F1" workbookViewId="0">
      <selection activeCell="M21" sqref="M21"/>
    </sheetView>
  </sheetViews>
  <sheetFormatPr baseColWidth="10" defaultColWidth="8.83203125" defaultRowHeight="17"/>
  <cols>
    <col min="1" max="1" width="2.6640625" customWidth="1"/>
    <col min="3" max="3" width="13.6640625" bestFit="1" customWidth="1"/>
    <col min="10" max="10" width="3.6640625" customWidth="1"/>
    <col min="11" max="11" width="3.1640625" customWidth="1"/>
    <col min="12" max="12" width="13.6640625" bestFit="1" customWidth="1"/>
  </cols>
  <sheetData>
    <row r="2" spans="2:29" ht="30.5" customHeight="1">
      <c r="B2" s="1791" t="s">
        <v>220</v>
      </c>
      <c r="C2" s="1791"/>
      <c r="D2" s="1791"/>
      <c r="E2" s="1791"/>
      <c r="F2" s="1791"/>
      <c r="G2" s="1791"/>
      <c r="H2" s="1791"/>
      <c r="I2" s="1791"/>
      <c r="L2" s="415" t="s">
        <v>408</v>
      </c>
    </row>
    <row r="3" spans="2:29" s="140" customFormat="1" ht="18" customHeight="1">
      <c r="B3" s="97" t="s">
        <v>160</v>
      </c>
      <c r="C3" s="97" t="s">
        <v>69</v>
      </c>
      <c r="D3" s="461" t="s">
        <v>13</v>
      </c>
      <c r="E3" s="96" t="s">
        <v>19</v>
      </c>
      <c r="F3" s="461" t="s">
        <v>21</v>
      </c>
      <c r="G3" s="461" t="s">
        <v>22</v>
      </c>
      <c r="H3" s="461" t="s">
        <v>159</v>
      </c>
      <c r="I3" s="461" t="s">
        <v>164</v>
      </c>
      <c r="L3" s="97" t="s">
        <v>69</v>
      </c>
      <c r="M3" s="97" t="s">
        <v>31</v>
      </c>
      <c r="N3" s="97" t="s">
        <v>32</v>
      </c>
      <c r="O3" s="97" t="s">
        <v>47</v>
      </c>
      <c r="P3" s="97" t="s">
        <v>48</v>
      </c>
      <c r="Q3" s="97" t="s">
        <v>49</v>
      </c>
      <c r="R3" s="97" t="s">
        <v>50</v>
      </c>
      <c r="S3" s="97" t="s">
        <v>51</v>
      </c>
      <c r="T3" s="97" t="s">
        <v>52</v>
      </c>
      <c r="U3" s="97" t="s">
        <v>53</v>
      </c>
      <c r="V3" s="97" t="s">
        <v>54</v>
      </c>
      <c r="W3" s="97" t="s">
        <v>409</v>
      </c>
      <c r="X3" s="97" t="s">
        <v>410</v>
      </c>
      <c r="Y3" s="97" t="s">
        <v>411</v>
      </c>
      <c r="Z3" s="97" t="s">
        <v>46</v>
      </c>
      <c r="AA3" s="97" t="s">
        <v>47</v>
      </c>
      <c r="AB3" s="97" t="s">
        <v>159</v>
      </c>
      <c r="AC3" s="416"/>
    </row>
    <row r="4" spans="2:29">
      <c r="B4" s="78">
        <v>1</v>
      </c>
      <c r="C4" s="229" t="s">
        <v>17</v>
      </c>
      <c r="D4" s="149">
        <f>SUMIFS(견적기준!$AB$6:$AB$233,견적기준!$H$6:$H$233,$C4,견적기준!$E$6:$E$233,견적기준통합!$D$3)</f>
        <v>157.5</v>
      </c>
      <c r="E4" s="149">
        <f>SUMIFS(견적기준!$AB$6:$AB$233,견적기준!$H$6:$H$233,$C4,견적기준!$E$6:$E$233,견적기준통합!$E$3)</f>
        <v>76.5</v>
      </c>
      <c r="F4" s="149">
        <f>SUMIFS(견적기준!$AB$6:$AB$233,견적기준!$H$6:$H$233,$C4,견적기준!$E$6:$E$233,견적기준통합!$F$3)</f>
        <v>40</v>
      </c>
      <c r="G4" s="149">
        <f>SUMIFS(견적기준!$AB$6:$AB$233,견적기준!$H$6:$H$233,$C4,견적기준!$E$6:$E$233,견적기준통합!$G$3)</f>
        <v>41</v>
      </c>
      <c r="H4" s="230">
        <f>SUM(D4:G4)</f>
        <v>315</v>
      </c>
      <c r="I4" s="469">
        <f>H4/$H$17</f>
        <v>0.17726006583945303</v>
      </c>
      <c r="L4" s="472" t="s">
        <v>17</v>
      </c>
      <c r="M4" s="406">
        <f>SUMIFS(견적기준!$M$6:$M$198,견적기준!$H$6:$H$198,견적기준통합!$L4)</f>
        <v>16</v>
      </c>
      <c r="N4" s="406">
        <f>SUMIFS(견적기준!$N$6:$N$198,견적기준!$H$6:$H$198,견적기준통합!$L4)</f>
        <v>16.5</v>
      </c>
      <c r="O4" s="406">
        <f>SUMIFS(견적기준!$O$6:O$198,견적기준!$H$6:$H$198,견적기준통합!$L4)</f>
        <v>20</v>
      </c>
      <c r="P4" s="406">
        <f>SUMIFS(견적기준!$P$6:$P$198,견적기준!$H$6:$H$198,견적기준통합!$L4)</f>
        <v>21</v>
      </c>
      <c r="Q4" s="406">
        <f>SUMIFS(견적기준!$Q$6:$Q$198,견적기준!$H$6:$H$198,견적기준통합!$L4)</f>
        <v>23</v>
      </c>
      <c r="R4" s="406">
        <f>SUMIFS(견적기준!$R$6:$R$198,견적기준!$H$6:$H$198,견적기준통합!$L4)</f>
        <v>24</v>
      </c>
      <c r="S4" s="406">
        <f>SUMIFS(견적기준!$S$6:$S$198,견적기준!$H$6:$H$198,견적기준통합!$L4)</f>
        <v>23</v>
      </c>
      <c r="T4" s="406">
        <f>SUMIFS(견적기준!$T$6:$T$198,견적기준!$H$6:$H$198,견적기준통합!$L4)</f>
        <v>24</v>
      </c>
      <c r="U4" s="406">
        <f>SUMIFS(견적기준!$U$6:$U$198,견적기준!$H$6:$H$198,견적기준통합!$L4)</f>
        <v>26</v>
      </c>
      <c r="V4" s="406">
        <f>SUMIFS(견적기준!$V$6:$V$198,견적기준!$H$6:$H$198,견적기준통합!$L4)</f>
        <v>27.5</v>
      </c>
      <c r="W4" s="406">
        <f>SUMIFS(견적기준!$W$6:$W$198,견적기준!$H$6:$H$198,견적기준통합!$L4)</f>
        <v>26.5</v>
      </c>
      <c r="X4" s="406">
        <f>SUMIFS(견적기준!$X$6:$X$198,견적기준!$H$6:$H$198,견적기준통합!$L4)</f>
        <v>24.5</v>
      </c>
      <c r="Y4" s="406">
        <f>SUMIFS(견적기준!$Y$6:$Y$198,견적기준!$H$6:$H$198,견적기준통합!$L4)</f>
        <v>20</v>
      </c>
      <c r="Z4" s="406">
        <f>SUMIFS(견적기준!$Z$6:$Z$198,견적기준!$H$6:$H$198,견적기준통합!$L4)</f>
        <v>15</v>
      </c>
      <c r="AA4" s="406">
        <f>SUMIFS(견적기준!$AA$6:$AA$198,견적기준!$H$6:$H$198,견적기준통합!$L4)</f>
        <v>8</v>
      </c>
      <c r="AB4" s="477">
        <f>SUM(M4:AA4)</f>
        <v>315</v>
      </c>
    </row>
    <row r="5" spans="2:29">
      <c r="B5" s="78">
        <v>2</v>
      </c>
      <c r="C5" s="229" t="s">
        <v>90</v>
      </c>
      <c r="D5" s="149">
        <f>SUMIFS(견적기준!$AB$6:$AB$233,견적기준!$H$6:$H$233,$C5,견적기준!$E$6:$E$233,견적기준통합!$D$3)</f>
        <v>0</v>
      </c>
      <c r="E5" s="149">
        <f>SUMIFS(견적기준!$AB$6:$AB$233,견적기준!$H$6:$H$233,$C5,견적기준!$E$6:$E$233,견적기준통합!$E$3)</f>
        <v>2</v>
      </c>
      <c r="F5" s="149">
        <f>SUMIFS(견적기준!$AB$6:$AB$233,견적기준!$H$6:$H$233,$C5,견적기준!$E$6:$E$233,견적기준통합!$F$3)</f>
        <v>5.25</v>
      </c>
      <c r="G5" s="149">
        <f>SUMIFS(견적기준!$AB$6:$AB$233,견적기준!$H$6:$H$233,$C5,견적기준!$E$6:$E$233,견적기준통합!$G$3)</f>
        <v>0</v>
      </c>
      <c r="H5" s="230">
        <f t="shared" ref="H5:H16" si="0">SUM(D5:G5)</f>
        <v>7.25</v>
      </c>
      <c r="I5" s="469">
        <f t="shared" ref="I5:I17" si="1">H5/$H$17</f>
        <v>4.0797951661461409E-3</v>
      </c>
      <c r="L5" s="472" t="s">
        <v>90</v>
      </c>
      <c r="M5" s="406">
        <f>SUMIFS(견적기준!$M$6:$M$198,견적기준!$H$6:$H$198,견적기준통합!$L5)</f>
        <v>0</v>
      </c>
      <c r="N5" s="406">
        <f>SUMIFS(견적기준!$N$6:$N$198,견적기준!$H$6:$H$198,견적기준통합!$L5)</f>
        <v>0</v>
      </c>
      <c r="O5" s="406">
        <f>SUMIFS(견적기준!$O$6:O$198,견적기준!$H$6:$H$198,견적기준통합!$L5)</f>
        <v>1</v>
      </c>
      <c r="P5" s="406">
        <f>SUMIFS(견적기준!$P$6:$P$198,견적기준!$H$6:$H$198,견적기준통합!$L5)</f>
        <v>1</v>
      </c>
      <c r="Q5" s="406">
        <f>SUMIFS(견적기준!$Q$6:$Q$198,견적기준!$H$6:$H$198,견적기준통합!$L5)</f>
        <v>0</v>
      </c>
      <c r="R5" s="406">
        <f>SUMIFS(견적기준!$R$6:$R$198,견적기준!$H$6:$H$198,견적기준통합!$L5)</f>
        <v>0</v>
      </c>
      <c r="S5" s="406">
        <f>SUMIFS(견적기준!$S$6:$S$198,견적기준!$H$6:$H$198,견적기준통합!$L5)</f>
        <v>0</v>
      </c>
      <c r="T5" s="406">
        <f>SUMIFS(견적기준!$T$6:$T$198,견적기준!$H$6:$H$198,견적기준통합!$L5)</f>
        <v>0</v>
      </c>
      <c r="U5" s="406">
        <f>SUMIFS(견적기준!$U$6:$U$198,견적기준!$H$6:$H$198,견적기준통합!$L5)</f>
        <v>0</v>
      </c>
      <c r="V5" s="406">
        <f>SUMIFS(견적기준!$V$6:$V$198,견적기준!$H$6:$H$198,견적기준통합!$L5)</f>
        <v>0.5</v>
      </c>
      <c r="W5" s="406">
        <f>SUMIFS(견적기준!$W$6:$W$198,견적기준!$H$6:$H$198,견적기준통합!$L5)</f>
        <v>2</v>
      </c>
      <c r="X5" s="406">
        <f>SUMIFS(견적기준!$X$6:$X$198,견적기준!$H$6:$H$198,견적기준통합!$L5)</f>
        <v>2</v>
      </c>
      <c r="Y5" s="406">
        <f>SUMIFS(견적기준!$Y$6:$Y$198,견적기준!$H$6:$H$198,견적기준통합!$L5)</f>
        <v>0.75</v>
      </c>
      <c r="Z5" s="406">
        <f>SUMIFS(견적기준!$Z$6:$Z$198,견적기준!$H$6:$H$198,견적기준통합!$L5)</f>
        <v>0</v>
      </c>
      <c r="AA5" s="406">
        <f>SUMIFS(견적기준!$AA$6:$AA$198,견적기준!$H$6:$H$198,견적기준통합!$L5)</f>
        <v>0</v>
      </c>
      <c r="AB5" s="477">
        <f t="shared" ref="AB5:AB16" si="2">SUM(M5:AA5)</f>
        <v>7.25</v>
      </c>
    </row>
    <row r="6" spans="2:29">
      <c r="B6" s="78">
        <v>3</v>
      </c>
      <c r="C6" s="229" t="s">
        <v>93</v>
      </c>
      <c r="D6" s="149">
        <f>SUMIFS(견적기준!$AB$6:$AB$233,견적기준!$H$6:$H$233,$C6,견적기준!$E$6:$E$233,견적기준통합!$D$3)</f>
        <v>36</v>
      </c>
      <c r="E6" s="149">
        <f>SUMIFS(견적기준!$AB$6:$AB$233,견적기준!$H$6:$H$233,$C6,견적기준!$E$6:$E$233,견적기준통합!$E$3)</f>
        <v>14.5</v>
      </c>
      <c r="F6" s="149">
        <f>SUMIFS(견적기준!$AB$6:$AB$233,견적기준!$H$6:$H$233,$C6,견적기준!$E$6:$E$233,견적기준통합!$F$3)</f>
        <v>9.5</v>
      </c>
      <c r="G6" s="149">
        <f>SUMIFS(견적기준!$AB$6:$AB$233,견적기준!$H$6:$H$233,$C6,견적기준!$E$6:$E$233,견적기준통합!$G$3)</f>
        <v>9.5</v>
      </c>
      <c r="H6" s="230">
        <f t="shared" si="0"/>
        <v>69.5</v>
      </c>
      <c r="I6" s="469">
        <f t="shared" si="1"/>
        <v>3.9109760558228526E-2</v>
      </c>
      <c r="L6" s="472" t="s">
        <v>93</v>
      </c>
      <c r="M6" s="406">
        <f>SUMIFS(견적기준!$M$6:$M$198,견적기준!$H$6:$H$198,견적기준통합!$L6)</f>
        <v>0</v>
      </c>
      <c r="N6" s="406">
        <f>SUMIFS(견적기준!$N$6:$N$198,견적기준!$H$6:$H$198,견적기준통합!$L6)</f>
        <v>0</v>
      </c>
      <c r="O6" s="406">
        <f>SUMIFS(견적기준!$O$6:O$198,견적기준!$H$6:$H$198,견적기준통합!$L6)</f>
        <v>0</v>
      </c>
      <c r="P6" s="406">
        <f>SUMIFS(견적기준!$P$6:$P$198,견적기준!$H$6:$H$198,견적기준통합!$L6)</f>
        <v>2</v>
      </c>
      <c r="Q6" s="406">
        <f>SUMIFS(견적기준!$Q$6:$Q$198,견적기준!$H$6:$H$198,견적기준통합!$L6)</f>
        <v>6.5</v>
      </c>
      <c r="R6" s="406">
        <f>SUMIFS(견적기준!$R$6:$R$198,견적기준!$H$6:$H$198,견적기준통합!$L6)</f>
        <v>7</v>
      </c>
      <c r="S6" s="406">
        <f>SUMIFS(견적기준!$S$6:$S$198,견적기준!$H$6:$H$198,견적기준통합!$L6)</f>
        <v>7</v>
      </c>
      <c r="T6" s="406">
        <f>SUMIFS(견적기준!$T$6:$T$198,견적기준!$H$6:$H$198,견적기준통합!$L6)</f>
        <v>7</v>
      </c>
      <c r="U6" s="406">
        <f>SUMIFS(견적기준!$U$6:$U$198,견적기준!$H$6:$H$198,견적기준통합!$L6)</f>
        <v>7.5</v>
      </c>
      <c r="V6" s="406">
        <f>SUMIFS(견적기준!$V$6:$V$198,견적기준!$H$6:$H$198,견적기준통합!$L6)</f>
        <v>7.5</v>
      </c>
      <c r="W6" s="406">
        <f>SUMIFS(견적기준!$W$6:$W$198,견적기준!$H$6:$H$198,견적기준통합!$L6)</f>
        <v>7</v>
      </c>
      <c r="X6" s="406">
        <f>SUMIFS(견적기준!$X$6:$X$198,견적기준!$H$6:$H$198,견적기준통합!$L6)</f>
        <v>7</v>
      </c>
      <c r="Y6" s="406">
        <f>SUMIFS(견적기준!$Y$6:$Y$198,견적기준!$H$6:$H$198,견적기준통합!$L6)</f>
        <v>7</v>
      </c>
      <c r="Z6" s="406">
        <f>SUMIFS(견적기준!$Z$6:$Z$198,견적기준!$H$6:$H$198,견적기준통합!$L6)</f>
        <v>4</v>
      </c>
      <c r="AA6" s="406">
        <f>SUMIFS(견적기준!$AA$6:$AA$198,견적기준!$H$6:$H$198,견적기준통합!$L6)</f>
        <v>0</v>
      </c>
      <c r="AB6" s="477">
        <f t="shared" si="2"/>
        <v>69.5</v>
      </c>
    </row>
    <row r="7" spans="2:29">
      <c r="B7" s="78">
        <v>4</v>
      </c>
      <c r="C7" s="229" t="s">
        <v>102</v>
      </c>
      <c r="D7" s="149">
        <f>SUMIFS(견적기준!$AB$6:$AB$233,견적기준!$H$6:$H$233,$C7,견적기준!$E$6:$E$233,견적기준통합!$D$3)</f>
        <v>22</v>
      </c>
      <c r="E7" s="149">
        <f>SUMIFS(견적기준!$AB$6:$AB$233,견적기준!$H$6:$H$233,$C7,견적기준!$E$6:$E$233,견적기준통합!$E$3)</f>
        <v>0</v>
      </c>
      <c r="F7" s="149">
        <f>SUMIFS(견적기준!$AB$6:$AB$233,견적기준!$H$6:$H$233,$C7,견적기준!$E$6:$E$233,견적기준통합!$F$3)</f>
        <v>23</v>
      </c>
      <c r="G7" s="149">
        <f>SUMIFS(견적기준!$AB$6:$AB$233,견적기준!$H$6:$H$233,$C7,견적기준!$E$6:$E$233,견적기준통합!$G$3)</f>
        <v>2</v>
      </c>
      <c r="H7" s="230">
        <f t="shared" si="0"/>
        <v>47</v>
      </c>
      <c r="I7" s="469">
        <f t="shared" si="1"/>
        <v>2.644832728398188E-2</v>
      </c>
      <c r="L7" s="472" t="s">
        <v>102</v>
      </c>
      <c r="M7" s="406">
        <f>SUMIFS(견적기준!$M$6:$M$198,견적기준!$H$6:$H$198,견적기준통합!$L7)</f>
        <v>2</v>
      </c>
      <c r="N7" s="406">
        <f>SUMIFS(견적기준!$N$6:$N$198,견적기준!$H$6:$H$198,견적기준통합!$L7)</f>
        <v>4</v>
      </c>
      <c r="O7" s="406">
        <f>SUMIFS(견적기준!$O$6:O$198,견적기준!$H$6:$H$198,견적기준통합!$L7)</f>
        <v>5</v>
      </c>
      <c r="P7" s="406">
        <f>SUMIFS(견적기준!$P$6:$P$198,견적기준!$H$6:$H$198,견적기준통합!$L7)</f>
        <v>5</v>
      </c>
      <c r="Q7" s="406">
        <f>SUMIFS(견적기준!$Q$6:$Q$198,견적기준!$H$6:$H$198,견적기준통합!$L7)</f>
        <v>4</v>
      </c>
      <c r="R7" s="406">
        <f>SUMIFS(견적기준!$R$6:$R$198,견적기준!$H$6:$H$198,견적기준통합!$L7)</f>
        <v>5</v>
      </c>
      <c r="S7" s="406">
        <f>SUMIFS(견적기준!$S$6:$S$198,견적기준!$H$6:$H$198,견적기준통합!$L7)</f>
        <v>4</v>
      </c>
      <c r="T7" s="406">
        <f>SUMIFS(견적기준!$T$6:$T$198,견적기준!$H$6:$H$198,견적기준통합!$L7)</f>
        <v>3</v>
      </c>
      <c r="U7" s="406">
        <f>SUMIFS(견적기준!$U$6:$U$198,견적기준!$H$6:$H$198,견적기준통합!$L7)</f>
        <v>3</v>
      </c>
      <c r="V7" s="406">
        <f>SUMIFS(견적기준!$V$6:$V$198,견적기준!$H$6:$H$198,견적기준통합!$L7)</f>
        <v>2</v>
      </c>
      <c r="W7" s="406">
        <f>SUMIFS(견적기준!$W$6:$W$198,견적기준!$H$6:$H$198,견적기준통합!$L7)</f>
        <v>2</v>
      </c>
      <c r="X7" s="406">
        <f>SUMIFS(견적기준!$X$6:$X$198,견적기준!$H$6:$H$198,견적기준통합!$L7)</f>
        <v>2</v>
      </c>
      <c r="Y7" s="406">
        <f>SUMIFS(견적기준!$Y$6:$Y$198,견적기준!$H$6:$H$198,견적기준통합!$L7)</f>
        <v>2</v>
      </c>
      <c r="Z7" s="406">
        <f>SUMIFS(견적기준!$Z$6:$Z$198,견적기준!$H$6:$H$198,견적기준통합!$L7)</f>
        <v>2</v>
      </c>
      <c r="AA7" s="406">
        <f>SUMIFS(견적기준!$AA$6:$AA$198,견적기준!$H$6:$H$198,견적기준통합!$L7)</f>
        <v>2</v>
      </c>
      <c r="AB7" s="477">
        <f t="shared" si="2"/>
        <v>47</v>
      </c>
    </row>
    <row r="8" spans="2:29">
      <c r="B8" s="78">
        <v>5</v>
      </c>
      <c r="C8" s="231" t="s">
        <v>56</v>
      </c>
      <c r="D8" s="149">
        <f>SUMIFS(견적기준!$AB$6:$AB$233,견적기준!$H$6:$H$233,$C8,견적기준!$E$6:$E$233,견적기준통합!$D$3)</f>
        <v>14.5</v>
      </c>
      <c r="E8" s="149">
        <f>SUMIFS(견적기준!$AB$6:$AB$233,견적기준!$H$6:$H$233,$C8,견적기준!$E$6:$E$233,견적기준통합!$E$3)</f>
        <v>40.5</v>
      </c>
      <c r="F8" s="149">
        <f>SUMIFS(견적기준!$AB$6:$AB$233,견적기준!$H$6:$H$233,$C8,견적기준!$E$6:$E$233,견적기준통합!$F$3)</f>
        <v>62</v>
      </c>
      <c r="G8" s="149">
        <f>SUMIFS(견적기준!$AB$6:$AB$233,견적기준!$H$6:$H$233,$C8,견적기준!$E$6:$E$233,견적기준통합!$G$3)</f>
        <v>55</v>
      </c>
      <c r="H8" s="230">
        <f t="shared" si="0"/>
        <v>172</v>
      </c>
      <c r="I8" s="469">
        <f t="shared" si="1"/>
        <v>9.67896232520188E-2</v>
      </c>
      <c r="L8" s="473" t="s">
        <v>56</v>
      </c>
      <c r="M8" s="406">
        <f>SUMIFS(견적기준!$M$6:$M$198,견적기준!$H$6:$H$198,견적기준통합!$L8)</f>
        <v>11</v>
      </c>
      <c r="N8" s="406">
        <f>SUMIFS(견적기준!$N$6:$N$198,견적기준!$H$6:$H$198,견적기준통합!$L8)</f>
        <v>12</v>
      </c>
      <c r="O8" s="406">
        <f>SUMIFS(견적기준!$O$6:O$198,견적기준!$H$6:$H$198,견적기준통합!$L8)</f>
        <v>15</v>
      </c>
      <c r="P8" s="406">
        <f>SUMIFS(견적기준!$P$6:$P$198,견적기준!$H$6:$H$198,견적기준통합!$L8)</f>
        <v>15</v>
      </c>
      <c r="Q8" s="406">
        <f>SUMIFS(견적기준!$Q$6:$Q$198,견적기준!$H$6:$H$198,견적기준통합!$L8)</f>
        <v>14.5</v>
      </c>
      <c r="R8" s="406">
        <f>SUMIFS(견적기준!$R$6:$R$198,견적기준!$H$6:$H$198,견적기준통합!$L8)</f>
        <v>14</v>
      </c>
      <c r="S8" s="406">
        <f>SUMIFS(견적기준!$S$6:$S$198,견적기준!$H$6:$H$198,견적기준통합!$L8)</f>
        <v>14</v>
      </c>
      <c r="T8" s="406">
        <f>SUMIFS(견적기준!$T$6:$T$198,견적기준!$H$6:$H$198,견적기준통합!$L8)</f>
        <v>14</v>
      </c>
      <c r="U8" s="406">
        <f>SUMIFS(견적기준!$U$6:$U$198,견적기준!$H$6:$H$198,견적기준통합!$L8)</f>
        <v>14</v>
      </c>
      <c r="V8" s="406">
        <f>SUMIFS(견적기준!$V$6:$V$198,견적기준!$H$6:$H$198,견적기준통합!$L8)</f>
        <v>12</v>
      </c>
      <c r="W8" s="406">
        <f>SUMIFS(견적기준!$W$6:$W$198,견적기준!$H$6:$H$198,견적기준통합!$L8)</f>
        <v>11</v>
      </c>
      <c r="X8" s="406">
        <f>SUMIFS(견적기준!$X$6:$X$198,견적기준!$H$6:$H$198,견적기준통합!$L8)</f>
        <v>9.5</v>
      </c>
      <c r="Y8" s="406">
        <f>SUMIFS(견적기준!$Y$6:$Y$198,견적기준!$H$6:$H$198,견적기준통합!$L8)</f>
        <v>8</v>
      </c>
      <c r="Z8" s="406">
        <f>SUMIFS(견적기준!$Z$6:$Z$198,견적기준!$H$6:$H$198,견적기준통합!$L8)</f>
        <v>6</v>
      </c>
      <c r="AA8" s="406">
        <f>SUMIFS(견적기준!$AA$6:$AA$198,견적기준!$H$6:$H$198,견적기준통합!$L8)</f>
        <v>2</v>
      </c>
      <c r="AB8" s="477">
        <f t="shared" si="2"/>
        <v>172</v>
      </c>
    </row>
    <row r="9" spans="2:29">
      <c r="B9" s="78">
        <v>6</v>
      </c>
      <c r="C9" s="73" t="s">
        <v>57</v>
      </c>
      <c r="D9" s="149">
        <f>SUMIFS(견적기준!$AB$6:$AB$233,견적기준!$H$6:$H$233,$C9,견적기준!$E$6:$E$233,견적기준통합!$D$3)</f>
        <v>60</v>
      </c>
      <c r="E9" s="149">
        <f>SUMIFS(견적기준!$AB$6:$AB$233,견적기준!$H$6:$H$233,$C9,견적기준!$E$6:$E$233,견적기준통합!$E$3)</f>
        <v>137</v>
      </c>
      <c r="F9" s="149">
        <f>SUMIFS(견적기준!$AB$6:$AB$233,견적기준!$H$6:$H$233,$C9,견적기준!$E$6:$E$233,견적기준통합!$F$3)</f>
        <v>152.5</v>
      </c>
      <c r="G9" s="149">
        <f>SUMIFS(견적기준!$AB$6:$AB$233,견적기준!$H$6:$H$233,$C9,견적기준!$E$6:$E$233,견적기준통합!$G$3)</f>
        <v>185</v>
      </c>
      <c r="H9" s="230">
        <f t="shared" si="0"/>
        <v>534.5</v>
      </c>
      <c r="I9" s="469">
        <f t="shared" si="1"/>
        <v>0.30077938155932588</v>
      </c>
      <c r="L9" s="474" t="s">
        <v>57</v>
      </c>
      <c r="M9" s="406">
        <f>SUMIFS(견적기준!$M$6:$M$198,견적기준!$H$6:$H$198,견적기준통합!$L9)</f>
        <v>16</v>
      </c>
      <c r="N9" s="406">
        <f>SUMIFS(견적기준!$N$6:$N$198,견적기준!$H$6:$H$198,견적기준통합!$L9)</f>
        <v>16</v>
      </c>
      <c r="O9" s="406">
        <f>SUMIFS(견적기준!$O$6:O$198,견적기준!$H$6:$H$198,견적기준통합!$L9)</f>
        <v>16</v>
      </c>
      <c r="P9" s="406">
        <f>SUMIFS(견적기준!$P$6:$P$198,견적기준!$H$6:$H$198,견적기준통합!$L9)</f>
        <v>16.5</v>
      </c>
      <c r="Q9" s="406">
        <f>SUMIFS(견적기준!$Q$6:$Q$198,견적기준!$H$6:$H$198,견적기준통합!$L9)</f>
        <v>42</v>
      </c>
      <c r="R9" s="406">
        <f>SUMIFS(견적기준!$R$6:$R$198,견적기준!$H$6:$H$198,견적기준통합!$L9)</f>
        <v>42</v>
      </c>
      <c r="S9" s="406">
        <f>SUMIFS(견적기준!$S$6:$S$198,견적기준!$H$6:$H$198,견적기준통합!$L9)</f>
        <v>45</v>
      </c>
      <c r="T9" s="406">
        <f>SUMIFS(견적기준!$T$6:$T$198,견적기준!$H$6:$H$198,견적기준통합!$L9)</f>
        <v>45</v>
      </c>
      <c r="U9" s="406">
        <f>SUMIFS(견적기준!$U$6:$U$198,견적기준!$H$6:$H$198,견적기준통합!$L9)</f>
        <v>45</v>
      </c>
      <c r="V9" s="406">
        <f>SUMIFS(견적기준!$V$6:$V$198,견적기준!$H$6:$H$198,견적기준통합!$L9)</f>
        <v>45</v>
      </c>
      <c r="W9" s="406">
        <f>SUMIFS(견적기준!$W$6:$W$198,견적기준!$H$6:$H$198,견적기준통합!$L9)</f>
        <v>45</v>
      </c>
      <c r="X9" s="406">
        <f>SUMIFS(견적기준!$X$6:$X$198,견적기준!$H$6:$H$198,견적기준통합!$L9)</f>
        <v>45</v>
      </c>
      <c r="Y9" s="406">
        <f>SUMIFS(견적기준!$Y$6:$Y$198,견적기준!$H$6:$H$198,견적기준통합!$L9)</f>
        <v>45</v>
      </c>
      <c r="Z9" s="406">
        <f>SUMIFS(견적기준!$Z$6:$Z$198,견적기준!$H$6:$H$198,견적기준통합!$L9)</f>
        <v>45</v>
      </c>
      <c r="AA9" s="406">
        <f>SUMIFS(견적기준!$AA$6:$AA$198,견적기준!$H$6:$H$198,견적기준통합!$L9)</f>
        <v>26</v>
      </c>
      <c r="AB9" s="477">
        <f t="shared" si="2"/>
        <v>534.5</v>
      </c>
    </row>
    <row r="10" spans="2:29">
      <c r="B10" s="78">
        <v>7</v>
      </c>
      <c r="C10" s="73" t="s">
        <v>348</v>
      </c>
      <c r="D10" s="149">
        <f>SUMIFS(견적기준!$AB$6:$AB$233,견적기준!$H$6:$H$233,$C10,견적기준!$E$6:$E$233,견적기준통합!$D$3)</f>
        <v>4</v>
      </c>
      <c r="E10" s="149">
        <f>SUMIFS(견적기준!$AB$6:$AB$233,견적기준!$H$6:$H$233,$C10,견적기준!$E$6:$E$233,견적기준통합!$E$3)</f>
        <v>0</v>
      </c>
      <c r="F10" s="149">
        <f>SUMIFS(견적기준!$AB$6:$AB$233,견적기준!$H$6:$H$233,$C10,견적기준!$E$6:$E$233,견적기준통합!$F$3)</f>
        <v>18.5</v>
      </c>
      <c r="G10" s="149">
        <f>SUMIFS(견적기준!$AB$6:$AB$233,견적기준!$H$6:$H$233,$C10,견적기준!$E$6:$E$233,견적기준통합!$G$3)</f>
        <v>9</v>
      </c>
      <c r="H10" s="230">
        <f t="shared" si="0"/>
        <v>31.5</v>
      </c>
      <c r="I10" s="469">
        <f t="shared" si="1"/>
        <v>1.7726006583945304E-2</v>
      </c>
      <c r="L10" s="474" t="s">
        <v>348</v>
      </c>
      <c r="M10" s="406">
        <f>SUMIFS(견적기준!$M$6:$M$198,견적기준!$H$6:$H$198,견적기준통합!$L10)</f>
        <v>1.25</v>
      </c>
      <c r="N10" s="406">
        <f>SUMIFS(견적기준!$N$6:$N$198,견적기준!$H$6:$H$198,견적기준통합!$L10)</f>
        <v>0.75</v>
      </c>
      <c r="O10" s="406">
        <f>SUMIFS(견적기준!$O$6:O$198,견적기준!$H$6:$H$198,견적기준통합!$L10)</f>
        <v>0.5</v>
      </c>
      <c r="P10" s="406">
        <f>SUMIFS(견적기준!$P$6:$P$198,견적기준!$H$6:$H$198,견적기준통합!$L10)</f>
        <v>0.5</v>
      </c>
      <c r="Q10" s="406">
        <f>SUMIFS(견적기준!$Q$6:$Q$198,견적기준!$H$6:$H$198,견적기준통합!$L10)</f>
        <v>3.25</v>
      </c>
      <c r="R10" s="406">
        <f>SUMIFS(견적기준!$R$6:$R$198,견적기준!$H$6:$H$198,견적기준통합!$L10)</f>
        <v>2.5</v>
      </c>
      <c r="S10" s="406">
        <f>SUMIFS(견적기준!$S$6:$S$198,견적기준!$H$6:$H$198,견적기준통합!$L10)</f>
        <v>2.5</v>
      </c>
      <c r="T10" s="406">
        <f>SUMIFS(견적기준!$T$6:$T$198,견적기준!$H$6:$H$198,견적기준통합!$L10)</f>
        <v>2.5</v>
      </c>
      <c r="U10" s="406">
        <f>SUMIFS(견적기준!$U$6:$U$198,견적기준!$H$6:$H$198,견적기준통합!$L10)</f>
        <v>3.5</v>
      </c>
      <c r="V10" s="406">
        <f>SUMIFS(견적기준!$V$6:$V$198,견적기준!$H$6:$H$198,견적기준통합!$L10)</f>
        <v>3.5</v>
      </c>
      <c r="W10" s="406">
        <f>SUMIFS(견적기준!$W$6:$W$198,견적기준!$H$6:$H$198,견적기준통합!$L10)</f>
        <v>3.75</v>
      </c>
      <c r="X10" s="406">
        <f>SUMIFS(견적기준!$X$6:$X$198,견적기준!$H$6:$H$198,견적기준통합!$L10)</f>
        <v>3.5</v>
      </c>
      <c r="Y10" s="406">
        <f>SUMIFS(견적기준!$Y$6:$Y$198,견적기준!$H$6:$H$198,견적기준통합!$L10)</f>
        <v>2.5</v>
      </c>
      <c r="Z10" s="406">
        <f>SUMIFS(견적기준!$Z$6:$Z$198,견적기준!$H$6:$H$198,견적기준통합!$L10)</f>
        <v>0.5</v>
      </c>
      <c r="AA10" s="406">
        <f>SUMIFS(견적기준!$AA$6:$AA$198,견적기준!$H$6:$H$198,견적기준통합!$L10)</f>
        <v>0.5</v>
      </c>
      <c r="AB10" s="477">
        <f t="shared" si="2"/>
        <v>31.5</v>
      </c>
    </row>
    <row r="11" spans="2:29">
      <c r="B11" s="78">
        <v>8</v>
      </c>
      <c r="C11" s="73" t="s">
        <v>58</v>
      </c>
      <c r="D11" s="149">
        <f>SUMIFS(견적기준!$AB$6:$AB$233,견적기준!$H$6:$H$233,$C11,견적기준!$E$6:$E$233,견적기준통합!$D$3)</f>
        <v>41</v>
      </c>
      <c r="E11" s="149">
        <f>SUMIFS(견적기준!$AB$6:$AB$233,견적기준!$H$6:$H$233,$C11,견적기준!$E$6:$E$233,견적기준통합!$E$3)</f>
        <v>33.5</v>
      </c>
      <c r="F11" s="149">
        <f>SUMIFS(견적기준!$AB$6:$AB$233,견적기준!$H$6:$H$233,$C11,견적기준!$E$6:$E$233,견적기준통합!$F$3)</f>
        <v>9.5</v>
      </c>
      <c r="G11" s="149">
        <f>SUMIFS(견적기준!$AB$6:$AB$233,견적기준!$H$6:$H$233,$C11,견적기준!$E$6:$E$233,견적기준통합!$G$3)</f>
        <v>9</v>
      </c>
      <c r="H11" s="230">
        <f t="shared" si="0"/>
        <v>93</v>
      </c>
      <c r="I11" s="469">
        <f t="shared" si="1"/>
        <v>5.2333924200219463E-2</v>
      </c>
      <c r="L11" s="474" t="s">
        <v>58</v>
      </c>
      <c r="M11" s="406">
        <f>SUMIFS(견적기준!$M$6:$M$198,견적기준!$H$6:$H$198,견적기준통합!$L11)</f>
        <v>2</v>
      </c>
      <c r="N11" s="406">
        <f>SUMIFS(견적기준!$N$6:$N$198,견적기준!$H$6:$H$198,견적기준통합!$L11)</f>
        <v>2.5</v>
      </c>
      <c r="O11" s="406">
        <f>SUMIFS(견적기준!$O$6:O$198,견적기준!$H$6:$H$198,견적기준통합!$L11)</f>
        <v>4.5</v>
      </c>
      <c r="P11" s="406">
        <f>SUMIFS(견적기준!$P$6:$P$198,견적기준!$H$6:$H$198,견적기준통합!$L11)</f>
        <v>5.5</v>
      </c>
      <c r="Q11" s="406">
        <f>SUMIFS(견적기준!$Q$6:$Q$198,견적기준!$H$6:$H$198,견적기준통합!$L11)</f>
        <v>7.5</v>
      </c>
      <c r="R11" s="406">
        <f>SUMIFS(견적기준!$R$6:$R$198,견적기준!$H$6:$H$198,견적기준통합!$L11)</f>
        <v>8</v>
      </c>
      <c r="S11" s="406">
        <f>SUMIFS(견적기준!$S$6:$S$198,견적기준!$H$6:$H$198,견적기준통합!$L11)</f>
        <v>8</v>
      </c>
      <c r="T11" s="406">
        <f>SUMIFS(견적기준!$T$6:$T$198,견적기준!$H$6:$H$198,견적기준통합!$L11)</f>
        <v>8</v>
      </c>
      <c r="U11" s="406">
        <f>SUMIFS(견적기준!$U$6:$U$198,견적기준!$H$6:$H$198,견적기준통합!$L11)</f>
        <v>8</v>
      </c>
      <c r="V11" s="406">
        <f>SUMIFS(견적기준!$V$6:$V$198,견적기준!$H$6:$H$198,견적기준통합!$L11)</f>
        <v>8</v>
      </c>
      <c r="W11" s="406">
        <f>SUMIFS(견적기준!$W$6:$W$198,견적기준!$H$6:$H$198,견적기준통합!$L11)</f>
        <v>8</v>
      </c>
      <c r="X11" s="406">
        <f>SUMIFS(견적기준!$X$6:$X$198,견적기준!$H$6:$H$198,견적기준통합!$L11)</f>
        <v>8</v>
      </c>
      <c r="Y11" s="406">
        <f>SUMIFS(견적기준!$Y$6:$Y$198,견적기준!$H$6:$H$198,견적기준통합!$L11)</f>
        <v>8</v>
      </c>
      <c r="Z11" s="406">
        <f>SUMIFS(견적기준!$Z$6:$Z$198,견적기준!$H$6:$H$198,견적기준통합!$L11)</f>
        <v>5.5</v>
      </c>
      <c r="AA11" s="406">
        <f>SUMIFS(견적기준!$AA$6:$AA$198,견적기준!$H$6:$H$198,견적기준통합!$L11)</f>
        <v>1.5</v>
      </c>
      <c r="AB11" s="477">
        <f t="shared" si="2"/>
        <v>93</v>
      </c>
    </row>
    <row r="12" spans="2:29">
      <c r="B12" s="78">
        <v>9</v>
      </c>
      <c r="C12" s="73" t="s">
        <v>40</v>
      </c>
      <c r="D12" s="149">
        <f>SUMIFS(견적기준!$AB$6:$AB$233,견적기준!$H$6:$H$233,$C12,견적기준!$E$6:$E$233,견적기준통합!$D$3)</f>
        <v>30</v>
      </c>
      <c r="E12" s="149">
        <f>SUMIFS(견적기준!$AB$6:$AB$233,견적기준!$H$6:$H$233,$C12,견적기준!$E$6:$E$233,견적기준통합!$E$3)</f>
        <v>157</v>
      </c>
      <c r="F12" s="149">
        <f>SUMIFS(견적기준!$AB$6:$AB$233,견적기준!$H$6:$H$233,$C12,견적기준!$E$6:$E$233,견적기준통합!$F$3)</f>
        <v>30</v>
      </c>
      <c r="G12" s="149">
        <f>SUMIFS(견적기준!$AB$6:$AB$233,견적기준!$H$6:$H$233,$C12,견적기준!$E$6:$E$233,견적기준통합!$G$3)</f>
        <v>4</v>
      </c>
      <c r="H12" s="230">
        <f t="shared" si="0"/>
        <v>221</v>
      </c>
      <c r="I12" s="469">
        <f t="shared" si="1"/>
        <v>0.12436341127148927</v>
      </c>
      <c r="L12" s="474" t="s">
        <v>40</v>
      </c>
      <c r="M12" s="406">
        <f>SUMIFS(견적기준!$M$6:$M$198,견적기준!$H$6:$H$198,견적기준통합!$L12)</f>
        <v>6</v>
      </c>
      <c r="N12" s="406">
        <f>SUMIFS(견적기준!$N$6:$N$198,견적기준!$H$6:$H$198,견적기준통합!$L12)</f>
        <v>12</v>
      </c>
      <c r="O12" s="406">
        <f>SUMIFS(견적기준!$O$6:O$198,견적기준!$H$6:$H$198,견적기준통합!$L12)</f>
        <v>12</v>
      </c>
      <c r="P12" s="406">
        <f>SUMIFS(견적기준!$P$6:$P$198,견적기준!$H$6:$H$198,견적기준통합!$L12)</f>
        <v>15</v>
      </c>
      <c r="Q12" s="406">
        <f>SUMIFS(견적기준!$Q$6:$Q$198,견적기준!$H$6:$H$198,견적기준통합!$L12)</f>
        <v>22</v>
      </c>
      <c r="R12" s="406">
        <f>SUMIFS(견적기준!$R$6:$R$198,견적기준!$H$6:$H$198,견적기준통합!$L12)</f>
        <v>19</v>
      </c>
      <c r="S12" s="406">
        <f>SUMIFS(견적기준!$S$6:$S$198,견적기준!$H$6:$H$198,견적기준통합!$L12)</f>
        <v>17</v>
      </c>
      <c r="T12" s="406">
        <f>SUMIFS(견적기준!$T$6:$T$198,견적기준!$H$6:$H$198,견적기준통합!$L12)</f>
        <v>17</v>
      </c>
      <c r="U12" s="406">
        <f>SUMIFS(견적기준!$U$6:$U$198,견적기준!$H$6:$H$198,견적기준통합!$L12)</f>
        <v>17</v>
      </c>
      <c r="V12" s="406">
        <f>SUMIFS(견적기준!$V$6:$V$198,견적기준!$H$6:$H$198,견적기준통합!$L12)</f>
        <v>17</v>
      </c>
      <c r="W12" s="406">
        <f>SUMIFS(견적기준!$W$6:$W$198,견적기준!$H$6:$H$198,견적기준통합!$L12)</f>
        <v>16</v>
      </c>
      <c r="X12" s="406">
        <f>SUMIFS(견적기준!$X$6:$X$198,견적기준!$H$6:$H$198,견적기준통합!$L12)</f>
        <v>16</v>
      </c>
      <c r="Y12" s="406">
        <f>SUMIFS(견적기준!$Y$6:$Y$198,견적기준!$H$6:$H$198,견적기준통합!$L12)</f>
        <v>15</v>
      </c>
      <c r="Z12" s="406">
        <f>SUMIFS(견적기준!$Z$6:$Z$198,견적기준!$H$6:$H$198,견적기준통합!$L12)</f>
        <v>13</v>
      </c>
      <c r="AA12" s="406">
        <f>SUMIFS(견적기준!$AA$6:$AA$198,견적기준!$H$6:$H$198,견적기준통합!$L12)</f>
        <v>7</v>
      </c>
      <c r="AB12" s="477">
        <f t="shared" si="2"/>
        <v>221</v>
      </c>
    </row>
    <row r="13" spans="2:29">
      <c r="B13" s="78">
        <v>10</v>
      </c>
      <c r="C13" s="73" t="s">
        <v>59</v>
      </c>
      <c r="D13" s="149">
        <f>SUMIFS(견적기준!$AB$6:$AB$233,견적기준!$H$6:$H$233,$C13,견적기준!$E$6:$E$233,견적기준통합!$D$3)</f>
        <v>30</v>
      </c>
      <c r="E13" s="149">
        <f>SUMIFS(견적기준!$AB$6:$AB$233,견적기준!$H$6:$H$233,$C13,견적기준!$E$6:$E$233,견적기준통합!$E$3)</f>
        <v>61.5</v>
      </c>
      <c r="F13" s="149">
        <f>SUMIFS(견적기준!$AB$6:$AB$233,견적기준!$H$6:$H$233,$C13,견적기준!$E$6:$E$233,견적기준통합!$F$3)</f>
        <v>16.5</v>
      </c>
      <c r="G13" s="149">
        <f>SUMIFS(견적기준!$AB$6:$AB$233,견적기준!$H$6:$H$233,$C13,견적기준!$E$6:$E$233,견적기준통합!$G$3)</f>
        <v>0</v>
      </c>
      <c r="H13" s="230">
        <f t="shared" si="0"/>
        <v>108</v>
      </c>
      <c r="I13" s="469">
        <f t="shared" si="1"/>
        <v>6.0774879716383894E-2</v>
      </c>
      <c r="L13" s="474" t="s">
        <v>59</v>
      </c>
      <c r="M13" s="406">
        <f>SUMIFS(견적기준!$M$6:$M$198,견적기준!$H$6:$H$198,견적기준통합!$L13)</f>
        <v>4</v>
      </c>
      <c r="N13" s="406">
        <f>SUMIFS(견적기준!$N$6:$N$198,견적기준!$H$6:$H$198,견적기준통합!$L13)</f>
        <v>6</v>
      </c>
      <c r="O13" s="406">
        <f>SUMIFS(견적기준!$O$6:O$198,견적기준!$H$6:$H$198,견적기준통합!$L13)</f>
        <v>7</v>
      </c>
      <c r="P13" s="406">
        <f>SUMIFS(견적기준!$P$6:$P$198,견적기준!$H$6:$H$198,견적기준통합!$L13)</f>
        <v>7</v>
      </c>
      <c r="Q13" s="406">
        <f>SUMIFS(견적기준!$Q$6:$Q$198,견적기준!$H$6:$H$198,견적기준통합!$L13)</f>
        <v>9</v>
      </c>
      <c r="R13" s="406">
        <f>SUMIFS(견적기준!$R$6:$R$198,견적기준!$H$6:$H$198,견적기준통합!$L13)</f>
        <v>9</v>
      </c>
      <c r="S13" s="406">
        <f>SUMIFS(견적기준!$S$6:$S$198,견적기준!$H$6:$H$198,견적기준통합!$L13)</f>
        <v>9</v>
      </c>
      <c r="T13" s="406">
        <f>SUMIFS(견적기준!$T$6:$T$198,견적기준!$H$6:$H$198,견적기준통합!$L13)</f>
        <v>9</v>
      </c>
      <c r="U13" s="406">
        <f>SUMIFS(견적기준!$U$6:$U$198,견적기준!$H$6:$H$198,견적기준통합!$L13)</f>
        <v>9</v>
      </c>
      <c r="V13" s="406">
        <f>SUMIFS(견적기준!$V$6:$V$198,견적기준!$H$6:$H$198,견적기준통합!$L13)</f>
        <v>9</v>
      </c>
      <c r="W13" s="406">
        <f>SUMIFS(견적기준!$W$6:$W$198,견적기준!$H$6:$H$198,견적기준통합!$L13)</f>
        <v>8</v>
      </c>
      <c r="X13" s="406">
        <f>SUMIFS(견적기준!$X$6:$X$198,견적기준!$H$6:$H$198,견적기준통합!$L13)</f>
        <v>8</v>
      </c>
      <c r="Y13" s="406">
        <f>SUMIFS(견적기준!$Y$6:$Y$198,견적기준!$H$6:$H$198,견적기준통합!$L13)</f>
        <v>6</v>
      </c>
      <c r="Z13" s="406">
        <f>SUMIFS(견적기준!$Z$6:$Z$198,견적기준!$H$6:$H$198,견적기준통합!$L13)</f>
        <v>4</v>
      </c>
      <c r="AA13" s="406">
        <f>SUMIFS(견적기준!$AA$6:$AA$198,견적기준!$H$6:$H$198,견적기준통합!$L13)</f>
        <v>4</v>
      </c>
      <c r="AB13" s="477">
        <f t="shared" si="2"/>
        <v>108</v>
      </c>
    </row>
    <row r="14" spans="2:29">
      <c r="B14" s="78">
        <v>11</v>
      </c>
      <c r="C14" s="114" t="s">
        <v>60</v>
      </c>
      <c r="D14" s="149">
        <f>SUMIFS(견적기준!$AB$6:$AB$233,견적기준!$H$6:$H$233,$C14,견적기준!$E$6:$E$233,견적기준통합!$D$3)</f>
        <v>24</v>
      </c>
      <c r="E14" s="149">
        <f>SUMIFS(견적기준!$AB$6:$AB$233,견적기준!$H$6:$H$233,$C14,견적기준!$E$6:$E$233,견적기준통합!$E$3)</f>
        <v>51</v>
      </c>
      <c r="F14" s="149">
        <f>SUMIFS(견적기준!$AB$6:$AB$233,견적기준!$H$6:$H$233,$C14,견적기준!$E$6:$E$233,견적기준통합!$F$3)</f>
        <v>0</v>
      </c>
      <c r="G14" s="149">
        <f>SUMIFS(견적기준!$AB$6:$AB$233,견적기준!$H$6:$H$233,$C14,견적기준!$E$6:$E$233,견적기준통합!$G$3)</f>
        <v>5</v>
      </c>
      <c r="H14" s="230">
        <f t="shared" si="0"/>
        <v>80</v>
      </c>
      <c r="I14" s="469">
        <f t="shared" si="1"/>
        <v>4.5018429419543628E-2</v>
      </c>
      <c r="L14" s="475" t="s">
        <v>60</v>
      </c>
      <c r="M14" s="406">
        <f>SUMIFS(견적기준!$M$6:$M$198,견적기준!$H$6:$H$198,견적기준통합!$L14)</f>
        <v>0</v>
      </c>
      <c r="N14" s="406">
        <f>SUMIFS(견적기준!$N$6:$N$198,견적기준!$H$6:$H$198,견적기준통합!$L14)</f>
        <v>0</v>
      </c>
      <c r="O14" s="406">
        <f>SUMIFS(견적기준!$O$6:O$198,견적기준!$H$6:$H$198,견적기준통합!$L14)</f>
        <v>0</v>
      </c>
      <c r="P14" s="406">
        <f>SUMIFS(견적기준!$P$6:$P$198,견적기준!$H$6:$H$198,견적기준통합!$L14)</f>
        <v>0</v>
      </c>
      <c r="Q14" s="406">
        <f>SUMIFS(견적기준!$Q$6:$Q$198,견적기준!$H$6:$H$198,견적기준통합!$L14)</f>
        <v>0</v>
      </c>
      <c r="R14" s="406">
        <f>SUMIFS(견적기준!$R$6:$R$198,견적기준!$H$6:$H$198,견적기준통합!$L14)</f>
        <v>0</v>
      </c>
      <c r="S14" s="406">
        <f>SUMIFS(견적기준!$S$6:$S$198,견적기준!$H$6:$H$198,견적기준통합!$L14)</f>
        <v>5</v>
      </c>
      <c r="T14" s="406">
        <f>SUMIFS(견적기준!$T$6:$T$198,견적기준!$H$6:$H$198,견적기준통합!$L14)</f>
        <v>8</v>
      </c>
      <c r="U14" s="406">
        <f>SUMIFS(견적기준!$U$6:$U$198,견적기준!$H$6:$H$198,견적기준통합!$L14)</f>
        <v>9</v>
      </c>
      <c r="V14" s="406">
        <f>SUMIFS(견적기준!$V$6:$V$198,견적기준!$H$6:$H$198,견적기준통합!$L14)</f>
        <v>10</v>
      </c>
      <c r="W14" s="406">
        <f>SUMIFS(견적기준!$W$6:$W$198,견적기준!$H$6:$H$198,견적기준통합!$L14)</f>
        <v>12</v>
      </c>
      <c r="X14" s="406">
        <f>SUMIFS(견적기준!$X$6:$X$198,견적기준!$H$6:$H$198,견적기준통합!$L14)</f>
        <v>12</v>
      </c>
      <c r="Y14" s="406">
        <f>SUMIFS(견적기준!$Y$6:$Y$198,견적기준!$H$6:$H$198,견적기준통합!$L14)</f>
        <v>12</v>
      </c>
      <c r="Z14" s="406">
        <f>SUMIFS(견적기준!$Z$6:$Z$198,견적기준!$H$6:$H$198,견적기준통합!$L14)</f>
        <v>12</v>
      </c>
      <c r="AA14" s="406">
        <f>SUMIFS(견적기준!$AA$6:$AA$198,견적기준!$H$6:$H$198,견적기준통합!$L14)</f>
        <v>0</v>
      </c>
      <c r="AB14" s="477">
        <f t="shared" si="2"/>
        <v>80</v>
      </c>
    </row>
    <row r="15" spans="2:29">
      <c r="B15" s="78">
        <v>12</v>
      </c>
      <c r="C15" s="229" t="s">
        <v>41</v>
      </c>
      <c r="D15" s="149">
        <f>SUMIFS(견적기준!$AB$6:$AB$233,견적기준!$H$6:$H$233,$C15,견적기준!$E$6:$E$233,견적기준통합!$D$3)</f>
        <v>0</v>
      </c>
      <c r="E15" s="149">
        <f>SUMIFS(견적기준!$AB$6:$AB$233,견적기준!$H$6:$H$233,$C15,견적기준!$E$6:$E$233,견적기준통합!$E$3)</f>
        <v>0</v>
      </c>
      <c r="F15" s="149">
        <f>SUMIFS(견적기준!$AB$6:$AB$233,견적기준!$H$6:$H$233,$C15,견적기준!$E$6:$E$233,견적기준통합!$F$3)</f>
        <v>6.3</v>
      </c>
      <c r="G15" s="149">
        <f>SUMIFS(견적기준!$AB$6:$AB$233,견적기준!$H$6:$H$233,$C15,견적기준!$E$6:$E$233,견적기준통합!$G$3)</f>
        <v>0</v>
      </c>
      <c r="H15" s="230">
        <f t="shared" si="0"/>
        <v>6.3</v>
      </c>
      <c r="I15" s="469">
        <f t="shared" si="1"/>
        <v>3.5452013167890607E-3</v>
      </c>
      <c r="L15" s="472" t="s">
        <v>41</v>
      </c>
      <c r="M15" s="406">
        <f>SUMIFS(견적기준!$M$6:$M$198,견적기준!$H$6:$H$198,견적기준통합!$L15)</f>
        <v>0</v>
      </c>
      <c r="N15" s="406">
        <f>SUMIFS(견적기준!$N$6:$N$198,견적기준!$H$6:$H$198,견적기준통합!$L15)</f>
        <v>0</v>
      </c>
      <c r="O15" s="406">
        <f>SUMIFS(견적기준!$O$6:O$198,견적기준!$H$6:$H$198,견적기준통합!$L15)</f>
        <v>0</v>
      </c>
      <c r="P15" s="406">
        <f>SUMIFS(견적기준!$P$6:$P$198,견적기준!$H$6:$H$198,견적기준통합!$L15)</f>
        <v>1</v>
      </c>
      <c r="Q15" s="406">
        <f>SUMIFS(견적기준!$Q$6:$Q$198,견적기준!$H$6:$H$198,견적기준통합!$L15)</f>
        <v>1</v>
      </c>
      <c r="R15" s="406">
        <f>SUMIFS(견적기준!$R$6:$R$198,견적기준!$H$6:$H$198,견적기준통합!$L15)</f>
        <v>1</v>
      </c>
      <c r="S15" s="406">
        <f>SUMIFS(견적기준!$S$6:$S$198,견적기준!$H$6:$H$198,견적기준통합!$L15)</f>
        <v>1</v>
      </c>
      <c r="T15" s="406">
        <f>SUMIFS(견적기준!$T$6:$T$198,견적기준!$H$6:$H$198,견적기준통합!$L15)</f>
        <v>1</v>
      </c>
      <c r="U15" s="406">
        <f>SUMIFS(견적기준!$U$6:$U$198,견적기준!$H$6:$H$198,견적기준통합!$L15)</f>
        <v>1</v>
      </c>
      <c r="V15" s="406">
        <f>SUMIFS(견적기준!$V$6:$V$198,견적기준!$H$6:$H$198,견적기준통합!$L15)</f>
        <v>0.3</v>
      </c>
      <c r="W15" s="406">
        <f>SUMIFS(견적기준!$W$6:$W$198,견적기준!$H$6:$H$198,견적기준통합!$L15)</f>
        <v>0</v>
      </c>
      <c r="X15" s="406">
        <f>SUMIFS(견적기준!$X$6:$X$198,견적기준!$H$6:$H$198,견적기준통합!$L15)</f>
        <v>0</v>
      </c>
      <c r="Y15" s="406">
        <f>SUMIFS(견적기준!$Y$6:$Y$198,견적기준!$H$6:$H$198,견적기준통합!$L15)</f>
        <v>0</v>
      </c>
      <c r="Z15" s="406">
        <f>SUMIFS(견적기준!$Z$6:$Z$198,견적기준!$H$6:$H$198,견적기준통합!$L15)</f>
        <v>0</v>
      </c>
      <c r="AA15" s="406">
        <f>SUMIFS(견적기준!$AA$6:$AA$198,견적기준!$H$6:$H$198,견적기준통합!$L15)</f>
        <v>0</v>
      </c>
      <c r="AB15" s="477">
        <f t="shared" si="2"/>
        <v>6.3</v>
      </c>
    </row>
    <row r="16" spans="2:29">
      <c r="B16" s="78">
        <v>14</v>
      </c>
      <c r="C16" s="73" t="s">
        <v>61</v>
      </c>
      <c r="D16" s="149">
        <f>SUMIFS(견적기준!$AB$6:$AB$233,견적기준!$H$6:$H$233,$C16,견적기준!$E$6:$E$233,견적기준통합!$D$3)</f>
        <v>0</v>
      </c>
      <c r="E16" s="149">
        <f>SUMIFS(견적기준!$AB$6:$AB$233,견적기준!$H$6:$H$233,$C16,견적기준!$E$6:$E$233,견적기준통합!$E$3)</f>
        <v>66.5</v>
      </c>
      <c r="F16" s="149">
        <f>SUMIFS(견적기준!$AB$6:$AB$233,견적기준!$H$6:$H$233,$C16,견적기준!$E$6:$E$233,견적기준통합!$F$3)</f>
        <v>19.5</v>
      </c>
      <c r="G16" s="149">
        <f>SUMIFS(견적기준!$AB$6:$AB$233,견적기준!$H$6:$H$233,$C16,견적기준!$E$6:$E$233,견적기준통합!$G$3)</f>
        <v>6</v>
      </c>
      <c r="H16" s="230">
        <f t="shared" si="0"/>
        <v>92</v>
      </c>
      <c r="I16" s="469">
        <f t="shared" si="1"/>
        <v>5.1771193832475172E-2</v>
      </c>
      <c r="L16" s="474" t="s">
        <v>61</v>
      </c>
      <c r="M16" s="406">
        <f>SUMIFS(견적기준!$M$6:$M$198,견적기준!$H$6:$H$198,견적기준통합!$L16)</f>
        <v>0</v>
      </c>
      <c r="N16" s="406">
        <f>SUMIFS(견적기준!$N$6:$N$198,견적기준!$H$6:$H$198,견적기준통합!$L16)</f>
        <v>4</v>
      </c>
      <c r="O16" s="406">
        <f>SUMIFS(견적기준!$O$6:O$198,견적기준!$H$6:$H$198,견적기준통합!$L16)</f>
        <v>4</v>
      </c>
      <c r="P16" s="406">
        <f>SUMIFS(견적기준!$P$6:$P$198,견적기준!$H$6:$H$198,견적기준통합!$L16)</f>
        <v>4</v>
      </c>
      <c r="Q16" s="406">
        <f>SUMIFS(견적기준!$Q$6:$Q$198,견적기준!$H$6:$H$198,견적기준통합!$L16)</f>
        <v>7.5</v>
      </c>
      <c r="R16" s="406">
        <f>SUMIFS(견적기준!$R$6:$R$198,견적기준!$H$6:$H$198,견적기준통합!$L16)</f>
        <v>9</v>
      </c>
      <c r="S16" s="406">
        <f>SUMIFS(견적기준!$S$6:$S$198,견적기준!$H$6:$H$198,견적기준통합!$L16)</f>
        <v>9</v>
      </c>
      <c r="T16" s="406">
        <f>SUMIFS(견적기준!$T$6:$T$198,견적기준!$H$6:$H$198,견적기준통합!$L16)</f>
        <v>9</v>
      </c>
      <c r="U16" s="406">
        <f>SUMIFS(견적기준!$U$6:$U$198,견적기준!$H$6:$H$198,견적기준통합!$L16)</f>
        <v>9</v>
      </c>
      <c r="V16" s="406">
        <f>SUMIFS(견적기준!$V$6:$V$198,견적기준!$H$6:$H$198,견적기준통합!$L16)</f>
        <v>9</v>
      </c>
      <c r="W16" s="406">
        <f>SUMIFS(견적기준!$W$6:$W$198,견적기준!$H$6:$H$198,견적기준통합!$L16)</f>
        <v>8</v>
      </c>
      <c r="X16" s="406">
        <f>SUMIFS(견적기준!$X$6:$X$198,견적기준!$H$6:$H$198,견적기준통합!$L16)</f>
        <v>7</v>
      </c>
      <c r="Y16" s="406">
        <f>SUMIFS(견적기준!$Y$6:$Y$198,견적기준!$H$6:$H$198,견적기준통합!$L16)</f>
        <v>7</v>
      </c>
      <c r="Z16" s="406">
        <f>SUMIFS(견적기준!$Z$6:$Z$198,견적기준!$H$6:$H$198,견적기준통합!$L16)</f>
        <v>5.5</v>
      </c>
      <c r="AA16" s="406">
        <f>SUMIFS(견적기준!$AA$6:$AA$198,견적기준!$H$6:$H$198,견적기준통합!$L16)</f>
        <v>0</v>
      </c>
      <c r="AB16" s="477">
        <f t="shared" si="2"/>
        <v>92</v>
      </c>
    </row>
    <row r="17" spans="2:28">
      <c r="B17" s="1792" t="s">
        <v>159</v>
      </c>
      <c r="C17" s="1792"/>
      <c r="D17" s="462">
        <f>SUM(D4:D16)</f>
        <v>419</v>
      </c>
      <c r="E17" s="462">
        <f t="shared" ref="E17:H17" si="3">SUM(E4:E16)</f>
        <v>640</v>
      </c>
      <c r="F17" s="462">
        <f t="shared" si="3"/>
        <v>392.55</v>
      </c>
      <c r="G17" s="462">
        <f t="shared" si="3"/>
        <v>325.5</v>
      </c>
      <c r="H17" s="462">
        <f t="shared" si="3"/>
        <v>1777.05</v>
      </c>
      <c r="I17" s="469">
        <f t="shared" si="1"/>
        <v>1</v>
      </c>
      <c r="L17" s="470" t="s">
        <v>159</v>
      </c>
      <c r="M17" s="476">
        <f>SUM(M4:M16)</f>
        <v>58.25</v>
      </c>
      <c r="N17" s="476">
        <f t="shared" ref="N17:AB17" si="4">SUM(N4:N16)</f>
        <v>73.75</v>
      </c>
      <c r="O17" s="476">
        <f t="shared" si="4"/>
        <v>85</v>
      </c>
      <c r="P17" s="476">
        <f t="shared" si="4"/>
        <v>93.5</v>
      </c>
      <c r="Q17" s="476">
        <f t="shared" si="4"/>
        <v>140.25</v>
      </c>
      <c r="R17" s="476">
        <f t="shared" si="4"/>
        <v>140.5</v>
      </c>
      <c r="S17" s="476">
        <f t="shared" si="4"/>
        <v>144.5</v>
      </c>
      <c r="T17" s="476">
        <f t="shared" si="4"/>
        <v>147.5</v>
      </c>
      <c r="U17" s="476">
        <f t="shared" si="4"/>
        <v>152</v>
      </c>
      <c r="V17" s="476">
        <f t="shared" si="4"/>
        <v>151.30000000000001</v>
      </c>
      <c r="W17" s="476">
        <f t="shared" si="4"/>
        <v>149.25</v>
      </c>
      <c r="X17" s="476">
        <f t="shared" si="4"/>
        <v>144.5</v>
      </c>
      <c r="Y17" s="476">
        <f t="shared" si="4"/>
        <v>133.25</v>
      </c>
      <c r="Z17" s="476">
        <f t="shared" si="4"/>
        <v>112.5</v>
      </c>
      <c r="AA17" s="476">
        <f t="shared" si="4"/>
        <v>51</v>
      </c>
      <c r="AB17" s="476">
        <f t="shared" si="4"/>
        <v>1777.05</v>
      </c>
    </row>
    <row r="19" spans="2:28">
      <c r="L19" s="107" t="s">
        <v>407</v>
      </c>
    </row>
    <row r="20" spans="2:28">
      <c r="L20" s="97" t="s">
        <v>69</v>
      </c>
      <c r="M20" s="97" t="s">
        <v>31</v>
      </c>
      <c r="N20" s="97" t="s">
        <v>32</v>
      </c>
      <c r="O20" s="97" t="s">
        <v>47</v>
      </c>
      <c r="P20" s="97" t="s">
        <v>48</v>
      </c>
      <c r="Q20" s="97" t="s">
        <v>49</v>
      </c>
      <c r="R20" s="97" t="s">
        <v>50</v>
      </c>
      <c r="S20" s="97" t="s">
        <v>51</v>
      </c>
      <c r="T20" s="97" t="s">
        <v>52</v>
      </c>
      <c r="U20" s="97" t="s">
        <v>53</v>
      </c>
      <c r="V20" s="97" t="s">
        <v>54</v>
      </c>
      <c r="W20" s="97" t="s">
        <v>409</v>
      </c>
      <c r="X20" s="97" t="s">
        <v>410</v>
      </c>
      <c r="Y20" s="97" t="s">
        <v>411</v>
      </c>
      <c r="Z20" s="97" t="s">
        <v>46</v>
      </c>
      <c r="AA20" s="97" t="s">
        <v>47</v>
      </c>
      <c r="AB20" s="97" t="s">
        <v>159</v>
      </c>
    </row>
    <row r="21" spans="2:28">
      <c r="L21" s="472" t="s">
        <v>17</v>
      </c>
      <c r="M21" s="462">
        <f>COUNTIFS(견적기준!$M$6:$M$198,"&gt;0",견적기준!$H$6:$H$198,견적기준통합!$L21)</f>
        <v>16</v>
      </c>
      <c r="N21" s="462">
        <f>COUNTIFS(견적기준!$N$6:$N$198,"&gt;0",견적기준!$H$6:$H$198,견적기준통합!$L21)</f>
        <v>17</v>
      </c>
      <c r="O21" s="462">
        <f>COUNTIFS(견적기준!$O$6:$O$198,"&gt;0",견적기준!$H$6:$H$198,견적기준통합!$L21)</f>
        <v>21</v>
      </c>
      <c r="P21" s="462">
        <f>COUNTIFS(견적기준!$P$6:$P$198,"&gt;0",견적기준!$H$6:$H$198,견적기준통합!$L21)</f>
        <v>22</v>
      </c>
      <c r="Q21" s="462">
        <f>COUNTIFS(견적기준!$Q$6:$Q$198,"&gt;0",견적기준!$H$6:$H$198,견적기준통합!$L21)</f>
        <v>23</v>
      </c>
      <c r="R21" s="462">
        <f>COUNTIFS(견적기준!$R$6:$R$198,"&gt;0",견적기준!$H$6:$H$198,견적기준통합!$L21)</f>
        <v>24</v>
      </c>
      <c r="S21" s="462">
        <f>COUNTIFS(견적기준!$S$6:$S$198,"&gt;0",견적기준!$H$6:$H$198,견적기준통합!$L21)</f>
        <v>23</v>
      </c>
      <c r="T21" s="462">
        <f>COUNTIFS(견적기준!$T$6:$T$198,"&gt;0",견적기준!$H$6:$H$198,견적기준통합!$L21)</f>
        <v>25</v>
      </c>
      <c r="U21" s="462">
        <f>COUNTIFS(견적기준!$U$6:$U$198,"&gt;0",견적기준!$H$6:$H$198,견적기준통합!$L21)</f>
        <v>26</v>
      </c>
      <c r="V21" s="462">
        <f>COUNTIFS(견적기준!$V$6:$V$198,"&gt;0",견적기준!$H$6:$H$198,견적기준통합!$L21)</f>
        <v>29</v>
      </c>
      <c r="W21" s="462">
        <f>COUNTIFS(견적기준!$W$6:$W$198,"&gt;0",견적기준!$H$6:$H$198,견적기준통합!$L21)</f>
        <v>27</v>
      </c>
      <c r="X21" s="462">
        <f>COUNTIFS(견적기준!$X$6:$X$198,"&gt;0",견적기준!$H$6:$H$198,견적기준통합!$L21)</f>
        <v>27</v>
      </c>
      <c r="Y21" s="462">
        <f>COUNTIFS(견적기준!$Y$6:$Y$198,"&gt;0",견적기준!$H$6:$H$198,견적기준통합!$L21)</f>
        <v>21</v>
      </c>
      <c r="Z21" s="462">
        <f>COUNTIFS(견적기준!$Z$6:$Z$198,"&gt;0",견적기준!$H$6:$H$198,견적기준통합!$L21)</f>
        <v>16</v>
      </c>
      <c r="AA21" s="462">
        <f>COUNTIFS(견적기준!$AA$6:$AA$198,"&gt;0",견적기준!$H$6:$H$198,견적기준통합!$L21)</f>
        <v>8</v>
      </c>
      <c r="AB21" s="471">
        <f>SUM(M21:AA21)</f>
        <v>325</v>
      </c>
    </row>
    <row r="22" spans="2:28">
      <c r="L22" s="472" t="s">
        <v>90</v>
      </c>
      <c r="M22" s="462">
        <f>COUNTIFS(견적기준!$M$6:$M$198,"&gt;0",견적기준!$H$6:$H$198,견적기준통합!$L22)</f>
        <v>0</v>
      </c>
      <c r="N22" s="462">
        <f>COUNTIFS(견적기준!$N$6:$N$198,"&gt;0",견적기준!$H$6:$H$198,견적기준통합!$L22)</f>
        <v>0</v>
      </c>
      <c r="O22" s="462">
        <f>COUNTIFS(견적기준!$O$6:$O$198,"&gt;0",견적기준!$H$6:$H$198,견적기준통합!$L22)</f>
        <v>1</v>
      </c>
      <c r="P22" s="462">
        <f>COUNTIFS(견적기준!$P$6:$P$198,"&gt;0",견적기준!$H$6:$H$198,견적기준통합!$L22)</f>
        <v>1</v>
      </c>
      <c r="Q22" s="462">
        <f>COUNTIFS(견적기준!$Q$6:$Q$198,"&gt;0",견적기준!$H$6:$H$198,견적기준통합!$L22)</f>
        <v>0</v>
      </c>
      <c r="R22" s="462">
        <f>COUNTIFS(견적기준!$R$6:$R$198,"&gt;0",견적기준!$H$6:$H$198,견적기준통합!$L22)</f>
        <v>0</v>
      </c>
      <c r="S22" s="462">
        <f>COUNTIFS(견적기준!$S$6:$S$198,"&gt;0",견적기준!$H$6:$H$198,견적기준통합!$L22)</f>
        <v>0</v>
      </c>
      <c r="T22" s="462">
        <f>COUNTIFS(견적기준!$T$6:$T$198,"&gt;0",견적기준!$H$6:$H$198,견적기준통합!$L22)</f>
        <v>0</v>
      </c>
      <c r="U22" s="462">
        <f>COUNTIFS(견적기준!$U$6:$U$198,"&gt;0",견적기준!$H$6:$H$198,견적기준통합!$L22)</f>
        <v>0</v>
      </c>
      <c r="V22" s="462">
        <f>COUNTIFS(견적기준!$V$6:$V$198,"&gt;0",견적기준!$H$6:$H$198,견적기준통합!$L22)</f>
        <v>1</v>
      </c>
      <c r="W22" s="462">
        <f>COUNTIFS(견적기준!$W$6:$W$198,"&gt;0",견적기준!$H$6:$H$198,견적기준통합!$L22)</f>
        <v>2</v>
      </c>
      <c r="X22" s="462">
        <f>COUNTIFS(견적기준!$X$6:$X$198,"&gt;0",견적기준!$H$6:$H$198,견적기준통합!$L22)</f>
        <v>2</v>
      </c>
      <c r="Y22" s="462">
        <f>COUNTIFS(견적기준!$Y$6:$Y$198,"&gt;0",견적기준!$H$6:$H$198,견적기준통합!$L22)</f>
        <v>2</v>
      </c>
      <c r="Z22" s="462">
        <f>COUNTIFS(견적기준!$Z$6:$Z$198,"&gt;0",견적기준!$H$6:$H$198,견적기준통합!$L22)</f>
        <v>0</v>
      </c>
      <c r="AA22" s="462">
        <f>COUNTIFS(견적기준!$AA$6:$AA$198,"&gt;0",견적기준!$H$6:$H$198,견적기준통합!$L22)</f>
        <v>0</v>
      </c>
      <c r="AB22" s="471">
        <f t="shared" ref="AB22:AB33" si="5">SUM(M22:AA22)</f>
        <v>9</v>
      </c>
    </row>
    <row r="23" spans="2:28">
      <c r="L23" s="472" t="s">
        <v>93</v>
      </c>
      <c r="M23" s="462">
        <f>COUNTIFS(견적기준!$M$6:$M$198,"&gt;0",견적기준!$H$6:$H$198,견적기준통합!$L23)</f>
        <v>0</v>
      </c>
      <c r="N23" s="462">
        <f>COUNTIFS(견적기준!$N$6:$N$198,"&gt;0",견적기준!$H$6:$H$198,견적기준통합!$L23)</f>
        <v>0</v>
      </c>
      <c r="O23" s="462">
        <f>COUNTIFS(견적기준!$O$6:$O$198,"&gt;0",견적기준!$H$6:$H$198,견적기준통합!$L23)</f>
        <v>0</v>
      </c>
      <c r="P23" s="462">
        <f>COUNTIFS(견적기준!$P$6:$P$198,"&gt;0",견적기준!$H$6:$H$198,견적기준통합!$L23)</f>
        <v>2</v>
      </c>
      <c r="Q23" s="462">
        <f>COUNTIFS(견적기준!$Q$6:$Q$198,"&gt;0",견적기준!$H$6:$H$198,견적기준통합!$L23)</f>
        <v>7</v>
      </c>
      <c r="R23" s="462">
        <f>COUNTIFS(견적기준!$R$6:$R$198,"&gt;0",견적기준!$H$6:$H$198,견적기준통합!$L23)</f>
        <v>7</v>
      </c>
      <c r="S23" s="462">
        <f>COUNTIFS(견적기준!$S$6:$S$198,"&gt;0",견적기준!$H$6:$H$198,견적기준통합!$L23)</f>
        <v>7</v>
      </c>
      <c r="T23" s="462">
        <f>COUNTIFS(견적기준!$T$6:$T$198,"&gt;0",견적기준!$H$6:$H$198,견적기준통합!$L23)</f>
        <v>7</v>
      </c>
      <c r="U23" s="462">
        <f>COUNTIFS(견적기준!$U$6:$U$198,"&gt;0",견적기준!$H$6:$H$198,견적기준통합!$L23)</f>
        <v>8</v>
      </c>
      <c r="V23" s="462">
        <f>COUNTIFS(견적기준!$V$6:$V$198,"&gt;0",견적기준!$H$6:$H$198,견적기준통합!$L23)</f>
        <v>8</v>
      </c>
      <c r="W23" s="462">
        <f>COUNTIFS(견적기준!$W$6:$W$198,"&gt;0",견적기준!$H$6:$H$198,견적기준통합!$L23)</f>
        <v>7</v>
      </c>
      <c r="X23" s="462">
        <f>COUNTIFS(견적기준!$X$6:$X$198,"&gt;0",견적기준!$H$6:$H$198,견적기준통합!$L23)</f>
        <v>7</v>
      </c>
      <c r="Y23" s="462">
        <f>COUNTIFS(견적기준!$Y$6:$Y$198,"&gt;0",견적기준!$H$6:$H$198,견적기준통합!$L23)</f>
        <v>7</v>
      </c>
      <c r="Z23" s="462">
        <f>COUNTIFS(견적기준!$Z$6:$Z$198,"&gt;0",견적기준!$H$6:$H$198,견적기준통합!$L23)</f>
        <v>7</v>
      </c>
      <c r="AA23" s="462">
        <f>COUNTIFS(견적기준!$AA$6:$AA$198,"&gt;0",견적기준!$H$6:$H$198,견적기준통합!$L23)</f>
        <v>0</v>
      </c>
      <c r="AB23" s="471">
        <f t="shared" si="5"/>
        <v>74</v>
      </c>
    </row>
    <row r="24" spans="2:28">
      <c r="L24" s="472" t="s">
        <v>102</v>
      </c>
      <c r="M24" s="462">
        <f>COUNTIFS(견적기준!$M$6:$M$198,"&gt;0",견적기준!$H$6:$H$198,견적기준통합!$L24)</f>
        <v>2</v>
      </c>
      <c r="N24" s="462">
        <f>COUNTIFS(견적기준!$N$6:$N$198,"&gt;0",견적기준!$H$6:$H$198,견적기준통합!$L24)</f>
        <v>4</v>
      </c>
      <c r="O24" s="462">
        <f>COUNTIFS(견적기준!$O$6:$O$198,"&gt;0",견적기준!$H$6:$H$198,견적기준통합!$L24)</f>
        <v>5</v>
      </c>
      <c r="P24" s="462">
        <f>COUNTIFS(견적기준!$P$6:$P$198,"&gt;0",견적기준!$H$6:$H$198,견적기준통합!$L24)</f>
        <v>5</v>
      </c>
      <c r="Q24" s="462">
        <f>COUNTIFS(견적기준!$Q$6:$Q$198,"&gt;0",견적기준!$H$6:$H$198,견적기준통합!$L24)</f>
        <v>4</v>
      </c>
      <c r="R24" s="462">
        <f>COUNTIFS(견적기준!$R$6:$R$198,"&gt;0",견적기준!$H$6:$H$198,견적기준통합!$L24)</f>
        <v>5</v>
      </c>
      <c r="S24" s="462">
        <f>COUNTIFS(견적기준!$S$6:$S$198,"&gt;0",견적기준!$H$6:$H$198,견적기준통합!$L24)</f>
        <v>4</v>
      </c>
      <c r="T24" s="462">
        <f>COUNTIFS(견적기준!$T$6:$T$198,"&gt;0",견적기준!$H$6:$H$198,견적기준통합!$L24)</f>
        <v>3</v>
      </c>
      <c r="U24" s="462">
        <f>COUNTIFS(견적기준!$U$6:$U$198,"&gt;0",견적기준!$H$6:$H$198,견적기준통합!$L24)</f>
        <v>3</v>
      </c>
      <c r="V24" s="462">
        <f>COUNTIFS(견적기준!$V$6:$V$198,"&gt;0",견적기준!$H$6:$H$198,견적기준통합!$L24)</f>
        <v>2</v>
      </c>
      <c r="W24" s="462">
        <f>COUNTIFS(견적기준!$W$6:$W$198,"&gt;0",견적기준!$H$6:$H$198,견적기준통합!$L24)</f>
        <v>2</v>
      </c>
      <c r="X24" s="462">
        <f>COUNTIFS(견적기준!$X$6:$X$198,"&gt;0",견적기준!$H$6:$H$198,견적기준통합!$L24)</f>
        <v>2</v>
      </c>
      <c r="Y24" s="462">
        <f>COUNTIFS(견적기준!$Y$6:$Y$198,"&gt;0",견적기준!$H$6:$H$198,견적기준통합!$L24)</f>
        <v>2</v>
      </c>
      <c r="Z24" s="462">
        <f>COUNTIFS(견적기준!$Z$6:$Z$198,"&gt;0",견적기준!$H$6:$H$198,견적기준통합!$L24)</f>
        <v>2</v>
      </c>
      <c r="AA24" s="462">
        <f>COUNTIFS(견적기준!$AA$6:$AA$198,"&gt;0",견적기준!$H$6:$H$198,견적기준통합!$L24)</f>
        <v>2</v>
      </c>
      <c r="AB24" s="471">
        <f t="shared" si="5"/>
        <v>47</v>
      </c>
    </row>
    <row r="25" spans="2:28">
      <c r="L25" s="473" t="s">
        <v>56</v>
      </c>
      <c r="M25" s="462">
        <f>COUNTIFS(견적기준!$M$6:$M$198,"&gt;0",견적기준!$H$6:$H$198,견적기준통합!$L25)</f>
        <v>11</v>
      </c>
      <c r="N25" s="462">
        <f>COUNTIFS(견적기준!$N$6:$N$198,"&gt;0",견적기준!$H$6:$H$198,견적기준통합!$L25)</f>
        <v>12</v>
      </c>
      <c r="O25" s="462">
        <f>COUNTIFS(견적기준!$O$6:$O$198,"&gt;0",견적기준!$H$6:$H$198,견적기준통합!$L25)</f>
        <v>15</v>
      </c>
      <c r="P25" s="462">
        <f>COUNTIFS(견적기준!$P$6:$P$198,"&gt;0",견적기준!$H$6:$H$198,견적기준통합!$L25)</f>
        <v>15</v>
      </c>
      <c r="Q25" s="462">
        <f>COUNTIFS(견적기준!$Q$6:$Q$198,"&gt;0",견적기준!$H$6:$H$198,견적기준통합!$L25)</f>
        <v>15</v>
      </c>
      <c r="R25" s="462">
        <f>COUNTIFS(견적기준!$R$6:$R$198,"&gt;0",견적기준!$H$6:$H$198,견적기준통합!$L25)</f>
        <v>14</v>
      </c>
      <c r="S25" s="462">
        <f>COUNTIFS(견적기준!$S$6:$S$198,"&gt;0",견적기준!$H$6:$H$198,견적기준통합!$L25)</f>
        <v>14</v>
      </c>
      <c r="T25" s="462">
        <f>COUNTIFS(견적기준!$T$6:$T$198,"&gt;0",견적기준!$H$6:$H$198,견적기준통합!$L25)</f>
        <v>14</v>
      </c>
      <c r="U25" s="462">
        <f>COUNTIFS(견적기준!$U$6:$U$198,"&gt;0",견적기준!$H$6:$H$198,견적기준통합!$L25)</f>
        <v>14</v>
      </c>
      <c r="V25" s="462">
        <f>COUNTIFS(견적기준!$V$6:$V$198,"&gt;0",견적기준!$H$6:$H$198,견적기준통합!$L25)</f>
        <v>12</v>
      </c>
      <c r="W25" s="462">
        <f>COUNTIFS(견적기준!$W$6:$W$198,"&gt;0",견적기준!$H$6:$H$198,견적기준통합!$L25)</f>
        <v>11</v>
      </c>
      <c r="X25" s="462">
        <f>COUNTIFS(견적기준!$X$6:$X$198,"&gt;0",견적기준!$H$6:$H$198,견적기준통합!$L25)</f>
        <v>10</v>
      </c>
      <c r="Y25" s="462">
        <f>COUNTIFS(견적기준!$Y$6:$Y$198,"&gt;0",견적기준!$H$6:$H$198,견적기준통합!$L25)</f>
        <v>9</v>
      </c>
      <c r="Z25" s="462">
        <f>COUNTIFS(견적기준!$Z$6:$Z$198,"&gt;0",견적기준!$H$6:$H$198,견적기준통합!$L25)</f>
        <v>7</v>
      </c>
      <c r="AA25" s="462">
        <f>COUNTIFS(견적기준!$AA$6:$AA$198,"&gt;0",견적기준!$H$6:$H$198,견적기준통합!$L25)</f>
        <v>4</v>
      </c>
      <c r="AB25" s="471">
        <f t="shared" si="5"/>
        <v>177</v>
      </c>
    </row>
    <row r="26" spans="2:28">
      <c r="L26" s="474" t="s">
        <v>57</v>
      </c>
      <c r="M26" s="462">
        <f>COUNTIFS(견적기준!$M$6:$M$198,"&gt;0",견적기준!$H$6:$H$198,견적기준통합!$L26)</f>
        <v>16</v>
      </c>
      <c r="N26" s="462">
        <f>COUNTIFS(견적기준!$N$6:$N$198,"&gt;0",견적기준!$H$6:$H$198,견적기준통합!$L26)</f>
        <v>16</v>
      </c>
      <c r="O26" s="462">
        <f>COUNTIFS(견적기준!$O$6:$O$198,"&gt;0",견적기준!$H$6:$H$198,견적기준통합!$L26)</f>
        <v>16</v>
      </c>
      <c r="P26" s="462">
        <f>COUNTIFS(견적기준!$P$6:$P$198,"&gt;0",견적기준!$H$6:$H$198,견적기준통합!$L26)</f>
        <v>17</v>
      </c>
      <c r="Q26" s="462">
        <f>COUNTIFS(견적기준!$Q$6:$Q$198,"&gt;0",견적기준!$H$6:$H$198,견적기준통합!$L26)</f>
        <v>42</v>
      </c>
      <c r="R26" s="462">
        <f>COUNTIFS(견적기준!$R$6:$R$198,"&gt;0",견적기준!$H$6:$H$198,견적기준통합!$L26)</f>
        <v>42</v>
      </c>
      <c r="S26" s="462">
        <f>COUNTIFS(견적기준!$S$6:$S$198,"&gt;0",견적기준!$H$6:$H$198,견적기준통합!$L26)</f>
        <v>45</v>
      </c>
      <c r="T26" s="462">
        <f>COUNTIFS(견적기준!$T$6:$T$198,"&gt;0",견적기준!$H$6:$H$198,견적기준통합!$L26)</f>
        <v>45</v>
      </c>
      <c r="U26" s="462">
        <f>COUNTIFS(견적기준!$U$6:$U$198,"&gt;0",견적기준!$H$6:$H$198,견적기준통합!$L26)</f>
        <v>45</v>
      </c>
      <c r="V26" s="462">
        <f>COUNTIFS(견적기준!$V$6:$V$198,"&gt;0",견적기준!$H$6:$H$198,견적기준통합!$L26)</f>
        <v>45</v>
      </c>
      <c r="W26" s="462">
        <f>COUNTIFS(견적기준!$W$6:$W$198,"&gt;0",견적기준!$H$6:$H$198,견적기준통합!$L26)</f>
        <v>45</v>
      </c>
      <c r="X26" s="462">
        <f>COUNTIFS(견적기준!$X$6:$X$198,"&gt;0",견적기준!$H$6:$H$198,견적기준통합!$L26)</f>
        <v>45</v>
      </c>
      <c r="Y26" s="462">
        <f>COUNTIFS(견적기준!$Y$6:$Y$198,"&gt;0",견적기준!$H$6:$H$198,견적기준통합!$L26)</f>
        <v>45</v>
      </c>
      <c r="Z26" s="462">
        <f>COUNTIFS(견적기준!$Z$6:$Z$198,"&gt;0",견적기준!$H$6:$H$198,견적기준통합!$L26)</f>
        <v>45</v>
      </c>
      <c r="AA26" s="462">
        <f>COUNTIFS(견적기준!$AA$6:$AA$198,"&gt;0",견적기준!$H$6:$H$198,견적기준통합!$L26)</f>
        <v>26</v>
      </c>
      <c r="AB26" s="471">
        <f t="shared" si="5"/>
        <v>535</v>
      </c>
    </row>
    <row r="27" spans="2:28">
      <c r="L27" s="474" t="s">
        <v>348</v>
      </c>
      <c r="M27" s="462">
        <f>COUNTIFS(견적기준!$M$6:$M$198,"&gt;0",견적기준!$H$6:$H$198,견적기준통합!$L27)</f>
        <v>2</v>
      </c>
      <c r="N27" s="462">
        <f>COUNTIFS(견적기준!$N$6:$N$198,"&gt;0",견적기준!$H$6:$H$198,견적기준통합!$L27)</f>
        <v>2</v>
      </c>
      <c r="O27" s="462">
        <f>COUNTIFS(견적기준!$O$6:$O$198,"&gt;0",견적기준!$H$6:$H$198,견적기준통합!$L27)</f>
        <v>1</v>
      </c>
      <c r="P27" s="462">
        <f>COUNTIFS(견적기준!$P$6:$P$198,"&gt;0",견적기준!$H$6:$H$198,견적기준통합!$L27)</f>
        <v>1</v>
      </c>
      <c r="Q27" s="462">
        <f>COUNTIFS(견적기준!$Q$6:$Q$198,"&gt;0",견적기준!$H$6:$H$198,견적기준통합!$L27)</f>
        <v>7</v>
      </c>
      <c r="R27" s="462">
        <f>COUNTIFS(견적기준!$R$6:$R$198,"&gt;0",견적기준!$H$6:$H$198,견적기준통합!$L27)</f>
        <v>5</v>
      </c>
      <c r="S27" s="462">
        <f>COUNTIFS(견적기준!$S$6:$S$198,"&gt;0",견적기준!$H$6:$H$198,견적기준통합!$L27)</f>
        <v>5</v>
      </c>
      <c r="T27" s="462">
        <f>COUNTIFS(견적기준!$T$6:$T$198,"&gt;0",견적기준!$H$6:$H$198,견적기준통합!$L27)</f>
        <v>5</v>
      </c>
      <c r="U27" s="462">
        <f>COUNTIFS(견적기준!$U$6:$U$198,"&gt;0",견적기준!$H$6:$H$198,견적기준통합!$L27)</f>
        <v>5</v>
      </c>
      <c r="V27" s="462">
        <f>COUNTIFS(견적기준!$V$6:$V$198,"&gt;0",견적기준!$H$6:$H$198,견적기준통합!$L27)</f>
        <v>5</v>
      </c>
      <c r="W27" s="462">
        <f>COUNTIFS(견적기준!$W$6:$W$198,"&gt;0",견적기준!$H$6:$H$198,견적기준통합!$L27)</f>
        <v>6</v>
      </c>
      <c r="X27" s="462">
        <f>COUNTIFS(견적기준!$X$6:$X$198,"&gt;0",견적기준!$H$6:$H$198,견적기준통합!$L27)</f>
        <v>5</v>
      </c>
      <c r="Y27" s="462">
        <f>COUNTIFS(견적기준!$Y$6:$Y$198,"&gt;0",견적기준!$H$6:$H$198,견적기준통합!$L27)</f>
        <v>5</v>
      </c>
      <c r="Z27" s="462">
        <f>COUNTIFS(견적기준!$Z$6:$Z$198,"&gt;0",견적기준!$H$6:$H$198,견적기준통합!$L27)</f>
        <v>1</v>
      </c>
      <c r="AA27" s="462">
        <f>COUNTIFS(견적기준!$AA$6:$AA$198,"&gt;0",견적기준!$H$6:$H$198,견적기준통합!$L27)</f>
        <v>1</v>
      </c>
      <c r="AB27" s="471">
        <f t="shared" si="5"/>
        <v>56</v>
      </c>
    </row>
    <row r="28" spans="2:28">
      <c r="L28" s="474" t="s">
        <v>58</v>
      </c>
      <c r="M28" s="462">
        <f>COUNTIFS(견적기준!$M$6:$M$198,"&gt;0",견적기준!$H$6:$H$198,견적기준통합!$L28)</f>
        <v>2</v>
      </c>
      <c r="N28" s="462">
        <f>COUNTIFS(견적기준!$N$6:$N$198,"&gt;0",견적기준!$H$6:$H$198,견적기준통합!$L28)</f>
        <v>3</v>
      </c>
      <c r="O28" s="462">
        <f>COUNTIFS(견적기준!$O$6:$O$198,"&gt;0",견적기준!$H$6:$H$198,견적기준통합!$L28)</f>
        <v>5</v>
      </c>
      <c r="P28" s="462">
        <f>COUNTIFS(견적기준!$P$6:$P$198,"&gt;0",견적기준!$H$6:$H$198,견적기준통합!$L28)</f>
        <v>6</v>
      </c>
      <c r="Q28" s="462">
        <f>COUNTIFS(견적기준!$Q$6:$Q$198,"&gt;0",견적기준!$H$6:$H$198,견적기준통합!$L28)</f>
        <v>8</v>
      </c>
      <c r="R28" s="462">
        <f>COUNTIFS(견적기준!$R$6:$R$198,"&gt;0",견적기준!$H$6:$H$198,견적기준통합!$L28)</f>
        <v>8</v>
      </c>
      <c r="S28" s="462">
        <f>COUNTIFS(견적기준!$S$6:$S$198,"&gt;0",견적기준!$H$6:$H$198,견적기준통합!$L28)</f>
        <v>8</v>
      </c>
      <c r="T28" s="462">
        <f>COUNTIFS(견적기준!$T$6:$T$198,"&gt;0",견적기준!$H$6:$H$198,견적기준통합!$L28)</f>
        <v>8</v>
      </c>
      <c r="U28" s="462">
        <f>COUNTIFS(견적기준!$U$6:$U$198,"&gt;0",견적기준!$H$6:$H$198,견적기준통합!$L28)</f>
        <v>8</v>
      </c>
      <c r="V28" s="462">
        <f>COUNTIFS(견적기준!$V$6:$V$198,"&gt;0",견적기준!$H$6:$H$198,견적기준통합!$L28)</f>
        <v>8</v>
      </c>
      <c r="W28" s="462">
        <f>COUNTIFS(견적기준!$W$6:$W$198,"&gt;0",견적기준!$H$6:$H$198,견적기준통합!$L28)</f>
        <v>8</v>
      </c>
      <c r="X28" s="462">
        <f>COUNTIFS(견적기준!$X$6:$X$198,"&gt;0",견적기준!$H$6:$H$198,견적기준통합!$L28)</f>
        <v>8</v>
      </c>
      <c r="Y28" s="462">
        <f>COUNTIFS(견적기준!$Y$6:$Y$198,"&gt;0",견적기준!$H$6:$H$198,견적기준통합!$L28)</f>
        <v>8</v>
      </c>
      <c r="Z28" s="462">
        <f>COUNTIFS(견적기준!$Z$6:$Z$198,"&gt;0",견적기준!$H$6:$H$198,견적기준통합!$L28)</f>
        <v>7</v>
      </c>
      <c r="AA28" s="462">
        <f>COUNTIFS(견적기준!$AA$6:$AA$198,"&gt;0",견적기준!$H$6:$H$198,견적기준통합!$L28)</f>
        <v>3</v>
      </c>
      <c r="AB28" s="471">
        <f t="shared" si="5"/>
        <v>98</v>
      </c>
    </row>
    <row r="29" spans="2:28">
      <c r="L29" s="474" t="s">
        <v>40</v>
      </c>
      <c r="M29" s="462">
        <f>COUNTIFS(견적기준!$M$6:$M$198,"&gt;0",견적기준!$H$6:$H$198,견적기준통합!$L29)</f>
        <v>6</v>
      </c>
      <c r="N29" s="462">
        <f>COUNTIFS(견적기준!$N$6:$N$198,"&gt;0",견적기준!$H$6:$H$198,견적기준통합!$L29)</f>
        <v>12</v>
      </c>
      <c r="O29" s="462">
        <f>COUNTIFS(견적기준!$O$6:$O$198,"&gt;0",견적기준!$H$6:$H$198,견적기준통합!$L29)</f>
        <v>12</v>
      </c>
      <c r="P29" s="462">
        <f>COUNTIFS(견적기준!$P$6:$P$198,"&gt;0",견적기준!$H$6:$H$198,견적기준통합!$L29)</f>
        <v>15</v>
      </c>
      <c r="Q29" s="462">
        <f>COUNTIFS(견적기준!$Q$6:$Q$198,"&gt;0",견적기준!$H$6:$H$198,견적기준통합!$L29)</f>
        <v>22</v>
      </c>
      <c r="R29" s="462">
        <f>COUNTIFS(견적기준!$R$6:$R$198,"&gt;0",견적기준!$H$6:$H$198,견적기준통합!$L29)</f>
        <v>19</v>
      </c>
      <c r="S29" s="462">
        <f>COUNTIFS(견적기준!$S$6:$S$198,"&gt;0",견적기준!$H$6:$H$198,견적기준통합!$L29)</f>
        <v>17</v>
      </c>
      <c r="T29" s="462">
        <f>COUNTIFS(견적기준!$T$6:$T$198,"&gt;0",견적기준!$H$6:$H$198,견적기준통합!$L29)</f>
        <v>17</v>
      </c>
      <c r="U29" s="462">
        <f>COUNTIFS(견적기준!$U$6:$U$198,"&gt;0",견적기준!$H$6:$H$198,견적기준통합!$L29)</f>
        <v>17</v>
      </c>
      <c r="V29" s="462">
        <f>COUNTIFS(견적기준!$V$6:$V$198,"&gt;0",견적기준!$H$6:$H$198,견적기준통합!$L29)</f>
        <v>17</v>
      </c>
      <c r="W29" s="462">
        <f>COUNTIFS(견적기준!$W$6:$W$198,"&gt;0",견적기준!$H$6:$H$198,견적기준통합!$L29)</f>
        <v>16</v>
      </c>
      <c r="X29" s="462">
        <f>COUNTIFS(견적기준!$X$6:$X$198,"&gt;0",견적기준!$H$6:$H$198,견적기준통합!$L29)</f>
        <v>16</v>
      </c>
      <c r="Y29" s="462">
        <f>COUNTIFS(견적기준!$Y$6:$Y$198,"&gt;0",견적기준!$H$6:$H$198,견적기준통합!$L29)</f>
        <v>15</v>
      </c>
      <c r="Z29" s="462">
        <f>COUNTIFS(견적기준!$Z$6:$Z$198,"&gt;0",견적기준!$H$6:$H$198,견적기준통합!$L29)</f>
        <v>13</v>
      </c>
      <c r="AA29" s="462">
        <f>COUNTIFS(견적기준!$AA$6:$AA$198,"&gt;0",견적기준!$H$6:$H$198,견적기준통합!$L29)</f>
        <v>7</v>
      </c>
      <c r="AB29" s="471">
        <f t="shared" si="5"/>
        <v>221</v>
      </c>
    </row>
    <row r="30" spans="2:28">
      <c r="L30" s="474" t="s">
        <v>59</v>
      </c>
      <c r="M30" s="462">
        <f>COUNTIFS(견적기준!$M$6:$M$198,"&gt;0",견적기준!$H$6:$H$198,견적기준통합!$L30)</f>
        <v>4</v>
      </c>
      <c r="N30" s="462">
        <f>COUNTIFS(견적기준!$N$6:$N$198,"&gt;0",견적기준!$H$6:$H$198,견적기준통합!$L30)</f>
        <v>7</v>
      </c>
      <c r="O30" s="462">
        <f>COUNTIFS(견적기준!$O$6:$O$198,"&gt;0",견적기준!$H$6:$H$198,견적기준통합!$L30)</f>
        <v>7</v>
      </c>
      <c r="P30" s="462">
        <f>COUNTIFS(견적기준!$P$6:$P$198,"&gt;0",견적기준!$H$6:$H$198,견적기준통합!$L30)</f>
        <v>7</v>
      </c>
      <c r="Q30" s="462">
        <f>COUNTIFS(견적기준!$Q$6:$Q$198,"&gt;0",견적기준!$H$6:$H$198,견적기준통합!$L30)</f>
        <v>9</v>
      </c>
      <c r="R30" s="462">
        <f>COUNTIFS(견적기준!$R$6:$R$198,"&gt;0",견적기준!$H$6:$H$198,견적기준통합!$L30)</f>
        <v>9</v>
      </c>
      <c r="S30" s="462">
        <f>COUNTIFS(견적기준!$S$6:$S$198,"&gt;0",견적기준!$H$6:$H$198,견적기준통합!$L30)</f>
        <v>9</v>
      </c>
      <c r="T30" s="462">
        <f>COUNTIFS(견적기준!$T$6:$T$198,"&gt;0",견적기준!$H$6:$H$198,견적기준통합!$L30)</f>
        <v>9</v>
      </c>
      <c r="U30" s="462">
        <f>COUNTIFS(견적기준!$U$6:$U$198,"&gt;0",견적기준!$H$6:$H$198,견적기준통합!$L30)</f>
        <v>9</v>
      </c>
      <c r="V30" s="462">
        <f>COUNTIFS(견적기준!$V$6:$V$198,"&gt;0",견적기준!$H$6:$H$198,견적기준통합!$L30)</f>
        <v>9</v>
      </c>
      <c r="W30" s="462">
        <f>COUNTIFS(견적기준!$W$6:$W$198,"&gt;0",견적기준!$H$6:$H$198,견적기준통합!$L30)</f>
        <v>8</v>
      </c>
      <c r="X30" s="462">
        <f>COUNTIFS(견적기준!$X$6:$X$198,"&gt;0",견적기준!$H$6:$H$198,견적기준통합!$L30)</f>
        <v>8</v>
      </c>
      <c r="Y30" s="462">
        <f>COUNTIFS(견적기준!$Y$6:$Y$198,"&gt;0",견적기준!$H$6:$H$198,견적기준통합!$L30)</f>
        <v>6</v>
      </c>
      <c r="Z30" s="462">
        <f>COUNTIFS(견적기준!$Z$6:$Z$198,"&gt;0",견적기준!$H$6:$H$198,견적기준통합!$L30)</f>
        <v>4</v>
      </c>
      <c r="AA30" s="462">
        <f>COUNTIFS(견적기준!$AA$6:$AA$198,"&gt;0",견적기준!$H$6:$H$198,견적기준통합!$L30)</f>
        <v>4</v>
      </c>
      <c r="AB30" s="471">
        <f t="shared" si="5"/>
        <v>109</v>
      </c>
    </row>
    <row r="31" spans="2:28">
      <c r="L31" s="475" t="s">
        <v>60</v>
      </c>
      <c r="M31" s="462">
        <f>COUNTIFS(견적기준!$M$6:$M$198,"&gt;0",견적기준!$H$6:$H$198,견적기준통합!$L31)</f>
        <v>0</v>
      </c>
      <c r="N31" s="462">
        <f>COUNTIFS(견적기준!$N$6:$N$198,"&gt;0",견적기준!$H$6:$H$198,견적기준통합!$L31)</f>
        <v>0</v>
      </c>
      <c r="O31" s="462">
        <f>COUNTIFS(견적기준!$O$6:$O$198,"&gt;0",견적기준!$H$6:$H$198,견적기준통합!$L31)</f>
        <v>0</v>
      </c>
      <c r="P31" s="462">
        <f>COUNTIFS(견적기준!$P$6:$P$198,"&gt;0",견적기준!$H$6:$H$198,견적기준통합!$L31)</f>
        <v>0</v>
      </c>
      <c r="Q31" s="462">
        <f>COUNTIFS(견적기준!$Q$6:$Q$198,"&gt;0",견적기준!$H$6:$H$198,견적기준통합!$L31)</f>
        <v>0</v>
      </c>
      <c r="R31" s="462">
        <f>COUNTIFS(견적기준!$R$6:$R$198,"&gt;0",견적기준!$H$6:$H$198,견적기준통합!$L31)</f>
        <v>0</v>
      </c>
      <c r="S31" s="462">
        <f>COUNTIFS(견적기준!$S$6:$S$198,"&gt;0",견적기준!$H$6:$H$198,견적기준통합!$L31)</f>
        <v>5</v>
      </c>
      <c r="T31" s="462">
        <f>COUNTIFS(견적기준!$T$6:$T$198,"&gt;0",견적기준!$H$6:$H$198,견적기준통합!$L31)</f>
        <v>8</v>
      </c>
      <c r="U31" s="462">
        <f>COUNTIFS(견적기준!$U$6:$U$198,"&gt;0",견적기준!$H$6:$H$198,견적기준통합!$L31)</f>
        <v>9</v>
      </c>
      <c r="V31" s="462">
        <f>COUNTIFS(견적기준!$V$6:$V$198,"&gt;0",견적기준!$H$6:$H$198,견적기준통합!$L31)</f>
        <v>10</v>
      </c>
      <c r="W31" s="462">
        <f>COUNTIFS(견적기준!$W$6:$W$198,"&gt;0",견적기준!$H$6:$H$198,견적기준통합!$L31)</f>
        <v>12</v>
      </c>
      <c r="X31" s="462">
        <f>COUNTIFS(견적기준!$X$6:$X$198,"&gt;0",견적기준!$H$6:$H$198,견적기준통합!$L31)</f>
        <v>12</v>
      </c>
      <c r="Y31" s="462">
        <f>COUNTIFS(견적기준!$Y$6:$Y$198,"&gt;0",견적기준!$H$6:$H$198,견적기준통합!$L31)</f>
        <v>12</v>
      </c>
      <c r="Z31" s="462">
        <f>COUNTIFS(견적기준!$Z$6:$Z$198,"&gt;0",견적기준!$H$6:$H$198,견적기준통합!$L31)</f>
        <v>12</v>
      </c>
      <c r="AA31" s="462">
        <f>COUNTIFS(견적기준!$AA$6:$AA$198,"&gt;0",견적기준!$H$6:$H$198,견적기준통합!$L31)</f>
        <v>0</v>
      </c>
      <c r="AB31" s="471">
        <f t="shared" si="5"/>
        <v>80</v>
      </c>
    </row>
    <row r="32" spans="2:28">
      <c r="L32" s="472" t="s">
        <v>41</v>
      </c>
      <c r="M32" s="462">
        <f>COUNTIFS(견적기준!$M$6:$M$198,"&gt;0",견적기준!$H$6:$H$198,견적기준통합!$L32)</f>
        <v>0</v>
      </c>
      <c r="N32" s="462">
        <f>COUNTIFS(견적기준!$N$6:$N$198,"&gt;0",견적기준!$H$6:$H$198,견적기준통합!$L32)</f>
        <v>0</v>
      </c>
      <c r="O32" s="462">
        <f>COUNTIFS(견적기준!$O$6:$O$198,"&gt;0",견적기준!$H$6:$H$198,견적기준통합!$L32)</f>
        <v>0</v>
      </c>
      <c r="P32" s="462">
        <f>COUNTIFS(견적기준!$P$6:$P$198,"&gt;0",견적기준!$H$6:$H$198,견적기준통합!$L32)</f>
        <v>1</v>
      </c>
      <c r="Q32" s="462">
        <f>COUNTIFS(견적기준!$Q$6:$Q$198,"&gt;0",견적기준!$H$6:$H$198,견적기준통합!$L32)</f>
        <v>1</v>
      </c>
      <c r="R32" s="462">
        <f>COUNTIFS(견적기준!$R$6:$R$198,"&gt;0",견적기준!$H$6:$H$198,견적기준통합!$L32)</f>
        <v>1</v>
      </c>
      <c r="S32" s="462">
        <f>COUNTIFS(견적기준!$S$6:$S$198,"&gt;0",견적기준!$H$6:$H$198,견적기준통합!$L32)</f>
        <v>1</v>
      </c>
      <c r="T32" s="462">
        <f>COUNTIFS(견적기준!$T$6:$T$198,"&gt;0",견적기준!$H$6:$H$198,견적기준통합!$L32)</f>
        <v>1</v>
      </c>
      <c r="U32" s="462">
        <f>COUNTIFS(견적기준!$U$6:$U$198,"&gt;0",견적기준!$H$6:$H$198,견적기준통합!$L32)</f>
        <v>1</v>
      </c>
      <c r="V32" s="462">
        <f>COUNTIFS(견적기준!$V$6:$V$198,"&gt;0",견적기준!$H$6:$H$198,견적기준통합!$L32)</f>
        <v>1</v>
      </c>
      <c r="W32" s="462">
        <f>COUNTIFS(견적기준!$W$6:$W$198,"&gt;0",견적기준!$H$6:$H$198,견적기준통합!$L32)</f>
        <v>0</v>
      </c>
      <c r="X32" s="462">
        <f>COUNTIFS(견적기준!$X$6:$X$198,"&gt;0",견적기준!$H$6:$H$198,견적기준통합!$L32)</f>
        <v>0</v>
      </c>
      <c r="Y32" s="462">
        <f>COUNTIFS(견적기준!$Y$6:$Y$198,"&gt;0",견적기준!$H$6:$H$198,견적기준통합!$L32)</f>
        <v>0</v>
      </c>
      <c r="Z32" s="462">
        <f>COUNTIFS(견적기준!$Z$6:$Z$198,"&gt;0",견적기준!$H$6:$H$198,견적기준통합!$L32)</f>
        <v>0</v>
      </c>
      <c r="AA32" s="462">
        <f>COUNTIFS(견적기준!$AA$6:$AA$198,"&gt;0",견적기준!$H$6:$H$198,견적기준통합!$L32)</f>
        <v>0</v>
      </c>
      <c r="AB32" s="471">
        <f t="shared" si="5"/>
        <v>7</v>
      </c>
    </row>
    <row r="33" spans="12:28">
      <c r="L33" s="474" t="s">
        <v>61</v>
      </c>
      <c r="M33" s="462">
        <f>COUNTIFS(견적기준!$M$6:$M$198,"&gt;0",견적기준!$H$6:$H$198,견적기준통합!$L33)</f>
        <v>0</v>
      </c>
      <c r="N33" s="462">
        <f>COUNTIFS(견적기준!$N$6:$N$198,"&gt;0",견적기준!$H$6:$H$198,견적기준통합!$L33)</f>
        <v>4</v>
      </c>
      <c r="O33" s="462">
        <f>COUNTIFS(견적기준!$O$6:$O$198,"&gt;0",견적기준!$H$6:$H$198,견적기준통합!$L33)</f>
        <v>4</v>
      </c>
      <c r="P33" s="462">
        <f>COUNTIFS(견적기준!$P$6:$P$198,"&gt;0",견적기준!$H$6:$H$198,견적기준통합!$L33)</f>
        <v>4</v>
      </c>
      <c r="Q33" s="462">
        <f>COUNTIFS(견적기준!$Q$6:$Q$198,"&gt;0",견적기준!$H$6:$H$198,견적기준통합!$L33)</f>
        <v>9</v>
      </c>
      <c r="R33" s="462">
        <f>COUNTIFS(견적기준!$R$6:$R$198,"&gt;0",견적기준!$H$6:$H$198,견적기준통합!$L33)</f>
        <v>9</v>
      </c>
      <c r="S33" s="462">
        <f>COUNTIFS(견적기준!$S$6:$S$198,"&gt;0",견적기준!$H$6:$H$198,견적기준통합!$L33)</f>
        <v>9</v>
      </c>
      <c r="T33" s="462">
        <f>COUNTIFS(견적기준!$T$6:$T$198,"&gt;0",견적기준!$H$6:$H$198,견적기준통합!$L33)</f>
        <v>9</v>
      </c>
      <c r="U33" s="462">
        <f>COUNTIFS(견적기준!$U$6:$U$198,"&gt;0",견적기준!$H$6:$H$198,견적기준통합!$L33)</f>
        <v>9</v>
      </c>
      <c r="V33" s="462">
        <f>COUNTIFS(견적기준!$V$6:$V$198,"&gt;0",견적기준!$H$6:$H$198,견적기준통합!$L33)</f>
        <v>9</v>
      </c>
      <c r="W33" s="462">
        <f>COUNTIFS(견적기준!$W$6:$W$198,"&gt;0",견적기준!$H$6:$H$198,견적기준통합!$L33)</f>
        <v>9</v>
      </c>
      <c r="X33" s="462">
        <f>COUNTIFS(견적기준!$X$6:$X$198,"&gt;0",견적기준!$H$6:$H$198,견적기준통합!$L33)</f>
        <v>7</v>
      </c>
      <c r="Y33" s="462">
        <f>COUNTIFS(견적기준!$Y$6:$Y$198,"&gt;0",견적기준!$H$6:$H$198,견적기준통합!$L33)</f>
        <v>7</v>
      </c>
      <c r="Z33" s="462">
        <f>COUNTIFS(견적기준!$Z$6:$Z$198,"&gt;0",견적기준!$H$6:$H$198,견적기준통합!$L33)</f>
        <v>7</v>
      </c>
      <c r="AA33" s="462">
        <f>COUNTIFS(견적기준!$AA$6:$AA$198,"&gt;0",견적기준!$H$6:$H$198,견적기준통합!$L33)</f>
        <v>0</v>
      </c>
      <c r="AB33" s="471">
        <f t="shared" si="5"/>
        <v>96</v>
      </c>
    </row>
    <row r="34" spans="12:28">
      <c r="L34" s="470" t="s">
        <v>159</v>
      </c>
      <c r="M34" s="471">
        <f>SUM(M21:M33)</f>
        <v>59</v>
      </c>
      <c r="N34" s="471">
        <f t="shared" ref="N34:AB34" si="6">SUM(N21:N33)</f>
        <v>77</v>
      </c>
      <c r="O34" s="471">
        <f t="shared" si="6"/>
        <v>87</v>
      </c>
      <c r="P34" s="471">
        <f t="shared" si="6"/>
        <v>96</v>
      </c>
      <c r="Q34" s="471">
        <f t="shared" si="6"/>
        <v>147</v>
      </c>
      <c r="R34" s="471">
        <f t="shared" si="6"/>
        <v>143</v>
      </c>
      <c r="S34" s="471">
        <f t="shared" si="6"/>
        <v>147</v>
      </c>
      <c r="T34" s="471">
        <f t="shared" si="6"/>
        <v>151</v>
      </c>
      <c r="U34" s="471">
        <f t="shared" si="6"/>
        <v>154</v>
      </c>
      <c r="V34" s="471">
        <f t="shared" si="6"/>
        <v>156</v>
      </c>
      <c r="W34" s="471">
        <f t="shared" si="6"/>
        <v>153</v>
      </c>
      <c r="X34" s="471">
        <f t="shared" si="6"/>
        <v>149</v>
      </c>
      <c r="Y34" s="471">
        <f t="shared" si="6"/>
        <v>139</v>
      </c>
      <c r="Z34" s="471">
        <f t="shared" si="6"/>
        <v>121</v>
      </c>
      <c r="AA34" s="471">
        <f t="shared" si="6"/>
        <v>55</v>
      </c>
      <c r="AB34" s="471">
        <f t="shared" si="6"/>
        <v>1834</v>
      </c>
    </row>
  </sheetData>
  <mergeCells count="2">
    <mergeCell ref="B2:I2"/>
    <mergeCell ref="B17:C17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B1:AX75"/>
  <sheetViews>
    <sheetView showGridLines="0" topLeftCell="P1" zoomScale="85" zoomScaleNormal="85" workbookViewId="0">
      <selection activeCell="AU25" sqref="AU25"/>
    </sheetView>
  </sheetViews>
  <sheetFormatPr baseColWidth="10" defaultColWidth="8.83203125" defaultRowHeight="17"/>
  <cols>
    <col min="1" max="1" width="1.6640625" customWidth="1"/>
    <col min="2" max="2" width="8.83203125" bestFit="1" customWidth="1"/>
    <col min="3" max="3" width="19.1640625" bestFit="1" customWidth="1"/>
    <col min="4" max="8" width="8.83203125" bestFit="1" customWidth="1"/>
    <col min="9" max="9" width="8" customWidth="1"/>
    <col min="10" max="11" width="3.1640625" customWidth="1"/>
    <col min="12" max="12" width="13" customWidth="1"/>
    <col min="13" max="17" width="9" customWidth="1"/>
    <col min="18" max="18" width="6.6640625" customWidth="1"/>
    <col min="19" max="19" width="7.6640625" customWidth="1"/>
    <col min="20" max="20" width="7.5" customWidth="1"/>
    <col min="21" max="21" width="7.1640625" customWidth="1"/>
    <col min="22" max="22" width="5.6640625" customWidth="1"/>
    <col min="23" max="23" width="7.1640625" customWidth="1"/>
    <col min="24" max="24" width="5.6640625" customWidth="1"/>
    <col min="25" max="25" width="7.1640625" customWidth="1"/>
    <col min="26" max="26" width="5.6640625" customWidth="1"/>
    <col min="27" max="27" width="7.1640625" customWidth="1"/>
    <col min="28" max="28" width="5.6640625" customWidth="1"/>
    <col min="29" max="29" width="7.1640625" customWidth="1"/>
    <col min="30" max="30" width="5.6640625" customWidth="1"/>
    <col min="31" max="31" width="7.6640625" customWidth="1"/>
    <col min="32" max="32" width="5.6640625" customWidth="1"/>
    <col min="33" max="33" width="7.1640625" customWidth="1"/>
    <col min="34" max="34" width="5.6640625" customWidth="1"/>
    <col min="35" max="42" width="8.6640625" customWidth="1"/>
    <col min="43" max="43" width="12.83203125" customWidth="1"/>
    <col min="45" max="45" width="12.5" customWidth="1"/>
    <col min="49" max="49" width="8.5" customWidth="1"/>
  </cols>
  <sheetData>
    <row r="1" spans="2:50" ht="20">
      <c r="M1" s="494" t="s">
        <v>533</v>
      </c>
      <c r="N1" s="704">
        <v>1</v>
      </c>
      <c r="P1" s="704">
        <f>인력관리!N1</f>
        <v>1</v>
      </c>
      <c r="Q1" s="704"/>
      <c r="R1" s="704">
        <v>1</v>
      </c>
      <c r="T1">
        <v>1</v>
      </c>
      <c r="V1">
        <v>0.2</v>
      </c>
      <c r="AQ1" s="656"/>
    </row>
    <row r="2" spans="2:50" ht="18">
      <c r="L2" s="718" t="s">
        <v>530</v>
      </c>
      <c r="M2" s="662" t="s">
        <v>513</v>
      </c>
      <c r="N2" s="662"/>
      <c r="O2" s="662" t="s">
        <v>514</v>
      </c>
      <c r="P2" s="662"/>
      <c r="Q2" s="662" t="s">
        <v>515</v>
      </c>
      <c r="R2" s="662"/>
      <c r="S2" s="662" t="s">
        <v>516</v>
      </c>
      <c r="T2" s="662"/>
      <c r="U2" s="662" t="s">
        <v>517</v>
      </c>
      <c r="V2" s="662"/>
      <c r="W2" s="662" t="s">
        <v>518</v>
      </c>
      <c r="X2" s="662"/>
      <c r="Y2" s="662" t="s">
        <v>519</v>
      </c>
      <c r="Z2" s="662"/>
      <c r="AA2" s="662" t="s">
        <v>520</v>
      </c>
      <c r="AB2" s="662"/>
      <c r="AC2" s="662" t="s">
        <v>521</v>
      </c>
      <c r="AD2" s="662"/>
      <c r="AE2" s="662" t="s">
        <v>522</v>
      </c>
      <c r="AF2" s="662"/>
      <c r="AG2" s="662" t="s">
        <v>523</v>
      </c>
      <c r="AH2" s="662"/>
      <c r="AI2" s="662" t="s">
        <v>524</v>
      </c>
      <c r="AJ2" s="662"/>
      <c r="AK2" s="662" t="s">
        <v>525</v>
      </c>
      <c r="AL2" s="662"/>
      <c r="AM2" s="662" t="s">
        <v>526</v>
      </c>
      <c r="AN2" s="662"/>
      <c r="AO2" s="662" t="s">
        <v>527</v>
      </c>
      <c r="AP2" s="662"/>
    </row>
    <row r="3" spans="2:50" ht="30.5" customHeight="1">
      <c r="B3" s="1791" t="s">
        <v>512</v>
      </c>
      <c r="C3" s="1791"/>
      <c r="D3" s="1791"/>
      <c r="E3" s="1791"/>
      <c r="F3" s="1791"/>
      <c r="G3" s="1791"/>
      <c r="H3" s="1791"/>
      <c r="I3" s="1791"/>
      <c r="L3" s="1794" t="s">
        <v>69</v>
      </c>
      <c r="M3" s="1794" t="s">
        <v>31</v>
      </c>
      <c r="N3" s="1794"/>
      <c r="O3" s="1794" t="s">
        <v>32</v>
      </c>
      <c r="P3" s="1794"/>
      <c r="Q3" s="1794" t="s">
        <v>47</v>
      </c>
      <c r="R3" s="1794"/>
      <c r="S3" s="1794" t="s">
        <v>48</v>
      </c>
      <c r="T3" s="1794"/>
      <c r="U3" s="1794" t="s">
        <v>49</v>
      </c>
      <c r="V3" s="1794"/>
      <c r="W3" s="1794" t="s">
        <v>50</v>
      </c>
      <c r="X3" s="1794"/>
      <c r="Y3" s="1794" t="s">
        <v>51</v>
      </c>
      <c r="Z3" s="1794"/>
      <c r="AA3" s="1794" t="s">
        <v>52</v>
      </c>
      <c r="AB3" s="1794"/>
      <c r="AC3" s="1794" t="s">
        <v>53</v>
      </c>
      <c r="AD3" s="1794"/>
      <c r="AE3" s="1794" t="s">
        <v>54</v>
      </c>
      <c r="AF3" s="1794"/>
      <c r="AG3" s="1794" t="s">
        <v>409</v>
      </c>
      <c r="AH3" s="1794"/>
      <c r="AI3" s="1794" t="s">
        <v>410</v>
      </c>
      <c r="AJ3" s="1794"/>
      <c r="AK3" s="1794" t="s">
        <v>411</v>
      </c>
      <c r="AL3" s="1794"/>
      <c r="AM3" s="1794" t="s">
        <v>46</v>
      </c>
      <c r="AN3" s="1794"/>
      <c r="AO3" s="1794" t="s">
        <v>47</v>
      </c>
      <c r="AP3" s="1794"/>
      <c r="AQ3" s="1794" t="s">
        <v>159</v>
      </c>
      <c r="AR3" s="1794" t="s">
        <v>503</v>
      </c>
      <c r="AS3" s="1794" t="s">
        <v>478</v>
      </c>
    </row>
    <row r="4" spans="2:50" s="140" customFormat="1" ht="18" customHeight="1">
      <c r="B4" s="97" t="s">
        <v>160</v>
      </c>
      <c r="C4" s="97" t="s">
        <v>69</v>
      </c>
      <c r="D4" s="97" t="s">
        <v>13</v>
      </c>
      <c r="E4" s="96" t="s">
        <v>19</v>
      </c>
      <c r="F4" s="97" t="s">
        <v>21</v>
      </c>
      <c r="G4" s="97" t="s">
        <v>22</v>
      </c>
      <c r="H4" s="97" t="s">
        <v>159</v>
      </c>
      <c r="I4" s="97" t="s">
        <v>164</v>
      </c>
      <c r="L4" s="1794"/>
      <c r="M4" s="661" t="s">
        <v>261</v>
      </c>
      <c r="N4" s="661" t="s">
        <v>503</v>
      </c>
      <c r="O4" s="661" t="s">
        <v>261</v>
      </c>
      <c r="P4" s="661" t="s">
        <v>503</v>
      </c>
      <c r="Q4" s="661" t="s">
        <v>261</v>
      </c>
      <c r="R4" s="661" t="s">
        <v>503</v>
      </c>
      <c r="S4" s="661" t="s">
        <v>261</v>
      </c>
      <c r="T4" s="661" t="s">
        <v>503</v>
      </c>
      <c r="U4" s="661" t="s">
        <v>261</v>
      </c>
      <c r="V4" s="661" t="s">
        <v>503</v>
      </c>
      <c r="W4" s="661" t="s">
        <v>261</v>
      </c>
      <c r="X4" s="661" t="s">
        <v>503</v>
      </c>
      <c r="Y4" s="661" t="s">
        <v>261</v>
      </c>
      <c r="Z4" s="661" t="s">
        <v>503</v>
      </c>
      <c r="AA4" s="661" t="s">
        <v>261</v>
      </c>
      <c r="AB4" s="661" t="s">
        <v>503</v>
      </c>
      <c r="AC4" s="661" t="s">
        <v>261</v>
      </c>
      <c r="AD4" s="661" t="s">
        <v>503</v>
      </c>
      <c r="AE4" s="661" t="s">
        <v>261</v>
      </c>
      <c r="AF4" s="661" t="s">
        <v>503</v>
      </c>
      <c r="AG4" s="661" t="s">
        <v>261</v>
      </c>
      <c r="AH4" s="661" t="s">
        <v>503</v>
      </c>
      <c r="AI4" s="661" t="s">
        <v>261</v>
      </c>
      <c r="AJ4" s="661" t="s">
        <v>503</v>
      </c>
      <c r="AK4" s="661" t="s">
        <v>261</v>
      </c>
      <c r="AL4" s="661" t="s">
        <v>503</v>
      </c>
      <c r="AM4" s="661" t="s">
        <v>261</v>
      </c>
      <c r="AN4" s="661" t="s">
        <v>503</v>
      </c>
      <c r="AO4" s="661" t="s">
        <v>261</v>
      </c>
      <c r="AP4" s="661" t="s">
        <v>503</v>
      </c>
      <c r="AQ4" s="1794"/>
      <c r="AR4" s="1794"/>
      <c r="AS4" s="1794"/>
      <c r="AT4" s="416" t="s">
        <v>412</v>
      </c>
    </row>
    <row r="5" spans="2:50" s="140" customFormat="1" ht="20" customHeight="1">
      <c r="B5" s="78">
        <v>1</v>
      </c>
      <c r="C5" s="229" t="s">
        <v>17</v>
      </c>
      <c r="D5" s="149">
        <f>SUMIFS(인력관리!$AO$6:$AO$265,인력관리!$E$6:$E$265,$C5,인력관리!$D$6:$D$265,협력사등급별MM!$D$4)</f>
        <v>157.44999999999999</v>
      </c>
      <c r="E5" s="149">
        <f>SUMIFS(인력관리!$AO$6:$AO$265,인력관리!$E$6:$E$265,$C5,인력관리!$D$6:$D$265,협력사등급별MM!$E$4)</f>
        <v>71</v>
      </c>
      <c r="F5" s="149">
        <f>SUMIFS(인력관리!$AO$6:$AO$265,인력관리!$E$6:$E$265,$C5,인력관리!$D$6:$D$265,협력사등급별MM!$F$4)</f>
        <v>40</v>
      </c>
      <c r="G5" s="149">
        <f>SUMIFS(인력관리!$AO$6:$AO$265,인력관리!$E$6:$E$265,$C5,인력관리!$D$6:$D$265,협력사등급별MM!$G$4)</f>
        <v>51</v>
      </c>
      <c r="H5" s="230">
        <f>SUM(D5:G5)</f>
        <v>319.45</v>
      </c>
      <c r="I5" s="141">
        <f t="shared" ref="I5:I20" si="0">H5/$H$21</f>
        <v>0.18067417001300831</v>
      </c>
      <c r="L5" s="657" t="s">
        <v>17</v>
      </c>
      <c r="M5" s="658">
        <f>SUMIFS(INDEX(인력관리!$K:$AN, , COLUMNS($K:K)), 인력관리!$E:$E, $L5)</f>
        <v>13.75</v>
      </c>
      <c r="N5" s="658">
        <f>SUMIFS(INDEX(인력관리!$K:$AN, , COLUMNS($K:L)), 인력관리!$E:$E, $L5)</f>
        <v>17</v>
      </c>
      <c r="O5" s="659">
        <f>SUMIFS(INDEX(인력관리!$K:$AN, , COLUMNS($K:M)), 인력관리!$E:$E, $L5)</f>
        <v>16.5</v>
      </c>
      <c r="P5" s="659">
        <f>SUMIFS(INDEX(인력관리!$K:$AN, , COLUMNS($K:N)), 인력관리!$E:$E, $L5)</f>
        <v>18.5</v>
      </c>
      <c r="Q5" s="658">
        <f>SUMIFS(INDEX(인력관리!$K:$AN, , COLUMNS($K:O)), 인력관리!$E:$E, $L5)</f>
        <v>17.5</v>
      </c>
      <c r="R5" s="658">
        <f>SUMIFS(INDEX(인력관리!$K:$AN, , COLUMNS($K:P)), 인력관리!$E:$E, $L5)</f>
        <v>19.75</v>
      </c>
      <c r="S5" s="658">
        <f>SUMIFS(INDEX(인력관리!$K:$AN, , COLUMNS($K:Q)), 인력관리!$E:$E, $L5)</f>
        <v>16.7</v>
      </c>
      <c r="T5" s="658">
        <f>SUMIFS(INDEX(인력관리!$K:$AN, , COLUMNS($K:R)), 인력관리!$E:$E, $L5)</f>
        <v>20.29</v>
      </c>
      <c r="U5" s="658">
        <f>SUMIFS(INDEX(인력관리!$K:$AN, , COLUMNS($K:S)), 인력관리!$E:$E, $L5)</f>
        <v>18</v>
      </c>
      <c r="V5" s="658">
        <f>SUMIFS(INDEX(인력관리!$K:$AN, , COLUMNS($K:T)), 인력관리!$E:$E, $L5)</f>
        <v>15.599999999999994</v>
      </c>
      <c r="W5" s="658">
        <f>SUMIFS(INDEX(인력관리!$K:$AN, , COLUMNS($K:U)), 인력관리!$E:$E, $L5)</f>
        <v>23</v>
      </c>
      <c r="X5" s="658">
        <f>SUMIFS(INDEX(인력관리!$K:$AN, , COLUMNS($K:V)), 인력관리!$E:$E, $L5)</f>
        <v>0</v>
      </c>
      <c r="Y5" s="658">
        <f>SUMIFS(INDEX(인력관리!$K:$AN, , COLUMNS($K:W)), 인력관리!$E:$E, $L5)</f>
        <v>25.5</v>
      </c>
      <c r="Z5" s="658">
        <f>SUMIFS(INDEX(인력관리!$K:$AN, , COLUMNS($K:X)), 인력관리!$E:$E, $L5)</f>
        <v>0</v>
      </c>
      <c r="AA5" s="658">
        <f>SUMIFS(INDEX(인력관리!$K:$AN, , COLUMNS($K:Y)), 인력관리!$E:$E, $L5)</f>
        <v>24.5</v>
      </c>
      <c r="AB5" s="658">
        <f>SUMIFS(INDEX(인력관리!$K:$AN, , COLUMNS($K:Z)), 인력관리!$E:$E, $L5)</f>
        <v>0</v>
      </c>
      <c r="AC5" s="658">
        <f>SUMIFS(INDEX(인력관리!$K:$AN, , COLUMNS($K:AA)), 인력관리!$E:$E, $L5)</f>
        <v>26</v>
      </c>
      <c r="AD5" s="658">
        <f>SUMIFS(INDEX(인력관리!$K:$AN, , COLUMNS($K:AB)), 인력관리!$E:$E, $L5)</f>
        <v>0</v>
      </c>
      <c r="AE5" s="658">
        <f>SUMIFS(INDEX(인력관리!$K:$AN, , COLUMNS($K:AC)), 인력관리!$E:$E, $L5)</f>
        <v>30</v>
      </c>
      <c r="AF5" s="658">
        <f>SUMIFS(INDEX(인력관리!$K:$AN, , COLUMNS($K:AD)), 인력관리!$E:$E, $L5)</f>
        <v>0</v>
      </c>
      <c r="AG5" s="658">
        <f>SUMIFS(INDEX(인력관리!$K:$AN, , COLUMNS($K:AE)), 인력관리!$E:$E, $L5)</f>
        <v>29.5</v>
      </c>
      <c r="AH5" s="658">
        <f>SUMIFS(INDEX(인력관리!$K:$AN, , COLUMNS($K:AF)), 인력관리!$E:$E, $L5)</f>
        <v>0</v>
      </c>
      <c r="AI5" s="658">
        <f>SUMIFS(INDEX(인력관리!$K:$AN, , COLUMNS($K:AG)), 인력관리!$E:$E, $L5)</f>
        <v>27.5</v>
      </c>
      <c r="AJ5" s="658">
        <f>SUMIFS(INDEX(인력관리!$K:$AN, , COLUMNS($K:AH)), 인력관리!$E:$E, $L5)</f>
        <v>0</v>
      </c>
      <c r="AK5" s="658">
        <f>SUMIFS(INDEX(인력관리!$K:$AN, , COLUMNS($K:AI)), 인력관리!$E:$E, $L5)</f>
        <v>21.2</v>
      </c>
      <c r="AL5" s="658">
        <f>SUMIFS(INDEX(인력관리!$K:$AN, , COLUMNS($K:AJ)), 인력관리!$E:$E, $L5)</f>
        <v>0</v>
      </c>
      <c r="AM5" s="658">
        <f>SUMIFS(INDEX(인력관리!$K:$AN, , COLUMNS($K:AK)), 인력관리!$E:$E, $L5)</f>
        <v>18</v>
      </c>
      <c r="AN5" s="658">
        <f>SUMIFS(INDEX(인력관리!$K:$AN, , COLUMNS($K:AL)), 인력관리!$E:$E, $L5)</f>
        <v>0</v>
      </c>
      <c r="AO5" s="658">
        <f>SUMIFS(INDEX(인력관리!$K:$AN, , COLUMNS($K:AM)), 인력관리!$E:$E, $L5)</f>
        <v>11.8</v>
      </c>
      <c r="AP5" s="658">
        <f>SUMIFS(INDEX(인력관리!$K:$AN, , COLUMNS($K:AN)), 인력관리!$E:$E, $L5)</f>
        <v>0</v>
      </c>
      <c r="AQ5" s="1577">
        <f>M5+O5+Q5+S5+U5+W5+Y5+AA5+AC5+AE5+AG5+AI5+AK5+AM5+AO5</f>
        <v>319.45</v>
      </c>
      <c r="AR5" s="660">
        <f>N5+P5+R5+T5+V5+X5+Z5+AB5+AD5+AF5+AH5+AJ5+AL5+AN5+AP5</f>
        <v>91.139999999999986</v>
      </c>
      <c r="AS5" s="660">
        <f>AR5-AQ5</f>
        <v>-228.31</v>
      </c>
      <c r="AT5" s="414">
        <f>H5-AQ5</f>
        <v>0</v>
      </c>
      <c r="AU5" s="1577">
        <v>308.45</v>
      </c>
      <c r="AV5" s="1578">
        <v>317.10000000000002</v>
      </c>
      <c r="AW5" s="1452">
        <f>AU5-AV5</f>
        <v>-8.6500000000000341</v>
      </c>
    </row>
    <row r="6" spans="2:50" s="140" customFormat="1" ht="15">
      <c r="B6" s="78">
        <v>2</v>
      </c>
      <c r="C6" s="229" t="s">
        <v>90</v>
      </c>
      <c r="D6" s="149">
        <f>SUMIFS(인력관리!$AO$6:$AO$265,인력관리!$E$6:$E$265,C6,인력관리!$D$6:$D$265,협력사등급별MM!$D$4)</f>
        <v>0</v>
      </c>
      <c r="E6" s="149">
        <f>SUMIFS(인력관리!$AO$6:$AO$265,인력관리!$E$6:$E$265,$C6,인력관리!$D$6:$D$265,협력사등급별MM!$E$4)</f>
        <v>2</v>
      </c>
      <c r="F6" s="149">
        <f>SUMIFS(인력관리!$AO$6:$AO$265,인력관리!$E$6:$E$265,$C6,인력관리!$D$6:$D$265,협력사등급별MM!$F$4)</f>
        <v>5.25</v>
      </c>
      <c r="G6" s="149">
        <f>SUMIFS(인력관리!$AO$6:$AO$265,인력관리!$E$6:$E$265,$C6,인력관리!$D$6:$D$265,협력사등급별MM!$G$4)</f>
        <v>0</v>
      </c>
      <c r="H6" s="230">
        <f>SUM(D6:G6)</f>
        <v>7.25</v>
      </c>
      <c r="I6" s="141">
        <f t="shared" si="0"/>
        <v>4.100446807307279E-3</v>
      </c>
      <c r="L6" s="229" t="s">
        <v>90</v>
      </c>
      <c r="M6" s="406">
        <f>SUMIFS(INDEX(인력관리!$K:$AN, , COLUMNS($K:K)), 인력관리!$E:$E, $L6)</f>
        <v>0</v>
      </c>
      <c r="N6" s="406">
        <f>SUMIFS(INDEX(인력관리!$K:$AN, , COLUMNS($K:L)), 인력관리!$E:$E, $L6)</f>
        <v>0</v>
      </c>
      <c r="O6" s="655">
        <f>SUMIFS(INDEX(인력관리!$K:$AN, , COLUMNS($K:M)), 인력관리!$E:$E, $L6)</f>
        <v>0.5</v>
      </c>
      <c r="P6" s="655">
        <f>SUMIFS(INDEX(인력관리!$K:$AN, , COLUMNS($K:N)), 인력관리!$E:$E, $L6)</f>
        <v>0.5</v>
      </c>
      <c r="Q6" s="406">
        <f>SUMIFS(INDEX(인력관리!$K:$AN, , COLUMNS($K:O)), 인력관리!$E:$E, $L6)</f>
        <v>0.5</v>
      </c>
      <c r="R6" s="406">
        <f>SUMIFS(INDEX(인력관리!$K:$AN, , COLUMNS($K:P)), 인력관리!$E:$E, $L6)</f>
        <v>0.5</v>
      </c>
      <c r="S6" s="406">
        <f>SUMIFS(INDEX(인력관리!$K:$AN, , COLUMNS($K:Q)), 인력관리!$E:$E, $L6)</f>
        <v>0.75</v>
      </c>
      <c r="T6" s="406">
        <f>SUMIFS(INDEX(인력관리!$K:$AN, , COLUMNS($K:R)), 인력관리!$E:$E, $L6)</f>
        <v>0.75</v>
      </c>
      <c r="U6" s="406">
        <f>SUMIFS(INDEX(인력관리!$K:$AN, , COLUMNS($K:S)), 인력관리!$E:$E, $L6)</f>
        <v>0.5</v>
      </c>
      <c r="V6" s="406">
        <f>SUMIFS(INDEX(인력관리!$K:$AN, , COLUMNS($K:T)), 인력관리!$E:$E, $L6)</f>
        <v>0</v>
      </c>
      <c r="W6" s="406">
        <f>SUMIFS(INDEX(인력관리!$K:$AN, , COLUMNS($K:U)), 인력관리!$E:$E, $L6)</f>
        <v>0</v>
      </c>
      <c r="X6" s="406">
        <f>SUMIFS(INDEX(인력관리!$K:$AN, , COLUMNS($K:V)), 인력관리!$E:$E, $L6)</f>
        <v>0</v>
      </c>
      <c r="Y6" s="406">
        <f>SUMIFS(INDEX(인력관리!$K:$AN, , COLUMNS($K:W)), 인력관리!$E:$E, $L6)</f>
        <v>0</v>
      </c>
      <c r="Z6" s="406">
        <f>SUMIFS(INDEX(인력관리!$K:$AN, , COLUMNS($K:X)), 인력관리!$E:$E, $L6)</f>
        <v>0</v>
      </c>
      <c r="AA6" s="406">
        <f>SUMIFS(INDEX(인력관리!$K:$AN, , COLUMNS($K:Y)), 인력관리!$E:$E, $L6)</f>
        <v>0.75</v>
      </c>
      <c r="AB6" s="406">
        <f>SUMIFS(INDEX(인력관리!$K:$AN, , COLUMNS($K:Z)), 인력관리!$E:$E, $L6)</f>
        <v>0</v>
      </c>
      <c r="AC6" s="406">
        <f>SUMIFS(INDEX(인력관리!$K:$AN, , COLUMNS($K:AA)), 인력관리!$E:$E, $L6)</f>
        <v>0</v>
      </c>
      <c r="AD6" s="406">
        <f>SUMIFS(INDEX(인력관리!$K:$AN, , COLUMNS($K:AB)), 인력관리!$E:$E, $L6)</f>
        <v>0</v>
      </c>
      <c r="AE6" s="406">
        <f>SUMIFS(INDEX(인력관리!$K:$AN, , COLUMNS($K:AC)), 인력관리!$E:$E, $L6)</f>
        <v>1.75</v>
      </c>
      <c r="AF6" s="406">
        <f>SUMIFS(INDEX(인력관리!$K:$AN, , COLUMNS($K:AD)), 인력관리!$E:$E, $L6)</f>
        <v>0</v>
      </c>
      <c r="AG6" s="406">
        <f>SUMIFS(INDEX(인력관리!$K:$AN, , COLUMNS($K:AE)), 인력관리!$E:$E, $L6)</f>
        <v>2.5</v>
      </c>
      <c r="AH6" s="406">
        <f>SUMIFS(INDEX(인력관리!$K:$AN, , COLUMNS($K:AF)), 인력관리!$E:$E, $L6)</f>
        <v>0</v>
      </c>
      <c r="AI6" s="406">
        <f>SUMIFS(INDEX(인력관리!$K:$AN, , COLUMNS($K:AG)), 인력관리!$E:$E, $L6)</f>
        <v>0</v>
      </c>
      <c r="AJ6" s="406">
        <f>SUMIFS(INDEX(인력관리!$K:$AN, , COLUMNS($K:AH)), 인력관리!$E:$E, $L6)</f>
        <v>0</v>
      </c>
      <c r="AK6" s="406">
        <f>SUMIFS(INDEX(인력관리!$K:$AN, , COLUMNS($K:AI)), 인력관리!$E:$E, $L6)</f>
        <v>0</v>
      </c>
      <c r="AL6" s="406">
        <f>SUMIFS(INDEX(인력관리!$K:$AN, , COLUMNS($K:AJ)), 인력관리!$E:$E, $L6)</f>
        <v>0</v>
      </c>
      <c r="AM6" s="406">
        <f>SUMIFS(INDEX(인력관리!$K:$AN, , COLUMNS($K:AK)), 인력관리!$E:$E, $L6)</f>
        <v>0</v>
      </c>
      <c r="AN6" s="406">
        <f>SUMIFS(INDEX(인력관리!$K:$AN, , COLUMNS($K:AL)), 인력관리!$E:$E, $L6)</f>
        <v>0</v>
      </c>
      <c r="AO6" s="406">
        <f>SUMIFS(INDEX(인력관리!$K:$AN, , COLUMNS($K:AM)), 인력관리!$E:$E, $L6)</f>
        <v>0</v>
      </c>
      <c r="AP6" s="406">
        <f>SUMIFS(INDEX(인력관리!$K:$AN, , COLUMNS($K:AN)), 인력관리!$E:$E, $L6)</f>
        <v>0</v>
      </c>
      <c r="AQ6" s="755">
        <f t="shared" ref="AQ6:AQ17" si="1">M6+O6+Q6+S6+U6+W6+Y6+AA6+AC6+AE6+AG6+AI6+AK6+AM6+AO6</f>
        <v>7.25</v>
      </c>
      <c r="AR6" s="408">
        <f t="shared" ref="AR6:AR18" si="2">N6+P6+R6+T6+V6+X6+Z6+AB6+AD6+AF6+AH6+AJ6+AL6+AN6+AP6</f>
        <v>1.75</v>
      </c>
      <c r="AS6" s="408">
        <f t="shared" ref="AS6:AS18" si="3">AR6-AQ6</f>
        <v>-5.5</v>
      </c>
      <c r="AT6" s="414">
        <f t="shared" ref="AT6:AT21" si="4">H6-AQ6</f>
        <v>0</v>
      </c>
      <c r="AU6" s="755">
        <v>7.25</v>
      </c>
      <c r="AV6" s="1578">
        <v>7.3</v>
      </c>
      <c r="AW6" s="1452">
        <f t="shared" ref="AW6:AW21" si="5">AU6-AV6</f>
        <v>-4.9999999999999822E-2</v>
      </c>
    </row>
    <row r="7" spans="2:50" s="140" customFormat="1" ht="15">
      <c r="B7" s="78">
        <v>3</v>
      </c>
      <c r="C7" s="229" t="s">
        <v>93</v>
      </c>
      <c r="D7" s="149">
        <f>SUMIFS(인력관리!$AO$6:$AO$265,인력관리!$E$6:$E$265,C7,인력관리!$D$6:$D$265,협력사등급별MM!$D$4)</f>
        <v>36</v>
      </c>
      <c r="E7" s="149">
        <f>SUMIFS(인력관리!$AO$6:$AO$265,인력관리!$E$6:$E$265,$C7,인력관리!$D$6:$D$265,협력사등급별MM!$E$4)</f>
        <v>15</v>
      </c>
      <c r="F7" s="149">
        <f>SUMIFS(인력관리!$AO$6:$AO$265,인력관리!$E$6:$E$265,$C7,인력관리!$D$6:$D$265,협력사등급별MM!$F$4)</f>
        <v>9.5</v>
      </c>
      <c r="G7" s="149">
        <f>SUMIFS(인력관리!$AO$6:$AO$265,인력관리!$E$6:$E$265,$C7,인력관리!$D$6:$D$265,협력사등급별MM!$G$4)</f>
        <v>9.5</v>
      </c>
      <c r="H7" s="230">
        <f t="shared" ref="H7:H18" si="6">SUM(D7:G7)</f>
        <v>70</v>
      </c>
      <c r="I7" s="141">
        <f t="shared" si="0"/>
        <v>3.9590520898139248E-2</v>
      </c>
      <c r="L7" s="229" t="s">
        <v>93</v>
      </c>
      <c r="M7" s="406">
        <f>SUMIFS(INDEX(인력관리!$K:$AN, , COLUMNS($K:K)), 인력관리!$E:$E, $L7)</f>
        <v>0</v>
      </c>
      <c r="N7" s="406">
        <f>SUMIFS(INDEX(인력관리!$K:$AN, , COLUMNS($K:L)), 인력관리!$E:$E, $L7)</f>
        <v>0</v>
      </c>
      <c r="O7" s="655">
        <f>SUMIFS(INDEX(인력관리!$K:$AN, , COLUMNS($K:M)), 인력관리!$E:$E, $L7)</f>
        <v>0</v>
      </c>
      <c r="P7" s="655">
        <f>SUMIFS(INDEX(인력관리!$K:$AN, , COLUMNS($K:N)), 인력관리!$E:$E, $L7)</f>
        <v>0</v>
      </c>
      <c r="Q7" s="406">
        <f>SUMIFS(INDEX(인력관리!$K:$AN, , COLUMNS($K:O)), 인력관리!$E:$E, $L7)</f>
        <v>0</v>
      </c>
      <c r="R7" s="406">
        <f>SUMIFS(INDEX(인력관리!$K:$AN, , COLUMNS($K:P)), 인력관리!$E:$E, $L7)</f>
        <v>0</v>
      </c>
      <c r="S7" s="406">
        <f>SUMIFS(INDEX(인력관리!$K:$AN, , COLUMNS($K:Q)), 인력관리!$E:$E, $L7)</f>
        <v>1.25</v>
      </c>
      <c r="T7" s="406">
        <f>SUMIFS(INDEX(인력관리!$K:$AN, , COLUMNS($K:R)), 인력관리!$E:$E, $L7)</f>
        <v>1.3</v>
      </c>
      <c r="U7" s="406">
        <f>SUMIFS(INDEX(인력관리!$K:$AN, , COLUMNS($K:S)), 인력관리!$E:$E, $L7)</f>
        <v>5</v>
      </c>
      <c r="V7" s="406">
        <f>SUMIFS(INDEX(인력관리!$K:$AN, , COLUMNS($K:T)), 인력관리!$E:$E, $L7)</f>
        <v>3</v>
      </c>
      <c r="W7" s="406">
        <f>SUMIFS(INDEX(인력관리!$K:$AN, , COLUMNS($K:U)), 인력관리!$E:$E, $L7)</f>
        <v>7</v>
      </c>
      <c r="X7" s="406">
        <f>SUMIFS(INDEX(인력관리!$K:$AN, , COLUMNS($K:V)), 인력관리!$E:$E, $L7)</f>
        <v>0</v>
      </c>
      <c r="Y7" s="406">
        <f>SUMIFS(INDEX(인력관리!$K:$AN, , COLUMNS($K:W)), 인력관리!$E:$E, $L7)</f>
        <v>7</v>
      </c>
      <c r="Z7" s="406">
        <f>SUMIFS(INDEX(인력관리!$K:$AN, , COLUMNS($K:X)), 인력관리!$E:$E, $L7)</f>
        <v>0</v>
      </c>
      <c r="AA7" s="406">
        <f>SUMIFS(INDEX(인력관리!$K:$AN, , COLUMNS($K:Y)), 인력관리!$E:$E, $L7)</f>
        <v>7</v>
      </c>
      <c r="AB7" s="406">
        <f>SUMIFS(INDEX(인력관리!$K:$AN, , COLUMNS($K:Z)), 인력관리!$E:$E, $L7)</f>
        <v>0</v>
      </c>
      <c r="AC7" s="406">
        <f>SUMIFS(INDEX(인력관리!$K:$AN, , COLUMNS($K:AA)), 인력관리!$E:$E, $L7)</f>
        <v>7.5</v>
      </c>
      <c r="AD7" s="406">
        <f>SUMIFS(INDEX(인력관리!$K:$AN, , COLUMNS($K:AB)), 인력관리!$E:$E, $L7)</f>
        <v>0</v>
      </c>
      <c r="AE7" s="406">
        <f>SUMIFS(INDEX(인력관리!$K:$AN, , COLUMNS($K:AC)), 인력관리!$E:$E, $L7)</f>
        <v>8</v>
      </c>
      <c r="AF7" s="406">
        <f>SUMIFS(INDEX(인력관리!$K:$AN, , COLUMNS($K:AD)), 인력관리!$E:$E, $L7)</f>
        <v>0</v>
      </c>
      <c r="AG7" s="406">
        <f>SUMIFS(INDEX(인력관리!$K:$AN, , COLUMNS($K:AE)), 인력관리!$E:$E, $L7)</f>
        <v>7.5</v>
      </c>
      <c r="AH7" s="406">
        <f>SUMIFS(INDEX(인력관리!$K:$AN, , COLUMNS($K:AF)), 인력관리!$E:$E, $L7)</f>
        <v>0</v>
      </c>
      <c r="AI7" s="406">
        <f>SUMIFS(INDEX(인력관리!$K:$AN, , COLUMNS($K:AG)), 인력관리!$E:$E, $L7)</f>
        <v>7</v>
      </c>
      <c r="AJ7" s="406">
        <f>SUMIFS(INDEX(인력관리!$K:$AN, , COLUMNS($K:AH)), 인력관리!$E:$E, $L7)</f>
        <v>0</v>
      </c>
      <c r="AK7" s="406">
        <f>SUMIFS(INDEX(인력관리!$K:$AN, , COLUMNS($K:AI)), 인력관리!$E:$E, $L7)</f>
        <v>7</v>
      </c>
      <c r="AL7" s="406">
        <f>SUMIFS(INDEX(인력관리!$K:$AN, , COLUMNS($K:AJ)), 인력관리!$E:$E, $L7)</f>
        <v>0</v>
      </c>
      <c r="AM7" s="406">
        <f>SUMIFS(INDEX(인력관리!$K:$AN, , COLUMNS($K:AK)), 인력관리!$E:$E, $L7)</f>
        <v>4.5</v>
      </c>
      <c r="AN7" s="406">
        <f>SUMIFS(INDEX(인력관리!$K:$AN, , COLUMNS($K:AL)), 인력관리!$E:$E, $L7)</f>
        <v>0</v>
      </c>
      <c r="AO7" s="406">
        <f>SUMIFS(INDEX(인력관리!$K:$AN, , COLUMNS($K:AM)), 인력관리!$E:$E, $L7)</f>
        <v>1.25</v>
      </c>
      <c r="AP7" s="406">
        <f>SUMIFS(INDEX(인력관리!$K:$AN, , COLUMNS($K:AN)), 인력관리!$E:$E, $L7)</f>
        <v>0</v>
      </c>
      <c r="AQ7" s="755">
        <f t="shared" si="1"/>
        <v>70</v>
      </c>
      <c r="AR7" s="408">
        <f t="shared" si="2"/>
        <v>4.3</v>
      </c>
      <c r="AS7" s="408">
        <f t="shared" si="3"/>
        <v>-65.7</v>
      </c>
      <c r="AT7" s="414">
        <f t="shared" si="4"/>
        <v>0</v>
      </c>
      <c r="AU7" s="755">
        <v>70</v>
      </c>
      <c r="AV7" s="1578">
        <v>69.5</v>
      </c>
      <c r="AW7" s="1452">
        <f t="shared" si="5"/>
        <v>0.5</v>
      </c>
    </row>
    <row r="8" spans="2:50" s="140" customFormat="1" ht="15">
      <c r="B8" s="78">
        <v>4</v>
      </c>
      <c r="C8" s="229" t="s">
        <v>102</v>
      </c>
      <c r="D8" s="149">
        <f>SUMIFS(인력관리!$AO$6:$AO$265,인력관리!$E$6:$E$265,C8,인력관리!$D$6:$D$265,협력사등급별MM!$D$4)</f>
        <v>24</v>
      </c>
      <c r="E8" s="149">
        <f>SUMIFS(인력관리!$AO$6:$AO$265,인력관리!$E$6:$E$265,$C8,인력관리!$D$6:$D$265,협력사등급별MM!$E$4)</f>
        <v>0</v>
      </c>
      <c r="F8" s="149">
        <f>SUMIFS(인력관리!$AO$6:$AO$265,인력관리!$E$6:$E$265,$C8,인력관리!$D$6:$D$265,협력사등급별MM!$F$4)</f>
        <v>23</v>
      </c>
      <c r="G8" s="149">
        <f>SUMIFS(인력관리!$AO$6:$AO$265,인력관리!$E$6:$E$265,$C8,인력관리!$D$6:$D$265,협력사등급별MM!$G$4)</f>
        <v>0</v>
      </c>
      <c r="H8" s="230">
        <f t="shared" si="6"/>
        <v>47</v>
      </c>
      <c r="I8" s="141">
        <f t="shared" si="0"/>
        <v>2.6582206888750636E-2</v>
      </c>
      <c r="L8" s="229" t="s">
        <v>102</v>
      </c>
      <c r="M8" s="406">
        <f>SUMIFS(INDEX(인력관리!$K:$AN, , COLUMNS($K:K)), 인력관리!$E:$E, $L8)</f>
        <v>2</v>
      </c>
      <c r="N8" s="406">
        <f>SUMIFS(INDEX(인력관리!$K:$AN, , COLUMNS($K:L)), 인력관리!$E:$E, $L8)</f>
        <v>2</v>
      </c>
      <c r="O8" s="655">
        <f>SUMIFS(INDEX(인력관리!$K:$AN, , COLUMNS($K:M)), 인력관리!$E:$E, $L8)</f>
        <v>2</v>
      </c>
      <c r="P8" s="655">
        <f>SUMIFS(INDEX(인력관리!$K:$AN, , COLUMNS($K:N)), 인력관리!$E:$E, $L8)</f>
        <v>2</v>
      </c>
      <c r="Q8" s="406">
        <f>SUMIFS(INDEX(인력관리!$K:$AN, , COLUMNS($K:O)), 인력관리!$E:$E, $L8)</f>
        <v>5</v>
      </c>
      <c r="R8" s="406">
        <f>SUMIFS(INDEX(인력관리!$K:$AN, , COLUMNS($K:P)), 인력관리!$E:$E, $L8)</f>
        <v>5</v>
      </c>
      <c r="S8" s="406">
        <f>SUMIFS(INDEX(인력관리!$K:$AN, , COLUMNS($K:Q)), 인력관리!$E:$E, $L8)</f>
        <v>5</v>
      </c>
      <c r="T8" s="406">
        <f>SUMIFS(INDEX(인력관리!$K:$AN, , COLUMNS($K:R)), 인력관리!$E:$E, $L8)</f>
        <v>5</v>
      </c>
      <c r="U8" s="406">
        <f>SUMIFS(INDEX(인력관리!$K:$AN, , COLUMNS($K:S)), 인력관리!$E:$E, $L8)</f>
        <v>5</v>
      </c>
      <c r="V8" s="406">
        <f>SUMIFS(INDEX(인력관리!$K:$AN, , COLUMNS($K:T)), 인력관리!$E:$E, $L8)</f>
        <v>3</v>
      </c>
      <c r="W8" s="406">
        <f>SUMIFS(INDEX(인력관리!$K:$AN, , COLUMNS($K:U)), 인력관리!$E:$E, $L8)</f>
        <v>5</v>
      </c>
      <c r="X8" s="406">
        <f>SUMIFS(INDEX(인력관리!$K:$AN, , COLUMNS($K:V)), 인력관리!$E:$E, $L8)</f>
        <v>0</v>
      </c>
      <c r="Y8" s="406">
        <f>SUMIFS(INDEX(인력관리!$K:$AN, , COLUMNS($K:W)), 인력관리!$E:$E, $L8)</f>
        <v>4</v>
      </c>
      <c r="Z8" s="406">
        <f>SUMIFS(INDEX(인력관리!$K:$AN, , COLUMNS($K:X)), 인력관리!$E:$E, $L8)</f>
        <v>0</v>
      </c>
      <c r="AA8" s="406">
        <f>SUMIFS(INDEX(인력관리!$K:$AN, , COLUMNS($K:Y)), 인력관리!$E:$E, $L8)</f>
        <v>3</v>
      </c>
      <c r="AB8" s="406">
        <f>SUMIFS(INDEX(인력관리!$K:$AN, , COLUMNS($K:Z)), 인력관리!$E:$E, $L8)</f>
        <v>0</v>
      </c>
      <c r="AC8" s="406">
        <f>SUMIFS(INDEX(인력관리!$K:$AN, , COLUMNS($K:AA)), 인력관리!$E:$E, $L8)</f>
        <v>3</v>
      </c>
      <c r="AD8" s="406">
        <f>SUMIFS(INDEX(인력관리!$K:$AN, , COLUMNS($K:AB)), 인력관리!$E:$E, $L8)</f>
        <v>0</v>
      </c>
      <c r="AE8" s="406">
        <f>SUMIFS(INDEX(인력관리!$K:$AN, , COLUMNS($K:AC)), 인력관리!$E:$E, $L8)</f>
        <v>3</v>
      </c>
      <c r="AF8" s="406">
        <f>SUMIFS(INDEX(인력관리!$K:$AN, , COLUMNS($K:AD)), 인력관리!$E:$E, $L8)</f>
        <v>0</v>
      </c>
      <c r="AG8" s="406">
        <f>SUMIFS(INDEX(인력관리!$K:$AN, , COLUMNS($K:AE)), 인력관리!$E:$E, $L8)</f>
        <v>2</v>
      </c>
      <c r="AH8" s="406">
        <f>SUMIFS(INDEX(인력관리!$K:$AN, , COLUMNS($K:AF)), 인력관리!$E:$E, $L8)</f>
        <v>0</v>
      </c>
      <c r="AI8" s="406">
        <f>SUMIFS(INDEX(인력관리!$K:$AN, , COLUMNS($K:AG)), 인력관리!$E:$E, $L8)</f>
        <v>2</v>
      </c>
      <c r="AJ8" s="406">
        <f>SUMIFS(INDEX(인력관리!$K:$AN, , COLUMNS($K:AH)), 인력관리!$E:$E, $L8)</f>
        <v>0</v>
      </c>
      <c r="AK8" s="406">
        <f>SUMIFS(INDEX(인력관리!$K:$AN, , COLUMNS($K:AI)), 인력관리!$E:$E, $L8)</f>
        <v>2</v>
      </c>
      <c r="AL8" s="406">
        <f>SUMIFS(INDEX(인력관리!$K:$AN, , COLUMNS($K:AJ)), 인력관리!$E:$E, $L8)</f>
        <v>0</v>
      </c>
      <c r="AM8" s="406">
        <f>SUMIFS(INDEX(인력관리!$K:$AN, , COLUMNS($K:AK)), 인력관리!$E:$E, $L8)</f>
        <v>2</v>
      </c>
      <c r="AN8" s="406">
        <f>SUMIFS(INDEX(인력관리!$K:$AN, , COLUMNS($K:AL)), 인력관리!$E:$E, $L8)</f>
        <v>0</v>
      </c>
      <c r="AO8" s="406">
        <f>SUMIFS(INDEX(인력관리!$K:$AN, , COLUMNS($K:AM)), 인력관리!$E:$E, $L8)</f>
        <v>2</v>
      </c>
      <c r="AP8" s="406">
        <f>SUMIFS(INDEX(인력관리!$K:$AN, , COLUMNS($K:AN)), 인력관리!$E:$E, $L8)</f>
        <v>0</v>
      </c>
      <c r="AQ8" s="755">
        <f t="shared" si="1"/>
        <v>47</v>
      </c>
      <c r="AR8" s="408">
        <f t="shared" si="2"/>
        <v>17</v>
      </c>
      <c r="AS8" s="408">
        <f t="shared" si="3"/>
        <v>-30</v>
      </c>
      <c r="AT8" s="414">
        <f t="shared" si="4"/>
        <v>0</v>
      </c>
      <c r="AU8" s="755">
        <v>47</v>
      </c>
      <c r="AV8" s="1578">
        <v>47</v>
      </c>
      <c r="AW8" s="1452">
        <f t="shared" si="5"/>
        <v>0</v>
      </c>
    </row>
    <row r="9" spans="2:50" s="140" customFormat="1" ht="15">
      <c r="B9" s="78">
        <v>5</v>
      </c>
      <c r="C9" s="231" t="s">
        <v>56</v>
      </c>
      <c r="D9" s="149">
        <f>SUMIFS(인력관리!$AO$6:$AO$265,인력관리!$E$6:$E$265,C9,인력관리!$D$6:$D$265,협력사등급별MM!$D$4)</f>
        <v>14.5</v>
      </c>
      <c r="E9" s="149">
        <f>SUMIFS(인력관리!$AO$6:$AO$265,인력관리!$E$6:$E$265,$C9,인력관리!$D$6:$D$265,협력사등급별MM!$E$4)</f>
        <v>34.5</v>
      </c>
      <c r="F9" s="149">
        <f>SUMIFS(인력관리!$AO$6:$AO$265,인력관리!$E$6:$E$265,$C9,인력관리!$D$6:$D$265,협력사등급별MM!$F$4)</f>
        <v>68</v>
      </c>
      <c r="G9" s="149">
        <f>SUMIFS(인력관리!$AO$6:$AO$265,인력관리!$E$6:$E$265,$C9,인력관리!$D$6:$D$265,협력사등급별MM!$G$4)</f>
        <v>55</v>
      </c>
      <c r="H9" s="230">
        <f t="shared" si="6"/>
        <v>172</v>
      </c>
      <c r="I9" s="141">
        <f t="shared" si="0"/>
        <v>9.7279565635427862E-2</v>
      </c>
      <c r="L9" s="231" t="s">
        <v>56</v>
      </c>
      <c r="M9" s="406">
        <f>SUMIFS(INDEX(인력관리!$K:$AN, , COLUMNS($K:K)), 인력관리!$E:$E, $L9)</f>
        <v>6.5</v>
      </c>
      <c r="N9" s="406">
        <f>SUMIFS(INDEX(인력관리!$K:$AN, , COLUMNS($K:L)), 인력관리!$E:$E, $L9)</f>
        <v>6.5</v>
      </c>
      <c r="O9" s="655">
        <f>SUMIFS(INDEX(인력관리!$K:$AN, , COLUMNS($K:M)), 인력관리!$E:$E, $L9)</f>
        <v>12</v>
      </c>
      <c r="P9" s="655">
        <f>SUMIFS(INDEX(인력관리!$K:$AN, , COLUMNS($K:N)), 인력관리!$E:$E, $L9)</f>
        <v>12</v>
      </c>
      <c r="Q9" s="406">
        <f>SUMIFS(INDEX(인력관리!$K:$AN, , COLUMNS($K:O)), 인력관리!$E:$E, $L9)</f>
        <v>17</v>
      </c>
      <c r="R9" s="406">
        <f>SUMIFS(INDEX(인력관리!$K:$AN, , COLUMNS($K:P)), 인력관리!$E:$E, $L9)</f>
        <v>19</v>
      </c>
      <c r="S9" s="406">
        <f>SUMIFS(INDEX(인력관리!$K:$AN, , COLUMNS($K:Q)), 인력관리!$E:$E, $L9)</f>
        <v>17</v>
      </c>
      <c r="T9" s="406">
        <f>SUMIFS(INDEX(인력관리!$K:$AN, , COLUMNS($K:R)), 인력관리!$E:$E, $L9)</f>
        <v>19</v>
      </c>
      <c r="U9" s="406">
        <f>SUMIFS(INDEX(인력관리!$K:$AN, , COLUMNS($K:S)), 인력관리!$E:$E, $L9)</f>
        <v>17</v>
      </c>
      <c r="V9" s="406">
        <f>SUMIFS(INDEX(인력관리!$K:$AN, , COLUMNS($K:T)), 인력관리!$E:$E, $L9)</f>
        <v>13.799999999999995</v>
      </c>
      <c r="W9" s="406">
        <f>SUMIFS(INDEX(인력관리!$K:$AN, , COLUMNS($K:U)), 인력관리!$E:$E, $L9)</f>
        <v>17</v>
      </c>
      <c r="X9" s="406">
        <f>SUMIFS(INDEX(인력관리!$K:$AN, , COLUMNS($K:V)), 인력관리!$E:$E, $L9)</f>
        <v>0</v>
      </c>
      <c r="Y9" s="406">
        <f>SUMIFS(INDEX(인력관리!$K:$AN, , COLUMNS($K:W)), 인력관리!$E:$E, $L9)</f>
        <v>17</v>
      </c>
      <c r="Z9" s="406">
        <f>SUMIFS(INDEX(인력관리!$K:$AN, , COLUMNS($K:X)), 인력관리!$E:$E, $L9)</f>
        <v>0</v>
      </c>
      <c r="AA9" s="406">
        <f>SUMIFS(INDEX(인력관리!$K:$AN, , COLUMNS($K:Y)), 인력관리!$E:$E, $L9)</f>
        <v>15.75</v>
      </c>
      <c r="AB9" s="406">
        <f>SUMIFS(INDEX(인력관리!$K:$AN, , COLUMNS($K:Z)), 인력관리!$E:$E, $L9)</f>
        <v>0</v>
      </c>
      <c r="AC9" s="406">
        <f>SUMIFS(INDEX(인력관리!$K:$AN, , COLUMNS($K:AA)), 인력관리!$E:$E, $L9)</f>
        <v>15</v>
      </c>
      <c r="AD9" s="406">
        <f>SUMIFS(INDEX(인력관리!$K:$AN, , COLUMNS($K:AB)), 인력관리!$E:$E, $L9)</f>
        <v>0</v>
      </c>
      <c r="AE9" s="406">
        <f>SUMIFS(INDEX(인력관리!$K:$AN, , COLUMNS($K:AC)), 인력관리!$E:$E, $L9)</f>
        <v>11</v>
      </c>
      <c r="AF9" s="406">
        <f>SUMIFS(INDEX(인력관리!$K:$AN, , COLUMNS($K:AD)), 인력관리!$E:$E, $L9)</f>
        <v>0</v>
      </c>
      <c r="AG9" s="406">
        <f>SUMIFS(INDEX(인력관리!$K:$AN, , COLUMNS($K:AE)), 인력관리!$E:$E, $L9)</f>
        <v>7.5</v>
      </c>
      <c r="AH9" s="406">
        <f>SUMIFS(INDEX(인력관리!$K:$AN, , COLUMNS($K:AF)), 인력관리!$E:$E, $L9)</f>
        <v>0</v>
      </c>
      <c r="AI9" s="406">
        <f>SUMIFS(INDEX(인력관리!$K:$AN, , COLUMNS($K:AG)), 인력관리!$E:$E, $L9)</f>
        <v>6.25</v>
      </c>
      <c r="AJ9" s="406">
        <f>SUMIFS(INDEX(인력관리!$K:$AN, , COLUMNS($K:AH)), 인력관리!$E:$E, $L9)</f>
        <v>0</v>
      </c>
      <c r="AK9" s="406">
        <f>SUMIFS(INDEX(인력관리!$K:$AN, , COLUMNS($K:AI)), 인력관리!$E:$E, $L9)</f>
        <v>5.5</v>
      </c>
      <c r="AL9" s="406">
        <f>SUMIFS(INDEX(인력관리!$K:$AN, , COLUMNS($K:AJ)), 인력관리!$E:$E, $L9)</f>
        <v>0</v>
      </c>
      <c r="AM9" s="406">
        <f>SUMIFS(INDEX(인력관리!$K:$AN, , COLUMNS($K:AK)), 인력관리!$E:$E, $L9)</f>
        <v>5</v>
      </c>
      <c r="AN9" s="406">
        <f>SUMIFS(INDEX(인력관리!$K:$AN, , COLUMNS($K:AL)), 인력관리!$E:$E, $L9)</f>
        <v>0</v>
      </c>
      <c r="AO9" s="406">
        <f>SUMIFS(INDEX(인력관리!$K:$AN, , COLUMNS($K:AM)), 인력관리!$E:$E, $L9)</f>
        <v>2.5</v>
      </c>
      <c r="AP9" s="406">
        <f>SUMIFS(INDEX(인력관리!$K:$AN, , COLUMNS($K:AN)), 인력관리!$E:$E, $L9)</f>
        <v>0</v>
      </c>
      <c r="AQ9" s="755">
        <f t="shared" si="1"/>
        <v>172</v>
      </c>
      <c r="AR9" s="408">
        <f t="shared" si="2"/>
        <v>70.3</v>
      </c>
      <c r="AS9" s="408">
        <f t="shared" si="3"/>
        <v>-101.7</v>
      </c>
      <c r="AT9" s="414">
        <f t="shared" si="4"/>
        <v>0</v>
      </c>
      <c r="AU9" s="755">
        <v>172</v>
      </c>
      <c r="AV9" s="1578">
        <v>172</v>
      </c>
      <c r="AW9" s="1452">
        <f t="shared" si="5"/>
        <v>0</v>
      </c>
    </row>
    <row r="10" spans="2:50" s="140" customFormat="1" ht="15">
      <c r="B10" s="78">
        <v>6</v>
      </c>
      <c r="C10" s="73" t="s">
        <v>57</v>
      </c>
      <c r="D10" s="149">
        <f>SUMIFS(인력관리!$AO$6:$AO$265,인력관리!$E$6:$E$265,C10,인력관리!$D$6:$D$265,협력사등급별MM!$D$4)</f>
        <v>60</v>
      </c>
      <c r="E10" s="149">
        <f>SUMIFS(인력관리!$AO$6:$AO$265,인력관리!$E$6:$E$265,$C10,인력관리!$D$6:$D$265,협력사등급별MM!$E$4)</f>
        <v>153.25</v>
      </c>
      <c r="F10" s="149">
        <f>SUMIFS(인력관리!$AO$6:$AO$265,인력관리!$E$6:$E$265,$C10,인력관리!$D$6:$D$265,협력사등급별MM!$F$4)</f>
        <v>159</v>
      </c>
      <c r="G10" s="149">
        <f>SUMIFS(인력관리!$AO$6:$AO$265,인력관리!$E$6:$E$265,$C10,인력관리!$D$6:$D$265,협력사등급별MM!$G$4)</f>
        <v>187</v>
      </c>
      <c r="H10" s="230">
        <f t="shared" si="6"/>
        <v>559.25</v>
      </c>
      <c r="I10" s="141">
        <f t="shared" si="0"/>
        <v>0.3162999830326339</v>
      </c>
      <c r="L10" s="73" t="s">
        <v>57</v>
      </c>
      <c r="M10" s="406">
        <f>SUMIFS(INDEX(인력관리!$K:$AN, , COLUMNS($K:K)), 인력관리!$E:$E, $L10)</f>
        <v>16.75</v>
      </c>
      <c r="N10" s="406">
        <f>SUMIFS(INDEX(인력관리!$K:$AN, , COLUMNS($K:L)), 인력관리!$E:$E, $L10)</f>
        <v>19</v>
      </c>
      <c r="O10" s="655">
        <f>SUMIFS(INDEX(인력관리!$K:$AN, , COLUMNS($K:M)), 인력관리!$E:$E, $L10)</f>
        <v>18</v>
      </c>
      <c r="P10" s="655">
        <f>SUMIFS(INDEX(인력관리!$K:$AN, , COLUMNS($K:N)), 인력관리!$E:$E, $L10)</f>
        <v>22</v>
      </c>
      <c r="Q10" s="406">
        <f>SUMIFS(INDEX(인력관리!$K:$AN, , COLUMNS($K:O)), 인력관리!$E:$E, $L10)</f>
        <v>19</v>
      </c>
      <c r="R10" s="406">
        <f>SUMIFS(INDEX(인력관리!$K:$AN, , COLUMNS($K:P)), 인력관리!$E:$E, $L10)</f>
        <v>27.85</v>
      </c>
      <c r="S10" s="406">
        <f>SUMIFS(INDEX(인력관리!$K:$AN, , COLUMNS($K:Q)), 인력관리!$E:$E, $L10)</f>
        <v>19</v>
      </c>
      <c r="T10" s="406">
        <f>SUMIFS(INDEX(인력관리!$K:$AN, , COLUMNS($K:R)), 인력관리!$E:$E, $L10)</f>
        <v>29</v>
      </c>
      <c r="U10" s="406">
        <f>SUMIFS(INDEX(인력관리!$K:$AN, , COLUMNS($K:S)), 인력관리!$E:$E, $L10)</f>
        <v>41</v>
      </c>
      <c r="V10" s="406">
        <f>SUMIFS(INDEX(인력관리!$K:$AN, , COLUMNS($K:T)), 인력관리!$E:$E, $L10)</f>
        <v>24.600000000000016</v>
      </c>
      <c r="W10" s="406">
        <f>SUMIFS(INDEX(인력관리!$K:$AN, , COLUMNS($K:U)), 인력관리!$E:$E, $L10)</f>
        <v>43.5</v>
      </c>
      <c r="X10" s="406">
        <f>SUMIFS(INDEX(인력관리!$K:$AN, , COLUMNS($K:V)), 인력관리!$E:$E, $L10)</f>
        <v>0</v>
      </c>
      <c r="Y10" s="406">
        <f>SUMIFS(INDEX(인력관리!$K:$AN, , COLUMNS($K:W)), 인력관리!$E:$E, $L10)</f>
        <v>46</v>
      </c>
      <c r="Z10" s="406">
        <f>SUMIFS(INDEX(인력관리!$K:$AN, , COLUMNS($K:X)), 인력관리!$E:$E, $L10)</f>
        <v>0</v>
      </c>
      <c r="AA10" s="406">
        <f>SUMIFS(INDEX(인력관리!$K:$AN, , COLUMNS($K:Y)), 인력관리!$E:$E, $L10)</f>
        <v>46</v>
      </c>
      <c r="AB10" s="406">
        <f>SUMIFS(INDEX(인력관리!$K:$AN, , COLUMNS($K:Z)), 인력관리!$E:$E, $L10)</f>
        <v>0</v>
      </c>
      <c r="AC10" s="406">
        <f>SUMIFS(INDEX(인력관리!$K:$AN, , COLUMNS($K:AA)), 인력관리!$E:$E, $L10)</f>
        <v>46</v>
      </c>
      <c r="AD10" s="406">
        <f>SUMIFS(INDEX(인력관리!$K:$AN, , COLUMNS($K:AB)), 인력관리!$E:$E, $L10)</f>
        <v>0</v>
      </c>
      <c r="AE10" s="406">
        <f>SUMIFS(INDEX(인력관리!$K:$AN, , COLUMNS($K:AC)), 인력관리!$E:$E, $L10)</f>
        <v>46</v>
      </c>
      <c r="AF10" s="406">
        <f>SUMIFS(INDEX(인력관리!$K:$AN, , COLUMNS($K:AD)), 인력관리!$E:$E, $L10)</f>
        <v>0</v>
      </c>
      <c r="AG10" s="406">
        <f>SUMIFS(INDEX(인력관리!$K:$AN, , COLUMNS($K:AE)), 인력관리!$E:$E, $L10)</f>
        <v>46</v>
      </c>
      <c r="AH10" s="406">
        <f>SUMIFS(INDEX(인력관리!$K:$AN, , COLUMNS($K:AF)), 인력관리!$E:$E, $L10)</f>
        <v>0</v>
      </c>
      <c r="AI10" s="406">
        <f>SUMIFS(INDEX(인력관리!$K:$AN, , COLUMNS($K:AG)), 인력관리!$E:$E, $L10)</f>
        <v>46</v>
      </c>
      <c r="AJ10" s="406">
        <f>SUMIFS(INDEX(인력관리!$K:$AN, , COLUMNS($K:AH)), 인력관리!$E:$E, $L10)</f>
        <v>0</v>
      </c>
      <c r="AK10" s="406">
        <f>SUMIFS(INDEX(인력관리!$K:$AN, , COLUMNS($K:AI)), 인력관리!$E:$E, $L10)</f>
        <v>46</v>
      </c>
      <c r="AL10" s="406">
        <f>SUMIFS(INDEX(인력관리!$K:$AN, , COLUMNS($K:AJ)), 인력관리!$E:$E, $L10)</f>
        <v>0</v>
      </c>
      <c r="AM10" s="406">
        <f>SUMIFS(INDEX(인력관리!$K:$AN, , COLUMNS($K:AK)), 인력관리!$E:$E, $L10)</f>
        <v>46</v>
      </c>
      <c r="AN10" s="406">
        <f>SUMIFS(INDEX(인력관리!$K:$AN, , COLUMNS($K:AL)), 인력관리!$E:$E, $L10)</f>
        <v>0</v>
      </c>
      <c r="AO10" s="406">
        <f>SUMIFS(INDEX(인력관리!$K:$AN, , COLUMNS($K:AM)), 인력관리!$E:$E, $L10)</f>
        <v>34</v>
      </c>
      <c r="AP10" s="406">
        <f>SUMIFS(INDEX(인력관리!$K:$AN, , COLUMNS($K:AN)), 인력관리!$E:$E, $L10)</f>
        <v>0</v>
      </c>
      <c r="AQ10" s="755">
        <f t="shared" si="1"/>
        <v>559.25</v>
      </c>
      <c r="AR10" s="408">
        <f t="shared" si="2"/>
        <v>122.45000000000002</v>
      </c>
      <c r="AS10" s="408">
        <f t="shared" si="3"/>
        <v>-436.79999999999995</v>
      </c>
      <c r="AT10" s="414">
        <f t="shared" si="4"/>
        <v>0</v>
      </c>
      <c r="AU10" s="755">
        <v>559.25</v>
      </c>
      <c r="AV10" s="1578">
        <v>559.5</v>
      </c>
      <c r="AW10" s="1452">
        <f t="shared" si="5"/>
        <v>-0.25</v>
      </c>
    </row>
    <row r="11" spans="2:50" s="140" customFormat="1" ht="15">
      <c r="B11" s="78">
        <v>7</v>
      </c>
      <c r="C11" s="73" t="s">
        <v>348</v>
      </c>
      <c r="D11" s="149">
        <f>SUMIFS(인력관리!$AO$6:$AO$265,인력관리!$E$6:$E$265,C11,인력관리!$D$6:$D$265,협력사등급별MM!$D$4)</f>
        <v>0</v>
      </c>
      <c r="E11" s="149">
        <f>SUMIFS(인력관리!$AO$6:$AO$265,인력관리!$E$6:$E$265,$C11,인력관리!$D$6:$D$265,협력사등급별MM!$E$4)</f>
        <v>0</v>
      </c>
      <c r="F11" s="149">
        <f>SUMIFS(인력관리!$AO$6:$AO$265,인력관리!$E$6:$E$265,$C11,인력관리!$D$6:$D$265,협력사등급별MM!$F$4)</f>
        <v>0</v>
      </c>
      <c r="G11" s="149">
        <f>SUMIFS(인력관리!$AO$6:$AO$265,인력관리!$E$6:$E$265,$C11,인력관리!$D$6:$D$265,협력사등급별MM!$G$4)</f>
        <v>0</v>
      </c>
      <c r="H11" s="230">
        <f t="shared" si="6"/>
        <v>0</v>
      </c>
      <c r="I11" s="141">
        <f t="shared" si="0"/>
        <v>0</v>
      </c>
      <c r="L11" s="73" t="s">
        <v>348</v>
      </c>
      <c r="M11" s="406">
        <f>SUMIFS(INDEX(인력관리!$K:$AN, , COLUMNS($K:K)), 인력관리!$E:$E, $L11)</f>
        <v>0</v>
      </c>
      <c r="N11" s="406">
        <f>SUMIFS(INDEX(인력관리!$K:$AN, , COLUMNS($K:L)), 인력관리!$E:$E, $L11)</f>
        <v>0</v>
      </c>
      <c r="O11" s="655">
        <f>SUMIFS(INDEX(인력관리!$K:$AN, , COLUMNS($K:M)), 인력관리!$E:$E, $L11)</f>
        <v>0</v>
      </c>
      <c r="P11" s="655">
        <f>SUMIFS(INDEX(인력관리!$K:$AN, , COLUMNS($K:N)), 인력관리!$E:$E, $L11)</f>
        <v>0</v>
      </c>
      <c r="Q11" s="406">
        <f>SUMIFS(INDEX(인력관리!$K:$AN, , COLUMNS($K:O)), 인력관리!$E:$E, $L11)</f>
        <v>0</v>
      </c>
      <c r="R11" s="406">
        <f>SUMIFS(INDEX(인력관리!$K:$AN, , COLUMNS($K:P)), 인력관리!$E:$E, $L11)</f>
        <v>0</v>
      </c>
      <c r="S11" s="406">
        <f>SUMIFS(INDEX(인력관리!$K:$AN, , COLUMNS($K:Q)), 인력관리!$E:$E, $L11)</f>
        <v>0</v>
      </c>
      <c r="T11" s="406">
        <f>SUMIFS(INDEX(인력관리!$K:$AN, , COLUMNS($K:R)), 인력관리!$E:$E, $L11)</f>
        <v>0</v>
      </c>
      <c r="U11" s="406">
        <f>SUMIFS(INDEX(인력관리!$K:$AN, , COLUMNS($K:S)), 인력관리!$E:$E, $L11)</f>
        <v>0</v>
      </c>
      <c r="V11" s="406">
        <f>SUMIFS(INDEX(인력관리!$K:$AN, , COLUMNS($K:T)), 인력관리!$E:$E, $L11)</f>
        <v>0</v>
      </c>
      <c r="W11" s="406">
        <f>SUMIFS(INDEX(인력관리!$K:$AN, , COLUMNS($K:U)), 인력관리!$E:$E, $L11)</f>
        <v>0</v>
      </c>
      <c r="X11" s="406">
        <f>SUMIFS(INDEX(인력관리!$K:$AN, , COLUMNS($K:V)), 인력관리!$E:$E, $L11)</f>
        <v>0</v>
      </c>
      <c r="Y11" s="406">
        <f>SUMIFS(INDEX(인력관리!$K:$AN, , COLUMNS($K:W)), 인력관리!$E:$E, $L11)</f>
        <v>0</v>
      </c>
      <c r="Z11" s="406">
        <f>SUMIFS(INDEX(인력관리!$K:$AN, , COLUMNS($K:X)), 인력관리!$E:$E, $L11)</f>
        <v>0</v>
      </c>
      <c r="AA11" s="406">
        <f>SUMIFS(INDEX(인력관리!$K:$AN, , COLUMNS($K:Y)), 인력관리!$E:$E, $L11)</f>
        <v>0</v>
      </c>
      <c r="AB11" s="406">
        <f>SUMIFS(INDEX(인력관리!$K:$AN, , COLUMNS($K:Z)), 인력관리!$E:$E, $L11)</f>
        <v>0</v>
      </c>
      <c r="AC11" s="406">
        <f>SUMIFS(INDEX(인력관리!$K:$AN, , COLUMNS($K:AA)), 인력관리!$E:$E, $L11)</f>
        <v>0</v>
      </c>
      <c r="AD11" s="406">
        <f>SUMIFS(INDEX(인력관리!$K:$AN, , COLUMNS($K:AB)), 인력관리!$E:$E, $L11)</f>
        <v>0</v>
      </c>
      <c r="AE11" s="406">
        <f>SUMIFS(INDEX(인력관리!$K:$AN, , COLUMNS($K:AC)), 인력관리!$E:$E, $L11)</f>
        <v>0</v>
      </c>
      <c r="AF11" s="406">
        <f>SUMIFS(INDEX(인력관리!$K:$AN, , COLUMNS($K:AD)), 인력관리!$E:$E, $L11)</f>
        <v>0</v>
      </c>
      <c r="AG11" s="406">
        <f>SUMIFS(INDEX(인력관리!$K:$AN, , COLUMNS($K:AE)), 인력관리!$E:$E, $L11)</f>
        <v>0</v>
      </c>
      <c r="AH11" s="406">
        <f>SUMIFS(INDEX(인력관리!$K:$AN, , COLUMNS($K:AF)), 인력관리!$E:$E, $L11)</f>
        <v>0</v>
      </c>
      <c r="AI11" s="406">
        <f>SUMIFS(INDEX(인력관리!$K:$AN, , COLUMNS($K:AG)), 인력관리!$E:$E, $L11)</f>
        <v>0</v>
      </c>
      <c r="AJ11" s="406">
        <f>SUMIFS(INDEX(인력관리!$K:$AN, , COLUMNS($K:AH)), 인력관리!$E:$E, $L11)</f>
        <v>0</v>
      </c>
      <c r="AK11" s="406">
        <f>SUMIFS(INDEX(인력관리!$K:$AN, , COLUMNS($K:AI)), 인력관리!$E:$E, $L11)</f>
        <v>0</v>
      </c>
      <c r="AL11" s="406">
        <f>SUMIFS(INDEX(인력관리!$K:$AN, , COLUMNS($K:AJ)), 인력관리!$E:$E, $L11)</f>
        <v>0</v>
      </c>
      <c r="AM11" s="406">
        <f>SUMIFS(INDEX(인력관리!$K:$AN, , COLUMNS($K:AK)), 인력관리!$E:$E, $L11)</f>
        <v>0</v>
      </c>
      <c r="AN11" s="406">
        <f>SUMIFS(INDEX(인력관리!$K:$AN, , COLUMNS($K:AL)), 인력관리!$E:$E, $L11)</f>
        <v>0</v>
      </c>
      <c r="AO11" s="406">
        <f>SUMIFS(INDEX(인력관리!$K:$AN, , COLUMNS($K:AM)), 인력관리!$E:$E, $L11)</f>
        <v>0</v>
      </c>
      <c r="AP11" s="406">
        <f>SUMIFS(INDEX(인력관리!$K:$AN, , COLUMNS($K:AN)), 인력관리!$E:$E, $L11)</f>
        <v>0</v>
      </c>
      <c r="AQ11" s="755">
        <f t="shared" si="1"/>
        <v>0</v>
      </c>
      <c r="AR11" s="408">
        <f t="shared" si="2"/>
        <v>0</v>
      </c>
      <c r="AS11" s="408">
        <f t="shared" si="3"/>
        <v>0</v>
      </c>
      <c r="AT11" s="414">
        <f t="shared" si="4"/>
        <v>0</v>
      </c>
      <c r="AU11" s="755">
        <v>0</v>
      </c>
      <c r="AV11" s="1578">
        <v>0</v>
      </c>
      <c r="AW11" s="1452">
        <f t="shared" si="5"/>
        <v>0</v>
      </c>
    </row>
    <row r="12" spans="2:50" s="140" customFormat="1" ht="15">
      <c r="B12" s="78">
        <v>8</v>
      </c>
      <c r="C12" s="73" t="s">
        <v>58</v>
      </c>
      <c r="D12" s="149">
        <f>SUMIFS(인력관리!$AO$6:$AO$265,인력관리!$E$6:$E$265,C12,인력관리!$D$6:$D$265,협력사등급별MM!$D$4)</f>
        <v>47.400000000000006</v>
      </c>
      <c r="E12" s="149">
        <f>SUMIFS(인력관리!$AO$6:$AO$265,인력관리!$E$6:$E$265,$C12,인력관리!$D$6:$D$265,협력사등급별MM!$E$4)</f>
        <v>11.7</v>
      </c>
      <c r="F12" s="149">
        <f>SUMIFS(인력관리!$AO$6:$AO$265,인력관리!$E$6:$E$265,$C12,인력관리!$D$6:$D$265,협력사등급별MM!$F$4)</f>
        <v>9</v>
      </c>
      <c r="G12" s="149">
        <f>SUMIFS(인력관리!$AO$6:$AO$265,인력관리!$E$6:$E$265,$C12,인력관리!$D$6:$D$265,협력사등급별MM!$G$4)</f>
        <v>4</v>
      </c>
      <c r="H12" s="230">
        <f t="shared" si="6"/>
        <v>72.100000000000009</v>
      </c>
      <c r="I12" s="141">
        <f t="shared" si="0"/>
        <v>4.0778236525083431E-2</v>
      </c>
      <c r="L12" s="73" t="s">
        <v>58</v>
      </c>
      <c r="M12" s="406">
        <f>SUMIFS(INDEX(인력관리!$K:$AN, , COLUMNS($K:K)), 인력관리!$E:$E, $L12)</f>
        <v>2</v>
      </c>
      <c r="N12" s="406">
        <f>SUMIFS(INDEX(인력관리!$K:$AN, , COLUMNS($K:L)), 인력관리!$E:$E, $L12)</f>
        <v>2</v>
      </c>
      <c r="O12" s="655">
        <f>SUMIFS(INDEX(인력관리!$K:$AN, , COLUMNS($K:M)), 인력관리!$E:$E, $L12)</f>
        <v>3.4000000000000004</v>
      </c>
      <c r="P12" s="655">
        <f>SUMIFS(INDEX(인력관리!$K:$AN, , COLUMNS($K:N)), 인력관리!$E:$E, $L12)</f>
        <v>3.4000000000000004</v>
      </c>
      <c r="Q12" s="406">
        <f>SUMIFS(INDEX(인력관리!$K:$AN, , COLUMNS($K:O)), 인력관리!$E:$E, $L12)</f>
        <v>4</v>
      </c>
      <c r="R12" s="406">
        <f>SUMIFS(INDEX(인력관리!$K:$AN, , COLUMNS($K:P)), 인력관리!$E:$E, $L12)</f>
        <v>4.5</v>
      </c>
      <c r="S12" s="406">
        <f>SUMIFS(INDEX(인력관리!$K:$AN, , COLUMNS($K:Q)), 인력관리!$E:$E, $L12)</f>
        <v>5.4</v>
      </c>
      <c r="T12" s="406">
        <f>SUMIFS(INDEX(인력관리!$K:$AN, , COLUMNS($K:R)), 인력관리!$E:$E, $L12)</f>
        <v>8.4</v>
      </c>
      <c r="U12" s="406">
        <f>SUMIFS(INDEX(인력관리!$K:$AN, , COLUMNS($K:S)), 인력관리!$E:$E, $L12)</f>
        <v>9</v>
      </c>
      <c r="V12" s="406">
        <f>SUMIFS(INDEX(인력관리!$K:$AN, , COLUMNS($K:T)), 인력관리!$E:$E, $L12)</f>
        <v>5.3999999999999995</v>
      </c>
      <c r="W12" s="406">
        <f>SUMIFS(INDEX(인력관리!$K:$AN, , COLUMNS($K:U)), 인력관리!$E:$E, $L12)</f>
        <v>9</v>
      </c>
      <c r="X12" s="406">
        <f>SUMIFS(INDEX(인력관리!$K:$AN, , COLUMNS($K:V)), 인력관리!$E:$E, $L12)</f>
        <v>0</v>
      </c>
      <c r="Y12" s="406">
        <f>SUMIFS(INDEX(인력관리!$K:$AN, , COLUMNS($K:W)), 인력관리!$E:$E, $L12)</f>
        <v>7</v>
      </c>
      <c r="Z12" s="406">
        <f>SUMIFS(INDEX(인력관리!$K:$AN, , COLUMNS($K:X)), 인력관리!$E:$E, $L12)</f>
        <v>0</v>
      </c>
      <c r="AA12" s="406">
        <f>SUMIFS(INDEX(인력관리!$K:$AN, , COLUMNS($K:Y)), 인력관리!$E:$E, $L12)</f>
        <v>7</v>
      </c>
      <c r="AB12" s="406">
        <f>SUMIFS(INDEX(인력관리!$K:$AN, , COLUMNS($K:Z)), 인력관리!$E:$E, $L12)</f>
        <v>0</v>
      </c>
      <c r="AC12" s="406">
        <f>SUMIFS(INDEX(인력관리!$K:$AN, , COLUMNS($K:AA)), 인력관리!$E:$E, $L12)</f>
        <v>6.5</v>
      </c>
      <c r="AD12" s="406">
        <f>SUMIFS(INDEX(인력관리!$K:$AN, , COLUMNS($K:AB)), 인력관리!$E:$E, $L12)</f>
        <v>0</v>
      </c>
      <c r="AE12" s="406">
        <f>SUMIFS(INDEX(인력관리!$K:$AN, , COLUMNS($K:AC)), 인력관리!$E:$E, $L12)</f>
        <v>6</v>
      </c>
      <c r="AF12" s="406">
        <f>SUMIFS(INDEX(인력관리!$K:$AN, , COLUMNS($K:AD)), 인력관리!$E:$E, $L12)</f>
        <v>0</v>
      </c>
      <c r="AG12" s="406">
        <f>SUMIFS(INDEX(인력관리!$K:$AN, , COLUMNS($K:AE)), 인력관리!$E:$E, $L12)</f>
        <v>6</v>
      </c>
      <c r="AH12" s="406">
        <f>SUMIFS(INDEX(인력관리!$K:$AN, , COLUMNS($K:AF)), 인력관리!$E:$E, $L12)</f>
        <v>0</v>
      </c>
      <c r="AI12" s="406">
        <f>SUMIFS(INDEX(인력관리!$K:$AN, , COLUMNS($K:AG)), 인력관리!$E:$E, $L12)</f>
        <v>3</v>
      </c>
      <c r="AJ12" s="406">
        <f>SUMIFS(INDEX(인력관리!$K:$AN, , COLUMNS($K:AH)), 인력관리!$E:$E, $L12)</f>
        <v>0</v>
      </c>
      <c r="AK12" s="406">
        <f>SUMIFS(INDEX(인력관리!$K:$AN, , COLUMNS($K:AI)), 인력관리!$E:$E, $L12)</f>
        <v>2.2999999999999998</v>
      </c>
      <c r="AL12" s="406">
        <f>SUMIFS(INDEX(인력관리!$K:$AN, , COLUMNS($K:AJ)), 인력관리!$E:$E, $L12)</f>
        <v>0</v>
      </c>
      <c r="AM12" s="406">
        <f>SUMIFS(INDEX(인력관리!$K:$AN, , COLUMNS($K:AK)), 인력관리!$E:$E, $L12)</f>
        <v>1</v>
      </c>
      <c r="AN12" s="406">
        <f>SUMIFS(INDEX(인력관리!$K:$AN, , COLUMNS($K:AL)), 인력관리!$E:$E, $L12)</f>
        <v>0</v>
      </c>
      <c r="AO12" s="406">
        <f>SUMIFS(INDEX(인력관리!$K:$AN, , COLUMNS($K:AM)), 인력관리!$E:$E, $L12)</f>
        <v>0.5</v>
      </c>
      <c r="AP12" s="406">
        <f>SUMIFS(INDEX(인력관리!$K:$AN, , COLUMNS($K:AN)), 인력관리!$E:$E, $L12)</f>
        <v>0</v>
      </c>
      <c r="AQ12" s="755">
        <f t="shared" si="1"/>
        <v>72.099999999999994</v>
      </c>
      <c r="AR12" s="408">
        <f t="shared" si="2"/>
        <v>23.7</v>
      </c>
      <c r="AS12" s="408">
        <f t="shared" si="3"/>
        <v>-48.399999999999991</v>
      </c>
      <c r="AT12" s="414">
        <f t="shared" si="4"/>
        <v>0</v>
      </c>
      <c r="AU12" s="755">
        <v>72.099999999999994</v>
      </c>
      <c r="AV12" s="1578">
        <v>98</v>
      </c>
      <c r="AW12" s="1452">
        <f t="shared" si="5"/>
        <v>-25.900000000000006</v>
      </c>
      <c r="AX12" s="1454" t="s">
        <v>698</v>
      </c>
    </row>
    <row r="13" spans="2:50" s="140" customFormat="1" ht="15">
      <c r="B13" s="78">
        <v>9</v>
      </c>
      <c r="C13" s="73" t="s">
        <v>40</v>
      </c>
      <c r="D13" s="149">
        <f>SUMIFS(인력관리!$AO$6:$AO$265,인력관리!$E$6:$E$265,C13,인력관리!$D$6:$D$265,협력사등급별MM!$D$4)</f>
        <v>24.5</v>
      </c>
      <c r="E13" s="149">
        <f>SUMIFS(인력관리!$AO$6:$AO$265,인력관리!$E$6:$E$265,$C13,인력관리!$D$6:$D$265,협력사등급별MM!$E$4)</f>
        <v>143.5</v>
      </c>
      <c r="F13" s="149">
        <f>SUMIFS(인력관리!$AO$6:$AO$265,인력관리!$E$6:$E$265,$C13,인력관리!$D$6:$D$265,협력사등급별MM!$F$4)</f>
        <v>23.8</v>
      </c>
      <c r="G13" s="149">
        <f>SUMIFS(인력관리!$AO$6:$AO$265,인력관리!$E$6:$E$265,$C13,인력관리!$D$6:$D$265,협력사등급별MM!$G$4)</f>
        <v>4</v>
      </c>
      <c r="H13" s="230">
        <f t="shared" si="6"/>
        <v>195.8</v>
      </c>
      <c r="I13" s="141">
        <f t="shared" si="0"/>
        <v>0.11074034274079522</v>
      </c>
      <c r="L13" s="73" t="s">
        <v>40</v>
      </c>
      <c r="M13" s="406">
        <f>SUMIFS(INDEX(인력관리!$K:$AN, , COLUMNS($K:K)), 인력관리!$E:$E, $L13)</f>
        <v>2.75</v>
      </c>
      <c r="N13" s="406">
        <f>SUMIFS(INDEX(인력관리!$K:$AN, , COLUMNS($K:L)), 인력관리!$E:$E, $L13)</f>
        <v>2.75</v>
      </c>
      <c r="O13" s="655">
        <f>SUMIFS(INDEX(인력관리!$K:$AN, , COLUMNS($K:M)), 인력관리!$E:$E, $L13)</f>
        <v>7.45</v>
      </c>
      <c r="P13" s="655">
        <f>SUMIFS(INDEX(인력관리!$K:$AN, , COLUMNS($K:N)), 인력관리!$E:$E, $L13)</f>
        <v>6.3999999999999995</v>
      </c>
      <c r="Q13" s="406">
        <f>SUMIFS(INDEX(인력관리!$K:$AN, , COLUMNS($K:O)), 인력관리!$E:$E, $L13)</f>
        <v>11.350000000000001</v>
      </c>
      <c r="R13" s="406">
        <f>SUMIFS(INDEX(인력관리!$K:$AN, , COLUMNS($K:P)), 인력관리!$E:$E, $L13)</f>
        <v>12.3</v>
      </c>
      <c r="S13" s="406">
        <f>SUMIFS(INDEX(인력관리!$K:$AN, , COLUMNS($K:Q)), 인력관리!$E:$E, $L13)</f>
        <v>17.05</v>
      </c>
      <c r="T13" s="406">
        <f>SUMIFS(INDEX(인력관리!$K:$AN, , COLUMNS($K:R)), 인력관리!$E:$E, $L13)</f>
        <v>18.100000000000001</v>
      </c>
      <c r="U13" s="406">
        <f>SUMIFS(INDEX(인력관리!$K:$AN, , COLUMNS($K:S)), 인력관리!$E:$E, $L13)</f>
        <v>16.5</v>
      </c>
      <c r="V13" s="406">
        <f>SUMIFS(INDEX(인력관리!$K:$AN, , COLUMNS($K:T)), 인력관리!$E:$E, $L13)</f>
        <v>10.199999999999998</v>
      </c>
      <c r="W13" s="406">
        <f>SUMIFS(INDEX(인력관리!$K:$AN, , COLUMNS($K:U)), 인력관리!$E:$E, $L13)</f>
        <v>22</v>
      </c>
      <c r="X13" s="406">
        <f>SUMIFS(INDEX(인력관리!$K:$AN, , COLUMNS($K:V)), 인력관리!$E:$E, $L13)</f>
        <v>0</v>
      </c>
      <c r="Y13" s="406">
        <f>SUMIFS(INDEX(인력관리!$K:$AN, , COLUMNS($K:W)), 인력관리!$E:$E, $L13)</f>
        <v>21</v>
      </c>
      <c r="Z13" s="406">
        <f>SUMIFS(INDEX(인력관리!$K:$AN, , COLUMNS($K:X)), 인력관리!$E:$E, $L13)</f>
        <v>0</v>
      </c>
      <c r="AA13" s="406">
        <f>SUMIFS(INDEX(인력관리!$K:$AN, , COLUMNS($K:Y)), 인력관리!$E:$E, $L13)</f>
        <v>17.95</v>
      </c>
      <c r="AB13" s="406">
        <f>SUMIFS(INDEX(인력관리!$K:$AN, , COLUMNS($K:Z)), 인력관리!$E:$E, $L13)</f>
        <v>0</v>
      </c>
      <c r="AC13" s="406">
        <f>SUMIFS(INDEX(인력관리!$K:$AN, , COLUMNS($K:AA)), 인력관리!$E:$E, $L13)</f>
        <v>17</v>
      </c>
      <c r="AD13" s="406">
        <f>SUMIFS(INDEX(인력관리!$K:$AN, , COLUMNS($K:AB)), 인력관리!$E:$E, $L13)</f>
        <v>0</v>
      </c>
      <c r="AE13" s="406">
        <f>SUMIFS(INDEX(인력관리!$K:$AN, , COLUMNS($K:AC)), 인력관리!$E:$E, $L13)</f>
        <v>17</v>
      </c>
      <c r="AF13" s="406">
        <f>SUMIFS(INDEX(인력관리!$K:$AN, , COLUMNS($K:AD)), 인력관리!$E:$E, $L13)</f>
        <v>0</v>
      </c>
      <c r="AG13" s="406">
        <f>SUMIFS(INDEX(인력관리!$K:$AN, , COLUMNS($K:AE)), 인력관리!$E:$E, $L13)</f>
        <v>18</v>
      </c>
      <c r="AH13" s="406">
        <f>SUMIFS(INDEX(인력관리!$K:$AN, , COLUMNS($K:AF)), 인력관리!$E:$E, $L13)</f>
        <v>0</v>
      </c>
      <c r="AI13" s="406">
        <f>SUMIFS(INDEX(인력관리!$K:$AN, , COLUMNS($K:AG)), 인력관리!$E:$E, $L13)</f>
        <v>17.5</v>
      </c>
      <c r="AJ13" s="406">
        <f>SUMIFS(INDEX(인력관리!$K:$AN, , COLUMNS($K:AH)), 인력관리!$E:$E, $L13)</f>
        <v>0</v>
      </c>
      <c r="AK13" s="406">
        <f>SUMIFS(INDEX(인력관리!$K:$AN, , COLUMNS($K:AI)), 인력관리!$E:$E, $L13)</f>
        <v>15</v>
      </c>
      <c r="AL13" s="406">
        <f>SUMIFS(INDEX(인력관리!$K:$AN, , COLUMNS($K:AJ)), 인력관리!$E:$E, $L13)</f>
        <v>0</v>
      </c>
      <c r="AM13" s="406">
        <f>SUMIFS(INDEX(인력관리!$K:$AN, , COLUMNS($K:AK)), 인력관리!$E:$E, $L13)</f>
        <v>6.25</v>
      </c>
      <c r="AN13" s="406">
        <f>SUMIFS(INDEX(인력관리!$K:$AN, , COLUMNS($K:AL)), 인력관리!$E:$E, $L13)</f>
        <v>0</v>
      </c>
      <c r="AO13" s="406">
        <f>SUMIFS(INDEX(인력관리!$K:$AN, , COLUMNS($K:AM)), 인력관리!$E:$E, $L13)</f>
        <v>0</v>
      </c>
      <c r="AP13" s="406">
        <f>SUMIFS(INDEX(인력관리!$K:$AN, , COLUMNS($K:AN)), 인력관리!$E:$E, $L13)</f>
        <v>0</v>
      </c>
      <c r="AQ13" s="755">
        <f t="shared" si="1"/>
        <v>206.8</v>
      </c>
      <c r="AR13" s="408">
        <f t="shared" si="2"/>
        <v>49.749999999999993</v>
      </c>
      <c r="AS13" s="408">
        <f t="shared" si="3"/>
        <v>-157.05000000000001</v>
      </c>
      <c r="AT13" s="414">
        <f t="shared" si="4"/>
        <v>-11</v>
      </c>
      <c r="AU13" s="755">
        <v>206.8</v>
      </c>
      <c r="AV13" s="1578">
        <v>206</v>
      </c>
      <c r="AW13" s="1452">
        <f t="shared" si="5"/>
        <v>0.80000000000001137</v>
      </c>
    </row>
    <row r="14" spans="2:50" s="140" customFormat="1" ht="15">
      <c r="B14" s="78">
        <v>10</v>
      </c>
      <c r="C14" s="73" t="s">
        <v>59</v>
      </c>
      <c r="D14" s="149">
        <f>SUMIFS(인력관리!$AO$6:$AO$265,인력관리!$E$6:$E$265,C14,인력관리!$D$6:$D$265,협력사등급별MM!$D$4)</f>
        <v>30</v>
      </c>
      <c r="E14" s="149">
        <f>SUMIFS(인력관리!$AO$6:$AO$265,인력관리!$E$6:$E$265,$C14,인력관리!$D$6:$D$265,협력사등급별MM!$E$4)</f>
        <v>52</v>
      </c>
      <c r="F14" s="149">
        <f>SUMIFS(인력관리!$AO$6:$AO$265,인력관리!$E$6:$E$265,$C14,인력관리!$D$6:$D$265,협력사등급별MM!$F$4)</f>
        <v>26</v>
      </c>
      <c r="G14" s="149">
        <f>SUMIFS(인력관리!$AO$6:$AO$265,인력관리!$E$6:$E$265,$C14,인력관리!$D$6:$D$265,협력사등급별MM!$G$4)</f>
        <v>0</v>
      </c>
      <c r="H14" s="230">
        <f t="shared" si="6"/>
        <v>108</v>
      </c>
      <c r="I14" s="141">
        <f t="shared" si="0"/>
        <v>6.1082517957129122E-2</v>
      </c>
      <c r="L14" s="73" t="s">
        <v>59</v>
      </c>
      <c r="M14" s="406">
        <f>SUMIFS(INDEX(인력관리!$K:$AN, , COLUMNS($K:K)), 인력관리!$E:$E, $L14)</f>
        <v>4</v>
      </c>
      <c r="N14" s="406">
        <f>SUMIFS(INDEX(인력관리!$K:$AN, , COLUMNS($K:L)), 인력관리!$E:$E, $L14)</f>
        <v>4</v>
      </c>
      <c r="O14" s="655">
        <f>SUMIFS(INDEX(인력관리!$K:$AN, , COLUMNS($K:M)), 인력관리!$E:$E, $L14)</f>
        <v>5</v>
      </c>
      <c r="P14" s="655">
        <f>SUMIFS(INDEX(인력관리!$K:$AN, , COLUMNS($K:N)), 인력관리!$E:$E, $L14)</f>
        <v>5</v>
      </c>
      <c r="Q14" s="406">
        <f>SUMIFS(INDEX(인력관리!$K:$AN, , COLUMNS($K:O)), 인력관리!$E:$E, $L14)</f>
        <v>6</v>
      </c>
      <c r="R14" s="406">
        <f>SUMIFS(INDEX(인력관리!$K:$AN, , COLUMNS($K:P)), 인력관리!$E:$E, $L14)</f>
        <v>5.05</v>
      </c>
      <c r="S14" s="406">
        <f>SUMIFS(INDEX(인력관리!$K:$AN, , COLUMNS($K:Q)), 인력관리!$E:$E, $L14)</f>
        <v>7</v>
      </c>
      <c r="T14" s="406">
        <f>SUMIFS(INDEX(인력관리!$K:$AN, , COLUMNS($K:R)), 인력관리!$E:$E, $L14)</f>
        <v>7</v>
      </c>
      <c r="U14" s="406">
        <f>SUMIFS(INDEX(인력관리!$K:$AN, , COLUMNS($K:S)), 인력관리!$E:$E, $L14)</f>
        <v>9.5</v>
      </c>
      <c r="V14" s="406">
        <f>SUMIFS(INDEX(인력관리!$K:$AN, , COLUMNS($K:T)), 인력관리!$E:$E, $L14)</f>
        <v>5.3999999999999995</v>
      </c>
      <c r="W14" s="406">
        <f>SUMIFS(INDEX(인력관리!$K:$AN, , COLUMNS($K:U)), 인력관리!$E:$E, $L14)</f>
        <v>10</v>
      </c>
      <c r="X14" s="406">
        <f>SUMIFS(INDEX(인력관리!$K:$AN, , COLUMNS($K:V)), 인력관리!$E:$E, $L14)</f>
        <v>0</v>
      </c>
      <c r="Y14" s="406">
        <f>SUMIFS(INDEX(인력관리!$K:$AN, , COLUMNS($K:W)), 인력관리!$E:$E, $L14)</f>
        <v>10</v>
      </c>
      <c r="Z14" s="406">
        <f>SUMIFS(INDEX(인력관리!$K:$AN, , COLUMNS($K:X)), 인력관리!$E:$E, $L14)</f>
        <v>0</v>
      </c>
      <c r="AA14" s="406">
        <f>SUMIFS(INDEX(인력관리!$K:$AN, , COLUMNS($K:Y)), 인력관리!$E:$E, $L14)</f>
        <v>10</v>
      </c>
      <c r="AB14" s="406">
        <f>SUMIFS(INDEX(인력관리!$K:$AN, , COLUMNS($K:Z)), 인력관리!$E:$E, $L14)</f>
        <v>0</v>
      </c>
      <c r="AC14" s="406">
        <f>SUMIFS(INDEX(인력관리!$K:$AN, , COLUMNS($K:AA)), 인력관리!$E:$E, $L14)</f>
        <v>10</v>
      </c>
      <c r="AD14" s="406">
        <f>SUMIFS(INDEX(인력관리!$K:$AN, , COLUMNS($K:AB)), 인력관리!$E:$E, $L14)</f>
        <v>0</v>
      </c>
      <c r="AE14" s="406">
        <f>SUMIFS(INDEX(인력관리!$K:$AN, , COLUMNS($K:AC)), 인력관리!$E:$E, $L14)</f>
        <v>9.5</v>
      </c>
      <c r="AF14" s="406">
        <f>SUMIFS(INDEX(인력관리!$K:$AN, , COLUMNS($K:AD)), 인력관리!$E:$E, $L14)</f>
        <v>0</v>
      </c>
      <c r="AG14" s="406">
        <f>SUMIFS(INDEX(인력관리!$K:$AN, , COLUMNS($K:AE)), 인력관리!$E:$E, $L14)</f>
        <v>7</v>
      </c>
      <c r="AH14" s="406">
        <f>SUMIFS(INDEX(인력관리!$K:$AN, , COLUMNS($K:AF)), 인력관리!$E:$E, $L14)</f>
        <v>0</v>
      </c>
      <c r="AI14" s="406">
        <f>SUMIFS(INDEX(인력관리!$K:$AN, , COLUMNS($K:AG)), 인력관리!$E:$E, $L14)</f>
        <v>6</v>
      </c>
      <c r="AJ14" s="406">
        <f>SUMIFS(INDEX(인력관리!$K:$AN, , COLUMNS($K:AH)), 인력관리!$E:$E, $L14)</f>
        <v>0</v>
      </c>
      <c r="AK14" s="406">
        <f>SUMIFS(INDEX(인력관리!$K:$AN, , COLUMNS($K:AI)), 인력관리!$E:$E, $L14)</f>
        <v>6</v>
      </c>
      <c r="AL14" s="406">
        <f>SUMIFS(INDEX(인력관리!$K:$AN, , COLUMNS($K:AJ)), 인력관리!$E:$E, $L14)</f>
        <v>0</v>
      </c>
      <c r="AM14" s="406">
        <f>SUMIFS(INDEX(인력관리!$K:$AN, , COLUMNS($K:AK)), 인력관리!$E:$E, $L14)</f>
        <v>4</v>
      </c>
      <c r="AN14" s="406">
        <f>SUMIFS(INDEX(인력관리!$K:$AN, , COLUMNS($K:AL)), 인력관리!$E:$E, $L14)</f>
        <v>0</v>
      </c>
      <c r="AO14" s="406">
        <f>SUMIFS(INDEX(인력관리!$K:$AN, , COLUMNS($K:AM)), 인력관리!$E:$E, $L14)</f>
        <v>4</v>
      </c>
      <c r="AP14" s="406">
        <f>SUMIFS(INDEX(인력관리!$K:$AN, , COLUMNS($K:AN)), 인력관리!$E:$E, $L14)</f>
        <v>0</v>
      </c>
      <c r="AQ14" s="755">
        <f t="shared" si="1"/>
        <v>108</v>
      </c>
      <c r="AR14" s="408">
        <f t="shared" si="2"/>
        <v>26.45</v>
      </c>
      <c r="AS14" s="408">
        <f t="shared" si="3"/>
        <v>-81.55</v>
      </c>
      <c r="AT14" s="414">
        <f t="shared" si="4"/>
        <v>0</v>
      </c>
      <c r="AU14" s="755">
        <v>108</v>
      </c>
      <c r="AV14" s="1578">
        <v>108</v>
      </c>
      <c r="AW14" s="1452">
        <f t="shared" si="5"/>
        <v>0</v>
      </c>
    </row>
    <row r="15" spans="2:50" s="140" customFormat="1" ht="17.5" customHeight="1">
      <c r="B15" s="78">
        <v>11</v>
      </c>
      <c r="C15" s="114" t="s">
        <v>60</v>
      </c>
      <c r="D15" s="149">
        <f>SUMIFS(인력관리!$AO$6:$AO$265,인력관리!$E$6:$E$265,C15,인력관리!$D$6:$D$265,협력사등급별MM!$D$4)</f>
        <v>26</v>
      </c>
      <c r="E15" s="149">
        <f>SUMIFS(인력관리!$AO$6:$AO$265,인력관리!$E$6:$E$265,$C15,인력관리!$D$6:$D$265,협력사등급별MM!$E$4)</f>
        <v>46</v>
      </c>
      <c r="F15" s="149">
        <f>SUMIFS(인력관리!$AO$6:$AO$265,인력관리!$E$6:$E$265,$C15,인력관리!$D$6:$D$265,협력사등급별MM!$F$4)</f>
        <v>0</v>
      </c>
      <c r="G15" s="149">
        <f>SUMIFS(인력관리!$AO$6:$AO$265,인력관리!$E$6:$E$265,$C15,인력관리!$D$6:$D$265,협력사등급별MM!$G$4)</f>
        <v>8</v>
      </c>
      <c r="H15" s="230">
        <f t="shared" si="6"/>
        <v>80</v>
      </c>
      <c r="I15" s="141">
        <f t="shared" si="0"/>
        <v>4.5246309597873423E-2</v>
      </c>
      <c r="L15" s="109" t="s">
        <v>60</v>
      </c>
      <c r="M15" s="406">
        <f>SUMIFS(INDEX(인력관리!$K:$AN, , COLUMNS($K:K)), 인력관리!$E:$E, $L15)</f>
        <v>0</v>
      </c>
      <c r="N15" s="406">
        <f>SUMIFS(INDEX(인력관리!$K:$AN, , COLUMNS($K:L)), 인력관리!$E:$E, $L15)</f>
        <v>0</v>
      </c>
      <c r="O15" s="655">
        <f>SUMIFS(INDEX(인력관리!$K:$AN, , COLUMNS($K:M)), 인력관리!$E:$E, $L15)</f>
        <v>0.4</v>
      </c>
      <c r="P15" s="655">
        <f>SUMIFS(INDEX(인력관리!$K:$AN, , COLUMNS($K:N)), 인력관리!$E:$E, $L15)</f>
        <v>0.4</v>
      </c>
      <c r="Q15" s="406">
        <f>SUMIFS(INDEX(인력관리!$K:$AN, , COLUMNS($K:O)), 인력관리!$E:$E, $L15)</f>
        <v>0.4</v>
      </c>
      <c r="R15" s="406">
        <f>SUMIFS(INDEX(인력관리!$K:$AN, , COLUMNS($K:P)), 인력관리!$E:$E, $L15)</f>
        <v>0.4</v>
      </c>
      <c r="S15" s="406">
        <f>SUMIFS(INDEX(인력관리!$K:$AN, , COLUMNS($K:Q)), 인력관리!$E:$E, $L15)</f>
        <v>0.4</v>
      </c>
      <c r="T15" s="406">
        <f>SUMIFS(INDEX(인력관리!$K:$AN, , COLUMNS($K:R)), 인력관리!$E:$E, $L15)</f>
        <v>0.4</v>
      </c>
      <c r="U15" s="406">
        <f>SUMIFS(INDEX(인력관리!$K:$AN, , COLUMNS($K:S)), 인력관리!$E:$E, $L15)</f>
        <v>0.4</v>
      </c>
      <c r="V15" s="406">
        <f>SUMIFS(INDEX(인력관리!$K:$AN, , COLUMNS($K:T)), 인력관리!$E:$E, $L15)</f>
        <v>0</v>
      </c>
      <c r="W15" s="406">
        <f>SUMIFS(INDEX(인력관리!$K:$AN, , COLUMNS($K:U)), 인력관리!$E:$E, $L15)</f>
        <v>0.4</v>
      </c>
      <c r="X15" s="406">
        <f>SUMIFS(INDEX(인력관리!$K:$AN, , COLUMNS($K:V)), 인력관리!$E:$E, $L15)</f>
        <v>0</v>
      </c>
      <c r="Y15" s="406">
        <f>SUMIFS(INDEX(인력관리!$K:$AN, , COLUMNS($K:W)), 인력관리!$E:$E, $L15)</f>
        <v>6</v>
      </c>
      <c r="Z15" s="406">
        <f>SUMIFS(INDEX(인력관리!$K:$AN, , COLUMNS($K:X)), 인력관리!$E:$E, $L15)</f>
        <v>0</v>
      </c>
      <c r="AA15" s="406">
        <f>SUMIFS(INDEX(인력관리!$K:$AN, , COLUMNS($K:Y)), 인력관리!$E:$E, $L15)</f>
        <v>11</v>
      </c>
      <c r="AB15" s="406">
        <f>SUMIFS(INDEX(인력관리!$K:$AN, , COLUMNS($K:Z)), 인력관리!$E:$E, $L15)</f>
        <v>0</v>
      </c>
      <c r="AC15" s="406">
        <f>SUMIFS(INDEX(인력관리!$K:$AN, , COLUMNS($K:AA)), 인력관리!$E:$E, $L15)</f>
        <v>11</v>
      </c>
      <c r="AD15" s="406">
        <f>SUMIFS(INDEX(인력관리!$K:$AN, , COLUMNS($K:AB)), 인력관리!$E:$E, $L15)</f>
        <v>0</v>
      </c>
      <c r="AE15" s="406">
        <f>SUMIFS(INDEX(인력관리!$K:$AN, , COLUMNS($K:AC)), 인력관리!$E:$E, $L15)</f>
        <v>10</v>
      </c>
      <c r="AF15" s="406">
        <f>SUMIFS(INDEX(인력관리!$K:$AN, , COLUMNS($K:AD)), 인력관리!$E:$E, $L15)</f>
        <v>0</v>
      </c>
      <c r="AG15" s="406">
        <f>SUMIFS(INDEX(인력관리!$K:$AN, , COLUMNS($K:AE)), 인력관리!$E:$E, $L15)</f>
        <v>10</v>
      </c>
      <c r="AH15" s="406">
        <f>SUMIFS(INDEX(인력관리!$K:$AN, , COLUMNS($K:AF)), 인력관리!$E:$E, $L15)</f>
        <v>0</v>
      </c>
      <c r="AI15" s="406">
        <f>SUMIFS(INDEX(인력관리!$K:$AN, , COLUMNS($K:AG)), 인력관리!$E:$E, $L15)</f>
        <v>10</v>
      </c>
      <c r="AJ15" s="406">
        <f>SUMIFS(INDEX(인력관리!$K:$AN, , COLUMNS($K:AH)), 인력관리!$E:$E, $L15)</f>
        <v>0</v>
      </c>
      <c r="AK15" s="406">
        <f>SUMIFS(INDEX(인력관리!$K:$AN, , COLUMNS($K:AI)), 인력관리!$E:$E, $L15)</f>
        <v>10</v>
      </c>
      <c r="AL15" s="406">
        <f>SUMIFS(INDEX(인력관리!$K:$AN, , COLUMNS($K:AJ)), 인력관리!$E:$E, $L15)</f>
        <v>0</v>
      </c>
      <c r="AM15" s="406">
        <f>SUMIFS(INDEX(인력관리!$K:$AN, , COLUMNS($K:AK)), 인력관리!$E:$E, $L15)</f>
        <v>10</v>
      </c>
      <c r="AN15" s="406">
        <f>SUMIFS(INDEX(인력관리!$K:$AN, , COLUMNS($K:AL)), 인력관리!$E:$E, $L15)</f>
        <v>0</v>
      </c>
      <c r="AO15" s="406">
        <f>SUMIFS(INDEX(인력관리!$K:$AN, , COLUMNS($K:AM)), 인력관리!$E:$E, $L15)</f>
        <v>0</v>
      </c>
      <c r="AP15" s="406">
        <f>SUMIFS(INDEX(인력관리!$K:$AN, , COLUMNS($K:AN)), 인력관리!$E:$E, $L15)</f>
        <v>0</v>
      </c>
      <c r="AQ15" s="755">
        <f t="shared" si="1"/>
        <v>80</v>
      </c>
      <c r="AR15" s="408">
        <f t="shared" si="2"/>
        <v>1.2000000000000002</v>
      </c>
      <c r="AS15" s="408">
        <f t="shared" si="3"/>
        <v>-78.8</v>
      </c>
      <c r="AT15" s="414">
        <f t="shared" si="4"/>
        <v>0</v>
      </c>
      <c r="AU15" s="755">
        <v>80</v>
      </c>
      <c r="AV15" s="1578">
        <v>80</v>
      </c>
      <c r="AW15" s="1452">
        <f t="shared" si="5"/>
        <v>0</v>
      </c>
    </row>
    <row r="16" spans="2:50" s="140" customFormat="1" ht="15">
      <c r="B16" s="78">
        <v>12</v>
      </c>
      <c r="C16" s="229" t="s">
        <v>41</v>
      </c>
      <c r="D16" s="149">
        <f>SUMIFS(인력관리!$AO$6:$AO$265,인력관리!$E$6:$E$265,C16,인력관리!$D$6:$D$265,협력사등급별MM!$D$4)</f>
        <v>0</v>
      </c>
      <c r="E16" s="149">
        <f>SUMIFS(인력관리!$AO$6:$AO$265,인력관리!$E$6:$E$265,$C16,인력관리!$D$6:$D$265,협력사등급별MM!$E$4)</f>
        <v>0</v>
      </c>
      <c r="F16" s="149">
        <f>SUMIFS(인력관리!$AO$6:$AO$265,인력관리!$E$6:$E$265,$C16,인력관리!$D$6:$D$265,협력사등급별MM!$F$4)</f>
        <v>6.3</v>
      </c>
      <c r="G16" s="149">
        <f>SUMIFS(인력관리!$AO$6:$AO$265,인력관리!$E$6:$E$265,$C16,인력관리!$D$6:$D$265,협력사등급별MM!$G$4)</f>
        <v>0</v>
      </c>
      <c r="H16" s="230">
        <f t="shared" si="6"/>
        <v>6.3</v>
      </c>
      <c r="I16" s="141">
        <f t="shared" si="0"/>
        <v>3.563146880832532E-3</v>
      </c>
      <c r="L16" s="229" t="s">
        <v>41</v>
      </c>
      <c r="M16" s="406">
        <f>SUMIFS(INDEX(인력관리!$K:$AN, , COLUMNS($K:K)), 인력관리!$E:$E, $L16)</f>
        <v>0</v>
      </c>
      <c r="N16" s="406">
        <f>SUMIFS(INDEX(인력관리!$K:$AN, , COLUMNS($K:L)), 인력관리!$E:$E, $L16)</f>
        <v>0</v>
      </c>
      <c r="O16" s="655">
        <f>SUMIFS(INDEX(인력관리!$K:$AN, , COLUMNS($K:M)), 인력관리!$E:$E, $L16)</f>
        <v>0</v>
      </c>
      <c r="P16" s="655">
        <f>SUMIFS(INDEX(인력관리!$K:$AN, , COLUMNS($K:N)), 인력관리!$E:$E, $L16)</f>
        <v>0</v>
      </c>
      <c r="Q16" s="406">
        <f>SUMIFS(INDEX(인력관리!$K:$AN, , COLUMNS($K:O)), 인력관리!$E:$E, $L16)</f>
        <v>0</v>
      </c>
      <c r="R16" s="406">
        <f>SUMIFS(INDEX(인력관리!$K:$AN, , COLUMNS($K:P)), 인력관리!$E:$E, $L16)</f>
        <v>0</v>
      </c>
      <c r="S16" s="406">
        <f>SUMIFS(INDEX(인력관리!$K:$AN, , COLUMNS($K:Q)), 인력관리!$E:$E, $L16)</f>
        <v>0</v>
      </c>
      <c r="T16" s="406">
        <f>SUMIFS(INDEX(인력관리!$K:$AN, , COLUMNS($K:R)), 인력관리!$E:$E, $L16)</f>
        <v>0</v>
      </c>
      <c r="U16" s="406">
        <f>SUMIFS(INDEX(인력관리!$K:$AN, , COLUMNS($K:S)), 인력관리!$E:$E, $L16)</f>
        <v>0</v>
      </c>
      <c r="V16" s="406">
        <f>SUMIFS(INDEX(인력관리!$K:$AN, , COLUMNS($K:T)), 인력관리!$E:$E, $L16)</f>
        <v>0</v>
      </c>
      <c r="W16" s="406">
        <f>SUMIFS(INDEX(인력관리!$K:$AN, , COLUMNS($K:U)), 인력관리!$E:$E, $L16)</f>
        <v>1</v>
      </c>
      <c r="X16" s="406">
        <f>SUMIFS(INDEX(인력관리!$K:$AN, , COLUMNS($K:V)), 인력관리!$E:$E, $L16)</f>
        <v>0</v>
      </c>
      <c r="Y16" s="406">
        <f>SUMIFS(INDEX(인력관리!$K:$AN, , COLUMNS($K:W)), 인력관리!$E:$E, $L16)</f>
        <v>1</v>
      </c>
      <c r="Z16" s="406">
        <f>SUMIFS(INDEX(인력관리!$K:$AN, , COLUMNS($K:X)), 인력관리!$E:$E, $L16)</f>
        <v>0</v>
      </c>
      <c r="AA16" s="406">
        <f>SUMIFS(INDEX(인력관리!$K:$AN, , COLUMNS($K:Y)), 인력관리!$E:$E, $L16)</f>
        <v>1</v>
      </c>
      <c r="AB16" s="406">
        <f>SUMIFS(INDEX(인력관리!$K:$AN, , COLUMNS($K:Z)), 인력관리!$E:$E, $L16)</f>
        <v>0</v>
      </c>
      <c r="AC16" s="406">
        <f>SUMIFS(INDEX(인력관리!$K:$AN, , COLUMNS($K:AA)), 인력관리!$E:$E, $L16)</f>
        <v>1</v>
      </c>
      <c r="AD16" s="406">
        <f>SUMIFS(INDEX(인력관리!$K:$AN, , COLUMNS($K:AB)), 인력관리!$E:$E, $L16)</f>
        <v>0</v>
      </c>
      <c r="AE16" s="406">
        <f>SUMIFS(INDEX(인력관리!$K:$AN, , COLUMNS($K:AC)), 인력관리!$E:$E, $L16)</f>
        <v>1</v>
      </c>
      <c r="AF16" s="406">
        <f>SUMIFS(INDEX(인력관리!$K:$AN, , COLUMNS($K:AD)), 인력관리!$E:$E, $L16)</f>
        <v>0</v>
      </c>
      <c r="AG16" s="406">
        <f>SUMIFS(INDEX(인력관리!$K:$AN, , COLUMNS($K:AE)), 인력관리!$E:$E, $L16)</f>
        <v>1</v>
      </c>
      <c r="AH16" s="406">
        <f>SUMIFS(INDEX(인력관리!$K:$AN, , COLUMNS($K:AF)), 인력관리!$E:$E, $L16)</f>
        <v>0</v>
      </c>
      <c r="AI16" s="406">
        <f>SUMIFS(INDEX(인력관리!$K:$AN, , COLUMNS($K:AG)), 인력관리!$E:$E, $L16)</f>
        <v>0.3</v>
      </c>
      <c r="AJ16" s="406">
        <f>SUMIFS(INDEX(인력관리!$K:$AN, , COLUMNS($K:AH)), 인력관리!$E:$E, $L16)</f>
        <v>0</v>
      </c>
      <c r="AK16" s="406">
        <f>SUMIFS(INDEX(인력관리!$K:$AN, , COLUMNS($K:AI)), 인력관리!$E:$E, $L16)</f>
        <v>0</v>
      </c>
      <c r="AL16" s="406">
        <f>SUMIFS(INDEX(인력관리!$K:$AN, , COLUMNS($K:AJ)), 인력관리!$E:$E, $L16)</f>
        <v>0</v>
      </c>
      <c r="AM16" s="406">
        <f>SUMIFS(INDEX(인력관리!$K:$AN, , COLUMNS($K:AK)), 인력관리!$E:$E, $L16)</f>
        <v>0</v>
      </c>
      <c r="AN16" s="406">
        <f>SUMIFS(INDEX(인력관리!$K:$AN, , COLUMNS($K:AL)), 인력관리!$E:$E, $L16)</f>
        <v>0</v>
      </c>
      <c r="AO16" s="406">
        <f>SUMIFS(INDEX(인력관리!$K:$AN, , COLUMNS($K:AM)), 인력관리!$E:$E, $L16)</f>
        <v>0</v>
      </c>
      <c r="AP16" s="406">
        <f>SUMIFS(INDEX(인력관리!$K:$AN, , COLUMNS($K:AN)), 인력관리!$E:$E, $L16)</f>
        <v>0</v>
      </c>
      <c r="AQ16" s="755">
        <f t="shared" si="1"/>
        <v>6.3</v>
      </c>
      <c r="AR16" s="408">
        <f t="shared" si="2"/>
        <v>0</v>
      </c>
      <c r="AS16" s="408">
        <f t="shared" si="3"/>
        <v>-6.3</v>
      </c>
      <c r="AT16" s="414">
        <f t="shared" si="4"/>
        <v>0</v>
      </c>
      <c r="AU16" s="755">
        <v>6.3</v>
      </c>
      <c r="AV16" s="1578">
        <v>6.3</v>
      </c>
      <c r="AW16" s="1452">
        <f t="shared" si="5"/>
        <v>0</v>
      </c>
    </row>
    <row r="17" spans="2:49" s="140" customFormat="1" ht="15">
      <c r="B17" s="78">
        <v>13</v>
      </c>
      <c r="C17" s="229" t="s">
        <v>603</v>
      </c>
      <c r="D17" s="149">
        <f>SUMIFS(인력관리!$AO$6:$AO$265,인력관리!$E$6:$E$265,C17,인력관리!$D$6:$D$265,협력사등급별MM!$D$4)</f>
        <v>0</v>
      </c>
      <c r="E17" s="149">
        <f>SUMIFS(인력관리!$AO$6:$AO$265,인력관리!$E$6:$E$265,$C17,인력관리!$D$6:$D$265,협력사등급별MM!$E$4)</f>
        <v>7.4</v>
      </c>
      <c r="F17" s="149">
        <f>SUMIFS(인력관리!$AO$6:$AO$265,인력관리!$E$6:$E$265,$C17,인력관리!$D$6:$D$265,협력사등급별MM!$F$4)</f>
        <v>3</v>
      </c>
      <c r="G17" s="149">
        <f>SUMIFS(인력관리!$AO$6:$AO$265,인력관리!$E$6:$E$265,$C17,인력관리!$D$6:$D$265,협력사등급별MM!$G$4)</f>
        <v>0</v>
      </c>
      <c r="H17" s="230">
        <f t="shared" ref="H17" si="7">SUM(D17:G17)</f>
        <v>10.4</v>
      </c>
      <c r="I17" s="141">
        <f t="shared" si="0"/>
        <v>5.8820202477235456E-3</v>
      </c>
      <c r="L17" s="229" t="s">
        <v>603</v>
      </c>
      <c r="M17" s="406">
        <f>SUMIFS(INDEX(인력관리!$K:$AN, , COLUMNS($K:K)), 인력관리!$E:$E, $L17)</f>
        <v>0</v>
      </c>
      <c r="N17" s="406">
        <f>SUMIFS(INDEX(인력관리!$K:$AN, , COLUMNS($K:L)), 인력관리!$E:$E, $L17)</f>
        <v>0</v>
      </c>
      <c r="O17" s="655">
        <f>SUMIFS(INDEX(인력관리!$K:$AN, , COLUMNS($K:M)), 인력관리!$E:$E, $L17)</f>
        <v>0</v>
      </c>
      <c r="P17" s="655">
        <f>SUMIFS(INDEX(인력관리!$K:$AN, , COLUMNS($K:N)), 인력관리!$E:$E, $L17)</f>
        <v>0</v>
      </c>
      <c r="Q17" s="406">
        <f>SUMIFS(INDEX(인력관리!$K:$AN, , COLUMNS($K:O)), 인력관리!$E:$E, $L17)</f>
        <v>0.5</v>
      </c>
      <c r="R17" s="406">
        <f>SUMIFS(INDEX(인력관리!$K:$AN, , COLUMNS($K:P)), 인력관리!$E:$E, $L17)</f>
        <v>0.25</v>
      </c>
      <c r="S17" s="406">
        <f>SUMIFS(INDEX(인력관리!$K:$AN, , COLUMNS($K:Q)), 인력관리!$E:$E, $L17)</f>
        <v>2.5</v>
      </c>
      <c r="T17" s="406">
        <f>SUMIFS(INDEX(인력관리!$K:$AN, , COLUMNS($K:R)), 인력관리!$E:$E, $L17)</f>
        <v>2.5</v>
      </c>
      <c r="U17" s="406">
        <f>SUMIFS(INDEX(인력관리!$K:$AN, , COLUMNS($K:S)), 인력관리!$E:$E, $L17)</f>
        <v>2</v>
      </c>
      <c r="V17" s="406">
        <f>SUMIFS(INDEX(인력관리!$K:$AN, , COLUMNS($K:T)), 인력관리!$E:$E, $L17)</f>
        <v>1.2</v>
      </c>
      <c r="W17" s="406">
        <f>SUMIFS(INDEX(인력관리!$K:$AN, , COLUMNS($K:U)), 인력관리!$E:$E, $L17)</f>
        <v>2</v>
      </c>
      <c r="X17" s="406">
        <f>SUMIFS(INDEX(인력관리!$K:$AN, , COLUMNS($K:V)), 인력관리!$E:$E, $L17)</f>
        <v>0</v>
      </c>
      <c r="Y17" s="406">
        <f>SUMIFS(INDEX(인력관리!$K:$AN, , COLUMNS($K:W)), 인력관리!$E:$E, $L17)</f>
        <v>2</v>
      </c>
      <c r="Z17" s="406">
        <f>SUMIFS(INDEX(인력관리!$K:$AN, , COLUMNS($K:X)), 인력관리!$E:$E, $L17)</f>
        <v>0</v>
      </c>
      <c r="AA17" s="406">
        <f>SUMIFS(INDEX(인력관리!$K:$AN, , COLUMNS($K:Y)), 인력관리!$E:$E, $L17)</f>
        <v>0.2</v>
      </c>
      <c r="AB17" s="406">
        <f>SUMIFS(INDEX(인력관리!$K:$AN, , COLUMNS($K:Z)), 인력관리!$E:$E, $L17)</f>
        <v>0</v>
      </c>
      <c r="AC17" s="406">
        <f>SUMIFS(INDEX(인력관리!$K:$AN, , COLUMNS($K:AA)), 인력관리!$E:$E, $L17)</f>
        <v>0.2</v>
      </c>
      <c r="AD17" s="406">
        <f>SUMIFS(INDEX(인력관리!$K:$AN, , COLUMNS($K:AB)), 인력관리!$E:$E, $L17)</f>
        <v>0</v>
      </c>
      <c r="AE17" s="406">
        <f>SUMIFS(INDEX(인력관리!$K:$AN, , COLUMNS($K:AC)), 인력관리!$E:$E, $L17)</f>
        <v>0.2</v>
      </c>
      <c r="AF17" s="406">
        <f>SUMIFS(INDEX(인력관리!$K:$AN, , COLUMNS($K:AD)), 인력관리!$E:$E, $L17)</f>
        <v>0</v>
      </c>
      <c r="AG17" s="406">
        <f>SUMIFS(INDEX(인력관리!$K:$AN, , COLUMNS($K:AE)), 인력관리!$E:$E, $L17)</f>
        <v>0.2</v>
      </c>
      <c r="AH17" s="406">
        <f>SUMIFS(INDEX(인력관리!$K:$AN, , COLUMNS($K:AF)), 인력관리!$E:$E, $L17)</f>
        <v>0</v>
      </c>
      <c r="AI17" s="406">
        <f>SUMIFS(INDEX(인력관리!$K:$AN, , COLUMNS($K:AG)), 인력관리!$E:$E, $L17)</f>
        <v>0.2</v>
      </c>
      <c r="AJ17" s="406">
        <f>SUMIFS(INDEX(인력관리!$K:$AN, , COLUMNS($K:AH)), 인력관리!$E:$E, $L17)</f>
        <v>0</v>
      </c>
      <c r="AK17" s="406">
        <f>SUMIFS(INDEX(인력관리!$K:$AN, , COLUMNS($K:AI)), 인력관리!$E:$E, $L17)</f>
        <v>0.2</v>
      </c>
      <c r="AL17" s="406">
        <f>SUMIFS(INDEX(인력관리!$K:$AN, , COLUMNS($K:AJ)), 인력관리!$E:$E, $L17)</f>
        <v>0</v>
      </c>
      <c r="AM17" s="406">
        <f>SUMIFS(INDEX(인력관리!$K:$AN, , COLUMNS($K:AK)), 인력관리!$E:$E, $L17)</f>
        <v>0.2</v>
      </c>
      <c r="AN17" s="406">
        <f>SUMIFS(INDEX(인력관리!$K:$AN, , COLUMNS($K:AL)), 인력관리!$E:$E, $L17)</f>
        <v>0</v>
      </c>
      <c r="AO17" s="406">
        <f>SUMIFS(INDEX(인력관리!$K:$AN, , COLUMNS($K:AM)), 인력관리!$E:$E, $L17)</f>
        <v>0</v>
      </c>
      <c r="AP17" s="406">
        <f>SUMIFS(INDEX(인력관리!$K:$AN, , COLUMNS($K:AN)), 인력관리!$E:$E, $L17)</f>
        <v>0</v>
      </c>
      <c r="AQ17" s="755">
        <f t="shared" si="1"/>
        <v>10.399999999999995</v>
      </c>
      <c r="AR17" s="408">
        <f t="shared" ref="AR17" si="8">N17+P17+R17+T17+V17+X17+Z17+AB17+AD17+AF17+AH17+AJ17+AL17+AN17+AP17</f>
        <v>3.95</v>
      </c>
      <c r="AS17" s="408">
        <f t="shared" ref="AS17" si="9">AR17-AQ17</f>
        <v>-6.4499999999999948</v>
      </c>
      <c r="AT17" s="414">
        <f t="shared" si="4"/>
        <v>0</v>
      </c>
      <c r="AU17" s="755">
        <v>10.399999999999995</v>
      </c>
      <c r="AV17" s="1578">
        <v>10.4</v>
      </c>
      <c r="AW17" s="1452">
        <f t="shared" si="5"/>
        <v>0</v>
      </c>
    </row>
    <row r="18" spans="2:49" s="140" customFormat="1" ht="15">
      <c r="B18" s="78">
        <v>14</v>
      </c>
      <c r="C18" s="73" t="s">
        <v>61</v>
      </c>
      <c r="D18" s="149">
        <f>SUMIFS(인력관리!$AO$6:$AO$265,인력관리!$E$6:$E$265,C18,인력관리!$D$6:$D$265,협력사등급별MM!$D$4)</f>
        <v>0</v>
      </c>
      <c r="E18" s="149">
        <f>SUMIFS(인력관리!$AO$6:$AO$265,인력관리!$E$6:$E$265,$C18,인력관리!$D$6:$D$265,협력사등급별MM!$E$4)</f>
        <v>67.599999999999994</v>
      </c>
      <c r="F18" s="149">
        <f>SUMIFS(인력관리!$AO$6:$AO$265,인력관리!$E$6:$E$265,$C18,인력관리!$D$6:$D$265,협력사등급별MM!$F$4)</f>
        <v>19.5</v>
      </c>
      <c r="G18" s="149">
        <f>SUMIFS(인력관리!$AO$6:$AO$265,인력관리!$E$6:$E$265,$C18,인력관리!$D$6:$D$265,협력사등급별MM!$G$4)</f>
        <v>8.5</v>
      </c>
      <c r="H18" s="230">
        <f t="shared" si="6"/>
        <v>95.6</v>
      </c>
      <c r="I18" s="141">
        <f t="shared" si="0"/>
        <v>5.4069339969458743E-2</v>
      </c>
      <c r="L18" s="73" t="s">
        <v>61</v>
      </c>
      <c r="M18" s="406">
        <f>SUMIFS(INDEX(인력관리!$K:$AN, , COLUMNS($K:K)), 인력관리!$E:$E, $L18)</f>
        <v>1</v>
      </c>
      <c r="N18" s="406">
        <f>SUMIFS(INDEX(인력관리!$K:$AN, , COLUMNS($K:L)), 인력관리!$E:$E, $L18)</f>
        <v>1</v>
      </c>
      <c r="O18" s="655">
        <f>SUMIFS(INDEX(인력관리!$K:$AN, , COLUMNS($K:M)), 인력관리!$E:$E, $L18)</f>
        <v>4</v>
      </c>
      <c r="P18" s="655">
        <f>SUMIFS(INDEX(인력관리!$K:$AN, , COLUMNS($K:N)), 인력관리!$E:$E, $L18)</f>
        <v>4</v>
      </c>
      <c r="Q18" s="406">
        <f>SUMIFS(INDEX(인력관리!$K:$AN, , COLUMNS($K:O)), 인력관리!$E:$E, $L18)</f>
        <v>5.8</v>
      </c>
      <c r="R18" s="406">
        <f>SUMIFS(INDEX(인력관리!$K:$AN, , COLUMNS($K:P)), 인력관리!$E:$E, $L18)</f>
        <v>5.8</v>
      </c>
      <c r="S18" s="406">
        <f>SUMIFS(INDEX(인력관리!$K:$AN, , COLUMNS($K:Q)), 인력관리!$E:$E, $L18)</f>
        <v>6.3</v>
      </c>
      <c r="T18" s="406">
        <f>SUMIFS(INDEX(인력관리!$K:$AN, , COLUMNS($K:R)), 인력관리!$E:$E, $L18)</f>
        <v>8.5</v>
      </c>
      <c r="U18" s="406">
        <f>SUMIFS(INDEX(인력관리!$K:$AN, , COLUMNS($K:S)), 인력관리!$E:$E, $L18)</f>
        <v>6.5</v>
      </c>
      <c r="V18" s="406">
        <f>SUMIFS(INDEX(인력관리!$K:$AN, , COLUMNS($K:T)), 인력관리!$E:$E, $L18)</f>
        <v>4.5</v>
      </c>
      <c r="W18" s="406">
        <f>SUMIFS(INDEX(인력관리!$K:$AN, , COLUMNS($K:U)), 인력관리!$E:$E, $L18)</f>
        <v>6.5</v>
      </c>
      <c r="X18" s="406">
        <f>SUMIFS(INDEX(인력관리!$K:$AN, , COLUMNS($K:V)), 인력관리!$E:$E, $L18)</f>
        <v>0</v>
      </c>
      <c r="Y18" s="406">
        <f>SUMIFS(INDEX(인력관리!$K:$AN, , COLUMNS($K:W)), 인력관리!$E:$E, $L18)</f>
        <v>8</v>
      </c>
      <c r="Z18" s="406">
        <f>SUMIFS(INDEX(인력관리!$K:$AN, , COLUMNS($K:X)), 인력관리!$E:$E, $L18)</f>
        <v>0</v>
      </c>
      <c r="AA18" s="406">
        <f>SUMIFS(INDEX(인력관리!$K:$AN, , COLUMNS($K:Y)), 인력관리!$E:$E, $L18)</f>
        <v>8</v>
      </c>
      <c r="AB18" s="406">
        <f>SUMIFS(INDEX(인력관리!$K:$AN, , COLUMNS($K:Z)), 인력관리!$E:$E, $L18)</f>
        <v>0</v>
      </c>
      <c r="AC18" s="406">
        <f>SUMIFS(INDEX(인력관리!$K:$AN, , COLUMNS($K:AA)), 인력관리!$E:$E, $L18)</f>
        <v>9</v>
      </c>
      <c r="AD18" s="406">
        <f>SUMIFS(INDEX(인력관리!$K:$AN, , COLUMNS($K:AB)), 인력관리!$E:$E, $L18)</f>
        <v>0</v>
      </c>
      <c r="AE18" s="406">
        <f>SUMIFS(INDEX(인력관리!$K:$AN, , COLUMNS($K:AC)), 인력관리!$E:$E, $L18)</f>
        <v>9</v>
      </c>
      <c r="AF18" s="406">
        <f>SUMIFS(INDEX(인력관리!$K:$AN, , COLUMNS($K:AD)), 인력관리!$E:$E, $L18)</f>
        <v>0</v>
      </c>
      <c r="AG18" s="406">
        <f>SUMIFS(INDEX(인력관리!$K:$AN, , COLUMNS($K:AE)), 인력관리!$E:$E, $L18)</f>
        <v>9</v>
      </c>
      <c r="AH18" s="406">
        <f>SUMIFS(INDEX(인력관리!$K:$AN, , COLUMNS($K:AF)), 인력관리!$E:$E, $L18)</f>
        <v>0</v>
      </c>
      <c r="AI18" s="406">
        <f>SUMIFS(INDEX(인력관리!$K:$AN, , COLUMNS($K:AG)), 인력관리!$E:$E, $L18)</f>
        <v>9</v>
      </c>
      <c r="AJ18" s="406">
        <f>SUMIFS(INDEX(인력관리!$K:$AN, , COLUMNS($K:AH)), 인력관리!$E:$E, $L18)</f>
        <v>0</v>
      </c>
      <c r="AK18" s="406">
        <f>SUMIFS(INDEX(인력관리!$K:$AN, , COLUMNS($K:AI)), 인력관리!$E:$E, $L18)</f>
        <v>7</v>
      </c>
      <c r="AL18" s="406">
        <f>SUMIFS(INDEX(인력관리!$K:$AN, , COLUMNS($K:AJ)), 인력관리!$E:$E, $L18)</f>
        <v>0</v>
      </c>
      <c r="AM18" s="406">
        <f>SUMIFS(INDEX(인력관리!$K:$AN, , COLUMNS($K:AK)), 인력관리!$E:$E, $L18)</f>
        <v>6.5</v>
      </c>
      <c r="AN18" s="406">
        <f>SUMIFS(INDEX(인력관리!$K:$AN, , COLUMNS($K:AL)), 인력관리!$E:$E, $L18)</f>
        <v>0</v>
      </c>
      <c r="AO18" s="406">
        <f>SUMIFS(INDEX(인력관리!$K:$AN, , COLUMNS($K:AM)), 인력관리!$E:$E, $L18)</f>
        <v>0</v>
      </c>
      <c r="AP18" s="406">
        <f>SUMIFS(INDEX(인력관리!$K:$AN, , COLUMNS($K:AN)), 인력관리!$E:$E, $L18)</f>
        <v>0</v>
      </c>
      <c r="AQ18" s="755">
        <f>M18+O18+Q18+S18+U18+W18+Y18+AA18+AC18+AE18+AG18+AI18+AK18+AM18+AO18</f>
        <v>95.6</v>
      </c>
      <c r="AR18" s="408">
        <f t="shared" si="2"/>
        <v>23.8</v>
      </c>
      <c r="AS18" s="408">
        <f t="shared" si="3"/>
        <v>-71.8</v>
      </c>
      <c r="AT18" s="414">
        <f t="shared" si="4"/>
        <v>0</v>
      </c>
      <c r="AU18" s="755">
        <v>95.6</v>
      </c>
      <c r="AV18" s="1578">
        <v>96</v>
      </c>
      <c r="AW18" s="1452">
        <f t="shared" si="5"/>
        <v>-0.40000000000000568</v>
      </c>
    </row>
    <row r="19" spans="2:49" s="140" customFormat="1" ht="15">
      <c r="B19" s="78">
        <v>15</v>
      </c>
      <c r="C19" s="73" t="s">
        <v>1014</v>
      </c>
      <c r="D19" s="149">
        <f>SUMIFS(인력관리!$AO$6:$AO$265,인력관리!$E$6:$E$265,C19,인력관리!$D$6:$D$265,협력사등급별MM!$D$4)</f>
        <v>24.95</v>
      </c>
      <c r="E19" s="149">
        <f>SUMIFS(인력관리!$AO$6:$AO$265,인력관리!$E$6:$E$265,$C19,인력관리!$D$6:$D$265,협력사등급별MM!$E$4)</f>
        <v>0</v>
      </c>
      <c r="F19" s="149">
        <f>SUMIFS(인력관리!$AO$6:$AO$265,인력관리!$E$6:$E$265,$C19,인력관리!$D$6:$D$265,협력사등급별MM!$F$4)</f>
        <v>0</v>
      </c>
      <c r="G19" s="149">
        <f>SUMIFS(인력관리!$AO$6:$AO$265,인력관리!$E$6:$E$265,$C19,인력관리!$D$6:$D$265,협력사등급별MM!$G$4)</f>
        <v>0</v>
      </c>
      <c r="H19" s="230">
        <f t="shared" ref="H19" si="10">SUM(D19:G19)</f>
        <v>24.95</v>
      </c>
      <c r="I19" s="141">
        <f t="shared" si="0"/>
        <v>1.4111192805836774E-2</v>
      </c>
      <c r="L19" s="73" t="s">
        <v>1014</v>
      </c>
      <c r="M19" s="406">
        <f>SUMIFS(INDEX(인력관리!$K:$AN, , COLUMNS($K:K)), 인력관리!$E:$E, $L19)</f>
        <v>0</v>
      </c>
      <c r="N19" s="406">
        <f>SUMIFS(INDEX(인력관리!$K:$AN, , COLUMNS($K:L)), 인력관리!$E:$E, $L19)</f>
        <v>0</v>
      </c>
      <c r="O19" s="655">
        <f>SUMIFS(INDEX(인력관리!$K:$AN, , COLUMNS($K:M)), 인력관리!$E:$E, $L19)</f>
        <v>0</v>
      </c>
      <c r="P19" s="655">
        <f>SUMIFS(INDEX(인력관리!$K:$AN, , COLUMNS($K:N)), 인력관리!$E:$E, $L19)</f>
        <v>0</v>
      </c>
      <c r="Q19" s="406">
        <f>SUMIFS(INDEX(인력관리!$K:$AN, , COLUMNS($K:O)), 인력관리!$E:$E, $L19)</f>
        <v>0</v>
      </c>
      <c r="R19" s="406">
        <f>SUMIFS(INDEX(인력관리!$K:$AN, , COLUMNS($K:P)), 인력관리!$E:$E, $L19)</f>
        <v>0</v>
      </c>
      <c r="S19" s="406">
        <f>SUMIFS(INDEX(인력관리!$K:$AN, , COLUMNS($K:Q)), 인력관리!$E:$E, $L19)</f>
        <v>0</v>
      </c>
      <c r="T19" s="406">
        <f>SUMIFS(INDEX(인력관리!$K:$AN, , COLUMNS($K:R)), 인력관리!$E:$E, $L19)</f>
        <v>0</v>
      </c>
      <c r="U19" s="406">
        <f>SUMIFS(INDEX(인력관리!$K:$AN, , COLUMNS($K:S)), 인력관리!$E:$E, $L19)</f>
        <v>3.75</v>
      </c>
      <c r="V19" s="406">
        <f>SUMIFS(INDEX(인력관리!$K:$AN, , COLUMNS($K:T)), 인력관리!$E:$E, $L19)</f>
        <v>2.25</v>
      </c>
      <c r="W19" s="406">
        <f>SUMIFS(INDEX(인력관리!$K:$AN, , COLUMNS($K:U)), 인력관리!$E:$E, $L19)</f>
        <v>4</v>
      </c>
      <c r="X19" s="406">
        <f>SUMIFS(INDEX(인력관리!$K:$AN, , COLUMNS($K:V)), 인력관리!$E:$E, $L19)</f>
        <v>0</v>
      </c>
      <c r="Y19" s="406">
        <f>SUMIFS(INDEX(인력관리!$K:$AN, , COLUMNS($K:W)), 인력관리!$E:$E, $L19)</f>
        <v>4</v>
      </c>
      <c r="Z19" s="406">
        <f>SUMIFS(INDEX(인력관리!$K:$AN, , COLUMNS($K:X)), 인력관리!$E:$E, $L19)</f>
        <v>0</v>
      </c>
      <c r="AA19" s="406">
        <f>SUMIFS(INDEX(인력관리!$K:$AN, , COLUMNS($K:Y)), 인력관리!$E:$E, $L19)</f>
        <v>4</v>
      </c>
      <c r="AB19" s="406">
        <f>SUMIFS(INDEX(인력관리!$K:$AN, , COLUMNS($K:Z)), 인력관리!$E:$E, $L19)</f>
        <v>0</v>
      </c>
      <c r="AC19" s="406">
        <f>SUMIFS(INDEX(인력관리!$K:$AN, , COLUMNS($K:AA)), 인력관리!$E:$E, $L19)</f>
        <v>4</v>
      </c>
      <c r="AD19" s="406">
        <f>SUMIFS(INDEX(인력관리!$K:$AN, , COLUMNS($K:AB)), 인력관리!$E:$E, $L19)</f>
        <v>0</v>
      </c>
      <c r="AE19" s="406">
        <f>SUMIFS(INDEX(인력관리!$K:$AN, , COLUMNS($K:AC)), 인력관리!$E:$E, $L19)</f>
        <v>4</v>
      </c>
      <c r="AF19" s="406">
        <f>SUMIFS(INDEX(인력관리!$K:$AN, , COLUMNS($K:AD)), 인력관리!$E:$E, $L19)</f>
        <v>0</v>
      </c>
      <c r="AG19" s="406">
        <f>SUMIFS(INDEX(인력관리!$K:$AN, , COLUMNS($K:AE)), 인력관리!$E:$E, $L19)</f>
        <v>1.2</v>
      </c>
      <c r="AH19" s="406">
        <f>SUMIFS(INDEX(인력관리!$K:$AN, , COLUMNS($K:AF)), 인력관리!$E:$E, $L19)</f>
        <v>0</v>
      </c>
      <c r="AI19" s="406">
        <f>SUMIFS(INDEX(인력관리!$K:$AN, , COLUMNS($K:AG)), 인력관리!$E:$E, $L19)</f>
        <v>0</v>
      </c>
      <c r="AJ19" s="406">
        <f>SUMIFS(INDEX(인력관리!$K:$AN, , COLUMNS($K:AH)), 인력관리!$E:$E, $L19)</f>
        <v>0</v>
      </c>
      <c r="AK19" s="406">
        <f>SUMIFS(INDEX(인력관리!$K:$AN, , COLUMNS($K:AI)), 인력관리!$E:$E, $L19)</f>
        <v>0</v>
      </c>
      <c r="AL19" s="406">
        <f>SUMIFS(INDEX(인력관리!$K:$AN, , COLUMNS($K:AJ)), 인력관리!$E:$E, $L19)</f>
        <v>0</v>
      </c>
      <c r="AM19" s="406">
        <f>SUMIFS(INDEX(인력관리!$K:$AN, , COLUMNS($K:AK)), 인력관리!$E:$E, $L19)</f>
        <v>0</v>
      </c>
      <c r="AN19" s="406">
        <f>SUMIFS(INDEX(인력관리!$K:$AN, , COLUMNS($K:AL)), 인력관리!$E:$E, $L19)</f>
        <v>0</v>
      </c>
      <c r="AO19" s="406">
        <f>SUMIFS(INDEX(인력관리!$K:$AN, , COLUMNS($K:AM)), 인력관리!$E:$E, $L19)</f>
        <v>0</v>
      </c>
      <c r="AP19" s="406">
        <f>SUMIFS(INDEX(인력관리!$K:$AN, , COLUMNS($K:AN)), 인력관리!$E:$E, $L19)</f>
        <v>0</v>
      </c>
      <c r="AQ19" s="755">
        <f>M19+O19+Q19+S19+U19+W19+Y19+AA19+AC19+AE19+AG19+AI19+AK19+AM19+AO19</f>
        <v>24.95</v>
      </c>
      <c r="AR19" s="408">
        <f t="shared" ref="AR19" si="11">N19+P19+R19+T19+V19+X19+Z19+AB19+AD19+AF19+AH19+AJ19+AL19+AN19+AP19</f>
        <v>2.25</v>
      </c>
      <c r="AS19" s="408">
        <f t="shared" ref="AS19" si="12">AR19-AQ19</f>
        <v>-22.7</v>
      </c>
      <c r="AT19" s="414">
        <f t="shared" si="4"/>
        <v>0</v>
      </c>
      <c r="AU19" s="755">
        <v>24.95</v>
      </c>
      <c r="AV19" s="1578"/>
      <c r="AW19" s="1452">
        <f t="shared" si="5"/>
        <v>24.95</v>
      </c>
    </row>
    <row r="20" spans="2:49" s="140" customFormat="1" ht="15">
      <c r="B20" s="78">
        <v>16</v>
      </c>
      <c r="C20" s="73" t="s">
        <v>1020</v>
      </c>
      <c r="D20" s="149">
        <f>SUMIFS(인력관리!$AO$6:$AO$265,인력관리!$E$6:$E$265,C20,인력관리!$D$6:$D$265,협력사등급별MM!$D$4)</f>
        <v>0</v>
      </c>
      <c r="E20" s="149">
        <f>SUMIFS(인력관리!$AO$6:$AO$265,인력관리!$E$6:$E$265,$C20,인력관리!$D$6:$D$265,협력사등급별MM!$E$4)</f>
        <v>0</v>
      </c>
      <c r="F20" s="149">
        <f>SUMIFS(인력관리!$AO$6:$AO$265,인력관리!$E$6:$E$265,$C20,인력관리!$D$6:$D$265,협력사등급별MM!$F$4)</f>
        <v>0</v>
      </c>
      <c r="G20" s="149">
        <f>SUMIFS(인력관리!$AO$6:$AO$265,인력관리!$E$6:$E$265,$C20,인력관리!$D$6:$D$265,협력사등급별MM!$G$4)</f>
        <v>0</v>
      </c>
      <c r="H20" s="230">
        <f t="shared" ref="H20" si="13">SUM(D20:G20)</f>
        <v>0</v>
      </c>
      <c r="I20" s="141">
        <f t="shared" si="0"/>
        <v>0</v>
      </c>
      <c r="L20" s="73" t="s">
        <v>1020</v>
      </c>
      <c r="M20" s="406">
        <f>SUMIFS(INDEX(인력관리!$K:$AN, , COLUMNS($K:K)), 인력관리!$E:$E, $L20)</f>
        <v>0</v>
      </c>
      <c r="N20" s="406">
        <f>SUMIFS(INDEX(인력관리!$K:$AN, , COLUMNS($K:L)), 인력관리!$E:$E, $L20)</f>
        <v>0</v>
      </c>
      <c r="O20" s="655">
        <f>SUMIFS(INDEX(인력관리!$K:$AN, , COLUMNS($K:M)), 인력관리!$E:$E, $L20)</f>
        <v>0</v>
      </c>
      <c r="P20" s="655">
        <f>SUMIFS(INDEX(인력관리!$K:$AN, , COLUMNS($K:N)), 인력관리!$E:$E, $L20)</f>
        <v>0</v>
      </c>
      <c r="Q20" s="406">
        <f>SUMIFS(INDEX(인력관리!$K:$AN, , COLUMNS($K:O)), 인력관리!$E:$E, $L20)</f>
        <v>0</v>
      </c>
      <c r="R20" s="406">
        <f>SUMIFS(INDEX(인력관리!$K:$AN, , COLUMNS($K:P)), 인력관리!$E:$E, $L20)</f>
        <v>0</v>
      </c>
      <c r="S20" s="406">
        <f>SUMIFS(INDEX(인력관리!$K:$AN, , COLUMNS($K:Q)), 인력관리!$E:$E, $L20)</f>
        <v>0</v>
      </c>
      <c r="T20" s="406">
        <f>SUMIFS(INDEX(인력관리!$K:$AN, , COLUMNS($K:R)), 인력관리!$E:$E, $L20)</f>
        <v>0</v>
      </c>
      <c r="U20" s="406">
        <f>SUMIFS(INDEX(인력관리!$K:$AN, , COLUMNS($K:S)), 인력관리!$E:$E, $L20)</f>
        <v>0</v>
      </c>
      <c r="V20" s="406">
        <f>SUMIFS(INDEX(인력관리!$K:$AN, , COLUMNS($K:T)), 인력관리!$E:$E, $L20)</f>
        <v>0.6</v>
      </c>
      <c r="W20" s="406">
        <f>SUMIFS(INDEX(인력관리!$K:$AN, , COLUMNS($K:U)), 인력관리!$E:$E, $L20)</f>
        <v>0</v>
      </c>
      <c r="X20" s="406">
        <f>SUMIFS(INDEX(인력관리!$K:$AN, , COLUMNS($K:V)), 인력관리!$E:$E, $L20)</f>
        <v>0</v>
      </c>
      <c r="Y20" s="406">
        <f>SUMIFS(INDEX(인력관리!$K:$AN, , COLUMNS($K:W)), 인력관리!$E:$E, $L20)</f>
        <v>0</v>
      </c>
      <c r="Z20" s="406">
        <f>SUMIFS(INDEX(인력관리!$K:$AN, , COLUMNS($K:X)), 인력관리!$E:$E, $L20)</f>
        <v>0</v>
      </c>
      <c r="AA20" s="406">
        <f>SUMIFS(INDEX(인력관리!$K:$AN, , COLUMNS($K:Y)), 인력관리!$E:$E, $L20)</f>
        <v>0</v>
      </c>
      <c r="AB20" s="406">
        <f>SUMIFS(INDEX(인력관리!$K:$AN, , COLUMNS($K:Z)), 인력관리!$E:$E, $L20)</f>
        <v>0</v>
      </c>
      <c r="AC20" s="406">
        <f>SUMIFS(INDEX(인력관리!$K:$AN, , COLUMNS($K:AA)), 인력관리!$E:$E, $L20)</f>
        <v>0</v>
      </c>
      <c r="AD20" s="406">
        <f>SUMIFS(INDEX(인력관리!$K:$AN, , COLUMNS($K:AB)), 인력관리!$E:$E, $L20)</f>
        <v>0</v>
      </c>
      <c r="AE20" s="406">
        <f>SUMIFS(INDEX(인력관리!$K:$AN, , COLUMNS($K:AC)), 인력관리!$E:$E, $L20)</f>
        <v>0</v>
      </c>
      <c r="AF20" s="406">
        <f>SUMIFS(INDEX(인력관리!$K:$AN, , COLUMNS($K:AD)), 인력관리!$E:$E, $L20)</f>
        <v>0</v>
      </c>
      <c r="AG20" s="406">
        <f>SUMIFS(INDEX(인력관리!$K:$AN, , COLUMNS($K:AE)), 인력관리!$E:$E, $L20)</f>
        <v>0</v>
      </c>
      <c r="AH20" s="406">
        <f>SUMIFS(INDEX(인력관리!$K:$AN, , COLUMNS($K:AF)), 인력관리!$E:$E, $L20)</f>
        <v>0</v>
      </c>
      <c r="AI20" s="406">
        <f>SUMIFS(INDEX(인력관리!$K:$AN, , COLUMNS($K:AG)), 인력관리!$E:$E, $L20)</f>
        <v>0</v>
      </c>
      <c r="AJ20" s="406">
        <f>SUMIFS(INDEX(인력관리!$K:$AN, , COLUMNS($K:AH)), 인력관리!$E:$E, $L20)</f>
        <v>0</v>
      </c>
      <c r="AK20" s="406">
        <f>SUMIFS(INDEX(인력관리!$K:$AN, , COLUMNS($K:AI)), 인력관리!$E:$E, $L20)</f>
        <v>0</v>
      </c>
      <c r="AL20" s="406">
        <f>SUMIFS(INDEX(인력관리!$K:$AN, , COLUMNS($K:AJ)), 인력관리!$E:$E, $L20)</f>
        <v>0</v>
      </c>
      <c r="AM20" s="406">
        <f>SUMIFS(INDEX(인력관리!$K:$AN, , COLUMNS($K:AK)), 인력관리!$E:$E, $L20)</f>
        <v>0</v>
      </c>
      <c r="AN20" s="406">
        <f>SUMIFS(INDEX(인력관리!$K:$AN, , COLUMNS($K:AL)), 인력관리!$E:$E, $L20)</f>
        <v>0</v>
      </c>
      <c r="AO20" s="406">
        <f>SUMIFS(INDEX(인력관리!$K:$AN, , COLUMNS($K:AM)), 인력관리!$E:$E, $L20)</f>
        <v>0</v>
      </c>
      <c r="AP20" s="406">
        <f>SUMIFS(INDEX(인력관리!$K:$AN, , COLUMNS($K:AN)), 인력관리!$E:$E, $L20)</f>
        <v>0</v>
      </c>
      <c r="AQ20" s="755">
        <f>M20+O20+Q20+S20+U20+W20+Y20+AA20+AC20+AE20+AG20+AI20+AK20+AM20+AO20</f>
        <v>0</v>
      </c>
      <c r="AR20" s="408">
        <f t="shared" ref="AR20" si="14">N20+P20+R20+T20+V20+X20+Z20+AB20+AD20+AF20+AH20+AJ20+AL20+AN20+AP20</f>
        <v>0.6</v>
      </c>
      <c r="AS20" s="408">
        <f t="shared" ref="AS20" si="15">AR20-AQ20</f>
        <v>0.6</v>
      </c>
      <c r="AT20" s="414"/>
      <c r="AU20" s="755">
        <v>9</v>
      </c>
      <c r="AV20" s="1578"/>
      <c r="AW20" s="1452"/>
    </row>
    <row r="21" spans="2:49" s="140" customFormat="1" ht="15">
      <c r="B21" s="1792" t="s">
        <v>159</v>
      </c>
      <c r="C21" s="1792"/>
      <c r="D21" s="146">
        <f>SUM(D5:D20)</f>
        <v>444.8</v>
      </c>
      <c r="E21" s="146">
        <f t="shared" ref="E21:H21" si="16">SUM(E5:E20)</f>
        <v>603.95000000000005</v>
      </c>
      <c r="F21" s="146">
        <f t="shared" si="16"/>
        <v>392.35</v>
      </c>
      <c r="G21" s="146">
        <f t="shared" si="16"/>
        <v>327</v>
      </c>
      <c r="H21" s="146">
        <f t="shared" si="16"/>
        <v>1768.1</v>
      </c>
      <c r="I21" s="146"/>
      <c r="L21" s="407" t="s">
        <v>159</v>
      </c>
      <c r="M21" s="407">
        <f>SUM(M4:M20)</f>
        <v>48.75</v>
      </c>
      <c r="N21" s="407">
        <f t="shared" ref="N21:AP21" si="17">SUM(N4:N20)</f>
        <v>54.25</v>
      </c>
      <c r="O21" s="407">
        <f t="shared" si="17"/>
        <v>69.25</v>
      </c>
      <c r="P21" s="407">
        <f t="shared" si="17"/>
        <v>74.2</v>
      </c>
      <c r="Q21" s="407">
        <f t="shared" si="17"/>
        <v>87.05</v>
      </c>
      <c r="R21" s="407">
        <f t="shared" si="17"/>
        <v>100.39999999999999</v>
      </c>
      <c r="S21" s="407">
        <f t="shared" si="17"/>
        <v>98.350000000000009</v>
      </c>
      <c r="T21" s="407">
        <f t="shared" si="17"/>
        <v>120.24000000000001</v>
      </c>
      <c r="U21" s="407">
        <f t="shared" si="17"/>
        <v>134.15</v>
      </c>
      <c r="V21" s="407">
        <f t="shared" si="17"/>
        <v>89.550000000000011</v>
      </c>
      <c r="W21" s="407">
        <f t="shared" si="17"/>
        <v>150.4</v>
      </c>
      <c r="X21" s="407">
        <f t="shared" si="17"/>
        <v>0</v>
      </c>
      <c r="Y21" s="407">
        <f t="shared" si="17"/>
        <v>158.5</v>
      </c>
      <c r="Z21" s="407">
        <f t="shared" si="17"/>
        <v>0</v>
      </c>
      <c r="AA21" s="407">
        <f t="shared" si="17"/>
        <v>156.14999999999998</v>
      </c>
      <c r="AB21" s="407">
        <f t="shared" si="17"/>
        <v>0</v>
      </c>
      <c r="AC21" s="407">
        <f t="shared" si="17"/>
        <v>156.19999999999999</v>
      </c>
      <c r="AD21" s="407">
        <f t="shared" si="17"/>
        <v>0</v>
      </c>
      <c r="AE21" s="407">
        <f t="shared" si="17"/>
        <v>156.44999999999999</v>
      </c>
      <c r="AF21" s="407">
        <f t="shared" si="17"/>
        <v>0</v>
      </c>
      <c r="AG21" s="407">
        <f t="shared" si="17"/>
        <v>147.39999999999998</v>
      </c>
      <c r="AH21" s="407">
        <f t="shared" si="17"/>
        <v>0</v>
      </c>
      <c r="AI21" s="407">
        <f t="shared" si="17"/>
        <v>134.75</v>
      </c>
      <c r="AJ21" s="407">
        <f t="shared" si="17"/>
        <v>0</v>
      </c>
      <c r="AK21" s="407">
        <f t="shared" si="17"/>
        <v>122.2</v>
      </c>
      <c r="AL21" s="407">
        <f t="shared" si="17"/>
        <v>0</v>
      </c>
      <c r="AM21" s="407">
        <f t="shared" si="17"/>
        <v>103.45</v>
      </c>
      <c r="AN21" s="407">
        <f t="shared" si="17"/>
        <v>0</v>
      </c>
      <c r="AO21" s="407">
        <f t="shared" si="17"/>
        <v>56.05</v>
      </c>
      <c r="AP21" s="407">
        <f t="shared" si="17"/>
        <v>0</v>
      </c>
      <c r="AQ21" s="670">
        <f>SUM(AQ4:AQ20)</f>
        <v>1779.1</v>
      </c>
      <c r="AR21" s="670">
        <f t="shared" ref="AR21:AS21" si="18">SUM(AR4:AR20)</f>
        <v>438.64</v>
      </c>
      <c r="AS21" s="670">
        <f t="shared" si="18"/>
        <v>-1340.46</v>
      </c>
      <c r="AT21" s="414">
        <f t="shared" si="4"/>
        <v>-11</v>
      </c>
      <c r="AU21" s="412">
        <v>1777.1</v>
      </c>
      <c r="AV21" s="140">
        <f>SUM(AV5:AV18)</f>
        <v>1777.1000000000001</v>
      </c>
      <c r="AW21" s="1452">
        <f t="shared" si="5"/>
        <v>0</v>
      </c>
    </row>
    <row r="22" spans="2:49" ht="20">
      <c r="B22" s="228"/>
      <c r="C22" s="228"/>
      <c r="D22" s="228"/>
      <c r="E22" s="228"/>
      <c r="F22" s="228"/>
      <c r="G22" s="228"/>
      <c r="H22" s="228"/>
      <c r="I22" s="228"/>
      <c r="AQ22" s="413">
        <f>H21-AQ21</f>
        <v>-11</v>
      </c>
      <c r="AV22">
        <f>1777.1+5</f>
        <v>1782.1</v>
      </c>
    </row>
    <row r="23" spans="2:49" ht="20">
      <c r="B23" s="228"/>
      <c r="C23" s="228"/>
      <c r="D23" s="228"/>
      <c r="E23" s="228"/>
      <c r="F23" s="228"/>
      <c r="G23" s="228"/>
      <c r="H23" s="228"/>
      <c r="L23" s="107" t="s">
        <v>528</v>
      </c>
      <c r="AQ23" s="413"/>
    </row>
    <row r="24" spans="2:49" ht="20">
      <c r="B24" s="228"/>
      <c r="C24" s="228"/>
      <c r="D24" s="228"/>
      <c r="E24" s="228"/>
      <c r="F24" s="228"/>
      <c r="G24" s="228"/>
      <c r="H24" s="228"/>
      <c r="I24" s="228"/>
      <c r="L24" s="1794" t="s">
        <v>69</v>
      </c>
      <c r="M24" s="1794" t="s">
        <v>31</v>
      </c>
      <c r="N24" s="1794"/>
      <c r="O24" s="1794" t="s">
        <v>32</v>
      </c>
      <c r="P24" s="1794"/>
      <c r="Q24" s="1794" t="s">
        <v>47</v>
      </c>
      <c r="R24" s="1794"/>
      <c r="S24" s="1794" t="s">
        <v>48</v>
      </c>
      <c r="T24" s="1794"/>
      <c r="U24" s="1794" t="s">
        <v>49</v>
      </c>
      <c r="V24" s="1794"/>
      <c r="W24" s="1794" t="s">
        <v>50</v>
      </c>
      <c r="X24" s="1794"/>
      <c r="Y24" s="1794" t="s">
        <v>51</v>
      </c>
      <c r="Z24" s="1794"/>
      <c r="AA24" s="1794" t="s">
        <v>52</v>
      </c>
      <c r="AB24" s="1794"/>
      <c r="AC24" s="1794" t="s">
        <v>53</v>
      </c>
      <c r="AD24" s="1794"/>
      <c r="AE24" s="1794" t="s">
        <v>54</v>
      </c>
      <c r="AF24" s="1794"/>
      <c r="AG24" s="1794" t="s">
        <v>409</v>
      </c>
      <c r="AH24" s="1794"/>
      <c r="AI24" s="1794" t="s">
        <v>410</v>
      </c>
      <c r="AJ24" s="1794"/>
      <c r="AK24" s="1794" t="s">
        <v>411</v>
      </c>
      <c r="AL24" s="1794"/>
      <c r="AM24" s="1794" t="s">
        <v>46</v>
      </c>
      <c r="AN24" s="1794"/>
      <c r="AO24" s="1794" t="s">
        <v>47</v>
      </c>
      <c r="AP24" s="1794"/>
      <c r="AQ24" s="1794" t="s">
        <v>159</v>
      </c>
      <c r="AR24" s="1794" t="s">
        <v>503</v>
      </c>
      <c r="AS24" s="1794" t="s">
        <v>478</v>
      </c>
    </row>
    <row r="25" spans="2:49">
      <c r="L25" s="1794"/>
      <c r="M25" s="661" t="s">
        <v>261</v>
      </c>
      <c r="N25" s="661" t="s">
        <v>503</v>
      </c>
      <c r="O25" s="661" t="s">
        <v>261</v>
      </c>
      <c r="P25" s="661" t="s">
        <v>503</v>
      </c>
      <c r="Q25" s="661" t="s">
        <v>261</v>
      </c>
      <c r="R25" s="661" t="s">
        <v>503</v>
      </c>
      <c r="S25" s="661" t="s">
        <v>261</v>
      </c>
      <c r="T25" s="661" t="s">
        <v>503</v>
      </c>
      <c r="U25" s="661" t="s">
        <v>261</v>
      </c>
      <c r="V25" s="661" t="s">
        <v>503</v>
      </c>
      <c r="W25" s="661" t="s">
        <v>261</v>
      </c>
      <c r="X25" s="661" t="s">
        <v>503</v>
      </c>
      <c r="Y25" s="661" t="s">
        <v>261</v>
      </c>
      <c r="Z25" s="661" t="s">
        <v>503</v>
      </c>
      <c r="AA25" s="661" t="s">
        <v>261</v>
      </c>
      <c r="AB25" s="661" t="s">
        <v>503</v>
      </c>
      <c r="AC25" s="661" t="s">
        <v>261</v>
      </c>
      <c r="AD25" s="661" t="s">
        <v>503</v>
      </c>
      <c r="AE25" s="661" t="s">
        <v>261</v>
      </c>
      <c r="AF25" s="661" t="s">
        <v>503</v>
      </c>
      <c r="AG25" s="661" t="s">
        <v>261</v>
      </c>
      <c r="AH25" s="661" t="s">
        <v>503</v>
      </c>
      <c r="AI25" s="661" t="s">
        <v>261</v>
      </c>
      <c r="AJ25" s="661" t="s">
        <v>503</v>
      </c>
      <c r="AK25" s="661" t="s">
        <v>261</v>
      </c>
      <c r="AL25" s="661" t="s">
        <v>503</v>
      </c>
      <c r="AM25" s="661" t="s">
        <v>261</v>
      </c>
      <c r="AN25" s="661" t="s">
        <v>503</v>
      </c>
      <c r="AO25" s="661" t="s">
        <v>261</v>
      </c>
      <c r="AP25" s="661" t="s">
        <v>503</v>
      </c>
      <c r="AQ25" s="1794"/>
      <c r="AR25" s="1794"/>
      <c r="AS25" s="1794"/>
    </row>
    <row r="26" spans="2:49" s="140" customFormat="1" ht="15">
      <c r="L26" s="229" t="s">
        <v>17</v>
      </c>
      <c r="M26" s="146">
        <f>COUNTIFS(인력관리!$E:$E,$L5,INDEX(인력관리!$K:$AN,,COLUMNS($K:K)),"&lt;&gt;")</f>
        <v>17</v>
      </c>
      <c r="N26" s="146">
        <f>COUNTIFS(인력관리!$E:$E,$L5,INDEX(인력관리!$K:$AN,,COLUMNS($K:L)),"&lt;&gt;")</f>
        <v>20</v>
      </c>
      <c r="O26" s="146">
        <f>COUNTIFS(인력관리!$E:$E,$L5,INDEX(인력관리!$K:$AN,,COLUMNS($K:M)),"&lt;&gt;")</f>
        <v>21</v>
      </c>
      <c r="P26" s="146">
        <f>COUNTIFS(인력관리!$E:$E,$L5,INDEX(인력관리!$K:$AN,,COLUMNS($K:N)),"&lt;&gt;")</f>
        <v>21</v>
      </c>
      <c r="Q26" s="146">
        <f>COUNTIFS(인력관리!$E:$E,$L5,INDEX(인력관리!$K:$AN,,COLUMNS($K:O)),"&lt;&gt;")</f>
        <v>21</v>
      </c>
      <c r="R26" s="146">
        <f>COUNTIFS(인력관리!$E:$E,$L5,INDEX(인력관리!$K:$AN,,COLUMNS($K:P)),"&lt;&gt;")</f>
        <v>21</v>
      </c>
      <c r="S26" s="146">
        <f>COUNTIFS(인력관리!$E:$E,$L5,INDEX(인력관리!$K:$AN,,COLUMNS($K:Q)),"&lt;&gt;")</f>
        <v>22</v>
      </c>
      <c r="T26" s="146">
        <f>COUNTIFS(인력관리!$E:$E,$L5,INDEX(인력관리!$K:$AN,,COLUMNS($K:R)),"&lt;&gt;")</f>
        <v>23</v>
      </c>
      <c r="U26" s="146">
        <f>COUNTIFS(인력관리!$E:$E,$L5,INDEX(인력관리!$K:$AN,,COLUMNS($K:S)),"&lt;&gt;")</f>
        <v>26</v>
      </c>
      <c r="V26" s="146">
        <f>COUNTIFS(인력관리!$E:$E,$L5,INDEX(인력관리!$K:$AN,,COLUMNS($K:T)),"&lt;&gt;")</f>
        <v>26</v>
      </c>
      <c r="W26" s="146">
        <f>COUNTIFS(인력관리!$E:$E,$L5,INDEX(인력관리!$K:$AN,,COLUMNS($K:U)),"&lt;&gt;")</f>
        <v>31</v>
      </c>
      <c r="X26" s="146">
        <f>COUNTIFS(인력관리!$E:$E,$L5,INDEX(인력관리!$K:$AN,,COLUMNS($K:V)),"&lt;&gt;")</f>
        <v>0</v>
      </c>
      <c r="Y26" s="146">
        <f>COUNTIFS(인력관리!$E:$E,$L5,INDEX(인력관리!$K:$AN,,COLUMNS($K:W)),"&lt;&gt;")</f>
        <v>31</v>
      </c>
      <c r="Z26" s="146">
        <f>COUNTIFS(인력관리!$E:$E,$L5,INDEX(인력관리!$K:$AN,,COLUMNS($K:X)),"&lt;&gt;")</f>
        <v>0</v>
      </c>
      <c r="AA26" s="146">
        <f>COUNTIFS(인력관리!$E:$E,$L5,INDEX(인력관리!$K:$AN,,COLUMNS($K:Y)),"&lt;&gt;")</f>
        <v>30</v>
      </c>
      <c r="AB26" s="146">
        <f>COUNTIFS(인력관리!$E:$E,$L5,INDEX(인력관리!$K:$AN,,COLUMNS($K:Z)),"&lt;&gt;")</f>
        <v>0</v>
      </c>
      <c r="AC26" s="146">
        <f>COUNTIFS(인력관리!$E:$E,$L5,INDEX(인력관리!$K:$AN,,COLUMNS($K:AA)),"&lt;&gt;")</f>
        <v>31</v>
      </c>
      <c r="AD26" s="146">
        <f>COUNTIFS(인력관리!$E:$E,$L5,INDEX(인력관리!$K:$AN,,COLUMNS($K:AB)),"&lt;&gt;")</f>
        <v>0</v>
      </c>
      <c r="AE26" s="146">
        <f>COUNTIFS(인력관리!$E:$E,$L5,INDEX(인력관리!$K:$AN,,COLUMNS($K:AC)),"&lt;&gt;")</f>
        <v>34</v>
      </c>
      <c r="AF26" s="146">
        <f>COUNTIFS(인력관리!$E:$E,$L5,INDEX(인력관리!$K:$AN,,COLUMNS($K:AD)),"&lt;&gt;")</f>
        <v>0</v>
      </c>
      <c r="AG26" s="146">
        <f>COUNTIFS(인력관리!$E:$E,$L5,INDEX(인력관리!$K:$AN,,COLUMNS($K:AE)),"&lt;&gt;")</f>
        <v>33</v>
      </c>
      <c r="AH26" s="146">
        <f>COUNTIFS(인력관리!$E:$E,$L5,INDEX(인력관리!$K:$AN,,COLUMNS($K:AF)),"&lt;&gt;")</f>
        <v>0</v>
      </c>
      <c r="AI26" s="146">
        <f>COUNTIFS(인력관리!$E:$E,$L5,INDEX(인력관리!$K:$AN,,COLUMNS($K:AG)),"&lt;&gt;")</f>
        <v>31</v>
      </c>
      <c r="AJ26" s="146">
        <f>COUNTIFS(인력관리!$E:$E,$L5,INDEX(인력관리!$K:$AN,,COLUMNS($K:AH)),"&lt;&gt;")</f>
        <v>0</v>
      </c>
      <c r="AK26" s="146">
        <f>COUNTIFS(인력관리!$E:$E,$L5,INDEX(인력관리!$K:$AN,,COLUMNS($K:AI)),"&lt;&gt;")</f>
        <v>27</v>
      </c>
      <c r="AL26" s="146">
        <f>COUNTIFS(인력관리!$E:$E,$L5,INDEX(인력관리!$K:$AN,,COLUMNS($K:AJ)),"&lt;&gt;")</f>
        <v>0</v>
      </c>
      <c r="AM26" s="146">
        <f>COUNTIFS(인력관리!$E:$E,$L5,INDEX(인력관리!$K:$AN,,COLUMNS($K:AK)),"&lt;&gt;")</f>
        <v>24</v>
      </c>
      <c r="AN26" s="146">
        <f>COUNTIFS(인력관리!$E:$E,$L5,INDEX(인력관리!$K:$AN,,COLUMNS($K:AL)),"&lt;&gt;")</f>
        <v>0</v>
      </c>
      <c r="AO26" s="146">
        <f>COUNTIFS(인력관리!$E:$E,$L5,INDEX(인력관리!$K:$AN,,COLUMNS($K:AM)),"&lt;&gt;")</f>
        <v>17</v>
      </c>
      <c r="AP26" s="146">
        <f>COUNTIFS(인력관리!$E:$E,$L5,INDEX(인력관리!$K:$AN,,COLUMNS($K:AN)),"&lt;&gt;")</f>
        <v>0</v>
      </c>
      <c r="AQ26" s="408">
        <f>M26+O26+Q26+S26+U26+W26+Y26+AA26+AC26+AE26+AG26+AI26+AK26+AM26+AO26</f>
        <v>396</v>
      </c>
      <c r="AR26" s="408">
        <f>N26+P26+R26+T26+V26+X26+Z26+AB26+AD26+AF26+AH26+AJ26+AL26+AN26+AP26</f>
        <v>111</v>
      </c>
      <c r="AS26" s="408">
        <f>AR26-AQ26</f>
        <v>-285</v>
      </c>
    </row>
    <row r="27" spans="2:49" s="140" customFormat="1" ht="15">
      <c r="L27" s="229" t="s">
        <v>90</v>
      </c>
      <c r="M27" s="146">
        <f>COUNTIFS(인력관리!$E:$E,$L6,INDEX(인력관리!$K:$AN,,COLUMNS($K:K)),"&lt;&gt;")</f>
        <v>0</v>
      </c>
      <c r="N27" s="146">
        <f>COUNTIFS(인력관리!$E:$E,$L6,INDEX(인력관리!$K:$AN,,COLUMNS($K:L)),"&lt;&gt;")</f>
        <v>0</v>
      </c>
      <c r="O27" s="146">
        <f>COUNTIFS(인력관리!$E:$E,$L6,INDEX(인력관리!$K:$AN,,COLUMNS($K:M)),"&lt;&gt;")</f>
        <v>2</v>
      </c>
      <c r="P27" s="146">
        <f>COUNTIFS(인력관리!$E:$E,$L6,INDEX(인력관리!$K:$AN,,COLUMNS($K:N)),"&lt;&gt;")</f>
        <v>2</v>
      </c>
      <c r="Q27" s="146">
        <f>COUNTIFS(인력관리!$E:$E,$L6,INDEX(인력관리!$K:$AN,,COLUMNS($K:O)),"&lt;&gt;")</f>
        <v>1</v>
      </c>
      <c r="R27" s="146">
        <f>COUNTIFS(인력관리!$E:$E,$L6,INDEX(인력관리!$K:$AN,,COLUMNS($K:P)),"&lt;&gt;")</f>
        <v>1</v>
      </c>
      <c r="S27" s="146">
        <f>COUNTIFS(인력관리!$E:$E,$L6,INDEX(인력관리!$K:$AN,,COLUMNS($K:Q)),"&lt;&gt;")</f>
        <v>1</v>
      </c>
      <c r="T27" s="146">
        <f>COUNTIFS(인력관리!$E:$E,$L6,INDEX(인력관리!$K:$AN,,COLUMNS($K:R)),"&lt;&gt;")</f>
        <v>3</v>
      </c>
      <c r="U27" s="146">
        <f>COUNTIFS(인력관리!$E:$E,$L6,INDEX(인력관리!$K:$AN,,COLUMNS($K:S)),"&lt;&gt;")</f>
        <v>1</v>
      </c>
      <c r="V27" s="146">
        <f>COUNTIFS(인력관리!$E:$E,$L6,INDEX(인력관리!$K:$AN,,COLUMNS($K:T)),"&lt;&gt;")</f>
        <v>0</v>
      </c>
      <c r="W27" s="146">
        <f>COUNTIFS(인력관리!$E:$E,$L6,INDEX(인력관리!$K:$AN,,COLUMNS($K:U)),"&lt;&gt;")</f>
        <v>0</v>
      </c>
      <c r="X27" s="146">
        <f>COUNTIFS(인력관리!$E:$E,$L6,INDEX(인력관리!$K:$AN,,COLUMNS($K:V)),"&lt;&gt;")</f>
        <v>0</v>
      </c>
      <c r="Y27" s="146">
        <f>COUNTIFS(인력관리!$E:$E,$L6,INDEX(인력관리!$K:$AN,,COLUMNS($K:W)),"&lt;&gt;")</f>
        <v>0</v>
      </c>
      <c r="Z27" s="146">
        <f>COUNTIFS(인력관리!$E:$E,$L6,INDEX(인력관리!$K:$AN,,COLUMNS($K:X)),"&lt;&gt;")</f>
        <v>0</v>
      </c>
      <c r="AA27" s="146">
        <f>COUNTIFS(인력관리!$E:$E,$L6,INDEX(인력관리!$K:$AN,,COLUMNS($K:Y)),"&lt;&gt;")</f>
        <v>2</v>
      </c>
      <c r="AB27" s="146">
        <f>COUNTIFS(인력관리!$E:$E,$L6,INDEX(인력관리!$K:$AN,,COLUMNS($K:Z)),"&lt;&gt;")</f>
        <v>0</v>
      </c>
      <c r="AC27" s="146">
        <f>COUNTIFS(인력관리!$E:$E,$L6,INDEX(인력관리!$K:$AN,,COLUMNS($K:AA)),"&lt;&gt;")</f>
        <v>0</v>
      </c>
      <c r="AD27" s="146">
        <f>COUNTIFS(인력관리!$E:$E,$L6,INDEX(인력관리!$K:$AN,,COLUMNS($K:AB)),"&lt;&gt;")</f>
        <v>0</v>
      </c>
      <c r="AE27" s="146">
        <f>COUNTIFS(인력관리!$E:$E,$L6,INDEX(인력관리!$K:$AN,,COLUMNS($K:AC)),"&lt;&gt;")</f>
        <v>3</v>
      </c>
      <c r="AF27" s="146">
        <f>COUNTIFS(인력관리!$E:$E,$L6,INDEX(인력관리!$K:$AN,,COLUMNS($K:AD)),"&lt;&gt;")</f>
        <v>0</v>
      </c>
      <c r="AG27" s="146">
        <f>COUNTIFS(인력관리!$E:$E,$L6,INDEX(인력관리!$K:$AN,,COLUMNS($K:AE)),"&lt;&gt;")</f>
        <v>3</v>
      </c>
      <c r="AH27" s="146">
        <f>COUNTIFS(인력관리!$E:$E,$L6,INDEX(인력관리!$K:$AN,,COLUMNS($K:AF)),"&lt;&gt;")</f>
        <v>0</v>
      </c>
      <c r="AI27" s="146">
        <f>COUNTIFS(인력관리!$E:$E,$L6,INDEX(인력관리!$K:$AN,,COLUMNS($K:AG)),"&lt;&gt;")</f>
        <v>0</v>
      </c>
      <c r="AJ27" s="146">
        <f>COUNTIFS(인력관리!$E:$E,$L6,INDEX(인력관리!$K:$AN,,COLUMNS($K:AH)),"&lt;&gt;")</f>
        <v>0</v>
      </c>
      <c r="AK27" s="146">
        <f>COUNTIFS(인력관리!$E:$E,$L6,INDEX(인력관리!$K:$AN,,COLUMNS($K:AI)),"&lt;&gt;")</f>
        <v>0</v>
      </c>
      <c r="AL27" s="146">
        <f>COUNTIFS(인력관리!$E:$E,$L6,INDEX(인력관리!$K:$AN,,COLUMNS($K:AJ)),"&lt;&gt;")</f>
        <v>0</v>
      </c>
      <c r="AM27" s="146">
        <f>COUNTIFS(인력관리!$E:$E,$L6,INDEX(인력관리!$K:$AN,,COLUMNS($K:AK)),"&lt;&gt;")</f>
        <v>0</v>
      </c>
      <c r="AN27" s="146">
        <f>COUNTIFS(인력관리!$E:$E,$L6,INDEX(인력관리!$K:$AN,,COLUMNS($K:AL)),"&lt;&gt;")</f>
        <v>0</v>
      </c>
      <c r="AO27" s="146">
        <f>COUNTIFS(인력관리!$E:$E,$L6,INDEX(인력관리!$K:$AN,,COLUMNS($K:AM)),"&lt;&gt;")</f>
        <v>0</v>
      </c>
      <c r="AP27" s="146">
        <f>COUNTIFS(인력관리!$E:$E,$L6,INDEX(인력관리!$K:$AN,,COLUMNS($K:AN)),"&lt;&gt;")</f>
        <v>0</v>
      </c>
      <c r="AQ27" s="408">
        <f t="shared" ref="AQ27:AQ39" si="19">M27+O27+Q27+S27+U27+W27+Y27+AA27+AC27+AE27+AG27+AI27+AK27+AM27+AO27</f>
        <v>13</v>
      </c>
      <c r="AR27" s="408">
        <f t="shared" ref="AR27:AR39" si="20">N27+P27+R27+T27+V27+X27+Z27+AB27+AD27+AF27+AH27+AJ27+AL27+AN27+AP27</f>
        <v>6</v>
      </c>
      <c r="AS27" s="408">
        <f t="shared" ref="AS27:AS39" si="21">AR27-AQ27</f>
        <v>-7</v>
      </c>
    </row>
    <row r="28" spans="2:49" s="140" customFormat="1" ht="15">
      <c r="L28" s="229" t="s">
        <v>93</v>
      </c>
      <c r="M28" s="146">
        <f>COUNTIFS(인력관리!$E:$E,$L7,INDEX(인력관리!$K:$AN,,COLUMNS($K:K)),"&lt;&gt;")</f>
        <v>0</v>
      </c>
      <c r="N28" s="146">
        <f>COUNTIFS(인력관리!$E:$E,$L7,INDEX(인력관리!$K:$AN,,COLUMNS($K:L)),"&lt;&gt;")</f>
        <v>0</v>
      </c>
      <c r="O28" s="146">
        <f>COUNTIFS(인력관리!$E:$E,$L7,INDEX(인력관리!$K:$AN,,COLUMNS($K:M)),"&lt;&gt;")</f>
        <v>0</v>
      </c>
      <c r="P28" s="146">
        <f>COUNTIFS(인력관리!$E:$E,$L7,INDEX(인력관리!$K:$AN,,COLUMNS($K:N)),"&lt;&gt;")</f>
        <v>0</v>
      </c>
      <c r="Q28" s="146">
        <f>COUNTIFS(인력관리!$E:$E,$L7,INDEX(인력관리!$K:$AN,,COLUMNS($K:O)),"&lt;&gt;")</f>
        <v>0</v>
      </c>
      <c r="R28" s="146">
        <f>COUNTIFS(인력관리!$E:$E,$L7,INDEX(인력관리!$K:$AN,,COLUMNS($K:P)),"&lt;&gt;")</f>
        <v>0</v>
      </c>
      <c r="S28" s="146">
        <f>COUNTIFS(인력관리!$E:$E,$L7,INDEX(인력관리!$K:$AN,,COLUMNS($K:Q)),"&lt;&gt;")</f>
        <v>2</v>
      </c>
      <c r="T28" s="146">
        <f>COUNTIFS(인력관리!$E:$E,$L7,INDEX(인력관리!$K:$AN,,COLUMNS($K:R)),"&lt;&gt;")</f>
        <v>2</v>
      </c>
      <c r="U28" s="146">
        <f>COUNTIFS(인력관리!$E:$E,$L7,INDEX(인력관리!$K:$AN,,COLUMNS($K:S)),"&lt;&gt;")</f>
        <v>5</v>
      </c>
      <c r="V28" s="146">
        <f>COUNTIFS(인력관리!$E:$E,$L7,INDEX(인력관리!$K:$AN,,COLUMNS($K:T)),"&lt;&gt;")</f>
        <v>5</v>
      </c>
      <c r="W28" s="146">
        <f>COUNTIFS(인력관리!$E:$E,$L7,INDEX(인력관리!$K:$AN,,COLUMNS($K:U)),"&lt;&gt;")</f>
        <v>7</v>
      </c>
      <c r="X28" s="146">
        <f>COUNTIFS(인력관리!$E:$E,$L7,INDEX(인력관리!$K:$AN,,COLUMNS($K:V)),"&lt;&gt;")</f>
        <v>0</v>
      </c>
      <c r="Y28" s="146">
        <f>COUNTIFS(인력관리!$E:$E,$L7,INDEX(인력관리!$K:$AN,,COLUMNS($K:W)),"&lt;&gt;")</f>
        <v>7</v>
      </c>
      <c r="Z28" s="146">
        <f>COUNTIFS(인력관리!$E:$E,$L7,INDEX(인력관리!$K:$AN,,COLUMNS($K:X)),"&lt;&gt;")</f>
        <v>0</v>
      </c>
      <c r="AA28" s="146">
        <f>COUNTIFS(인력관리!$E:$E,$L7,INDEX(인력관리!$K:$AN,,COLUMNS($K:Y)),"&lt;&gt;")</f>
        <v>7</v>
      </c>
      <c r="AB28" s="146">
        <f>COUNTIFS(인력관리!$E:$E,$L7,INDEX(인력관리!$K:$AN,,COLUMNS($K:Z)),"&lt;&gt;")</f>
        <v>0</v>
      </c>
      <c r="AC28" s="146">
        <f>COUNTIFS(인력관리!$E:$E,$L7,INDEX(인력관리!$K:$AN,,COLUMNS($K:AA)),"&lt;&gt;")</f>
        <v>8</v>
      </c>
      <c r="AD28" s="146">
        <f>COUNTIFS(인력관리!$E:$E,$L7,INDEX(인력관리!$K:$AN,,COLUMNS($K:AB)),"&lt;&gt;")</f>
        <v>0</v>
      </c>
      <c r="AE28" s="146">
        <f>COUNTIFS(인력관리!$E:$E,$L7,INDEX(인력관리!$K:$AN,,COLUMNS($K:AC)),"&lt;&gt;")</f>
        <v>8</v>
      </c>
      <c r="AF28" s="146">
        <f>COUNTIFS(인력관리!$E:$E,$L7,INDEX(인력관리!$K:$AN,,COLUMNS($K:AD)),"&lt;&gt;")</f>
        <v>0</v>
      </c>
      <c r="AG28" s="146">
        <f>COUNTIFS(인력관리!$E:$E,$L7,INDEX(인력관리!$K:$AN,,COLUMNS($K:AE)),"&lt;&gt;")</f>
        <v>8</v>
      </c>
      <c r="AH28" s="146">
        <f>COUNTIFS(인력관리!$E:$E,$L7,INDEX(인력관리!$K:$AN,,COLUMNS($K:AF)),"&lt;&gt;")</f>
        <v>0</v>
      </c>
      <c r="AI28" s="146">
        <f>COUNTIFS(인력관리!$E:$E,$L7,INDEX(인력관리!$K:$AN,,COLUMNS($K:AG)),"&lt;&gt;")</f>
        <v>7</v>
      </c>
      <c r="AJ28" s="146">
        <f>COUNTIFS(인력관리!$E:$E,$L7,INDEX(인력관리!$K:$AN,,COLUMNS($K:AH)),"&lt;&gt;")</f>
        <v>0</v>
      </c>
      <c r="AK28" s="146">
        <f>COUNTIFS(인력관리!$E:$E,$L7,INDEX(인력관리!$K:$AN,,COLUMNS($K:AI)),"&lt;&gt;")</f>
        <v>7</v>
      </c>
      <c r="AL28" s="146">
        <f>COUNTIFS(인력관리!$E:$E,$L7,INDEX(인력관리!$K:$AN,,COLUMNS($K:AJ)),"&lt;&gt;")</f>
        <v>0</v>
      </c>
      <c r="AM28" s="146">
        <f>COUNTIFS(인력관리!$E:$E,$L7,INDEX(인력관리!$K:$AN,,COLUMNS($K:AK)),"&lt;&gt;")</f>
        <v>7</v>
      </c>
      <c r="AN28" s="146">
        <f>COUNTIFS(인력관리!$E:$E,$L7,INDEX(인력관리!$K:$AN,,COLUMNS($K:AL)),"&lt;&gt;")</f>
        <v>0</v>
      </c>
      <c r="AO28" s="146">
        <f>COUNTIFS(인력관리!$E:$E,$L7,INDEX(인력관리!$K:$AN,,COLUMNS($K:AM)),"&lt;&gt;")</f>
        <v>2</v>
      </c>
      <c r="AP28" s="146">
        <f>COUNTIFS(인력관리!$E:$E,$L7,INDEX(인력관리!$K:$AN,,COLUMNS($K:AN)),"&lt;&gt;")</f>
        <v>0</v>
      </c>
      <c r="AQ28" s="408">
        <f t="shared" si="19"/>
        <v>75</v>
      </c>
      <c r="AR28" s="408">
        <f t="shared" si="20"/>
        <v>7</v>
      </c>
      <c r="AS28" s="408">
        <f t="shared" si="21"/>
        <v>-68</v>
      </c>
    </row>
    <row r="29" spans="2:49" s="140" customFormat="1" ht="15">
      <c r="L29" s="229" t="s">
        <v>102</v>
      </c>
      <c r="M29" s="146">
        <f>COUNTIFS(인력관리!$E:$E,$L8,INDEX(인력관리!$K:$AN,,COLUMNS($K:K)),"&lt;&gt;")</f>
        <v>2</v>
      </c>
      <c r="N29" s="146">
        <f>COUNTIFS(인력관리!$E:$E,$L8,INDEX(인력관리!$K:$AN,,COLUMNS($K:L)),"&lt;&gt;")</f>
        <v>2</v>
      </c>
      <c r="O29" s="146">
        <f>COUNTIFS(인력관리!$E:$E,$L8,INDEX(인력관리!$K:$AN,,COLUMNS($K:M)),"&lt;&gt;")</f>
        <v>2</v>
      </c>
      <c r="P29" s="146">
        <f>COUNTIFS(인력관리!$E:$E,$L8,INDEX(인력관리!$K:$AN,,COLUMNS($K:N)),"&lt;&gt;")</f>
        <v>2</v>
      </c>
      <c r="Q29" s="146">
        <f>COUNTIFS(인력관리!$E:$E,$L8,INDEX(인력관리!$K:$AN,,COLUMNS($K:O)),"&lt;&gt;")</f>
        <v>5</v>
      </c>
      <c r="R29" s="146">
        <f>COUNTIFS(인력관리!$E:$E,$L8,INDEX(인력관리!$K:$AN,,COLUMNS($K:P)),"&lt;&gt;")</f>
        <v>5</v>
      </c>
      <c r="S29" s="146">
        <f>COUNTIFS(인력관리!$E:$E,$L8,INDEX(인력관리!$K:$AN,,COLUMNS($K:Q)),"&lt;&gt;")</f>
        <v>5</v>
      </c>
      <c r="T29" s="146">
        <f>COUNTIFS(인력관리!$E:$E,$L8,INDEX(인력관리!$K:$AN,,COLUMNS($K:R)),"&lt;&gt;")</f>
        <v>5</v>
      </c>
      <c r="U29" s="146">
        <f>COUNTIFS(인력관리!$E:$E,$L8,INDEX(인력관리!$K:$AN,,COLUMNS($K:S)),"&lt;&gt;")</f>
        <v>5</v>
      </c>
      <c r="V29" s="146">
        <f>COUNTIFS(인력관리!$E:$E,$L8,INDEX(인력관리!$K:$AN,,COLUMNS($K:T)),"&lt;&gt;")</f>
        <v>5</v>
      </c>
      <c r="W29" s="146">
        <f>COUNTIFS(인력관리!$E:$E,$L8,INDEX(인력관리!$K:$AN,,COLUMNS($K:U)),"&lt;&gt;")</f>
        <v>6</v>
      </c>
      <c r="X29" s="146">
        <f>COUNTIFS(인력관리!$E:$E,$L8,INDEX(인력관리!$K:$AN,,COLUMNS($K:V)),"&lt;&gt;")</f>
        <v>0</v>
      </c>
      <c r="Y29" s="146">
        <f>COUNTIFS(인력관리!$E:$E,$L8,INDEX(인력관리!$K:$AN,,COLUMNS($K:W)),"&lt;&gt;")</f>
        <v>5</v>
      </c>
      <c r="Z29" s="146">
        <f>COUNTIFS(인력관리!$E:$E,$L8,INDEX(인력관리!$K:$AN,,COLUMNS($K:X)),"&lt;&gt;")</f>
        <v>0</v>
      </c>
      <c r="AA29" s="146">
        <f>COUNTIFS(인력관리!$E:$E,$L8,INDEX(인력관리!$K:$AN,,COLUMNS($K:Y)),"&lt;&gt;")</f>
        <v>3</v>
      </c>
      <c r="AB29" s="146">
        <f>COUNTIFS(인력관리!$E:$E,$L8,INDEX(인력관리!$K:$AN,,COLUMNS($K:Z)),"&lt;&gt;")</f>
        <v>0</v>
      </c>
      <c r="AC29" s="146">
        <f>COUNTIFS(인력관리!$E:$E,$L8,INDEX(인력관리!$K:$AN,,COLUMNS($K:AA)),"&lt;&gt;")</f>
        <v>3</v>
      </c>
      <c r="AD29" s="146">
        <f>COUNTIFS(인력관리!$E:$E,$L8,INDEX(인력관리!$K:$AN,,COLUMNS($K:AB)),"&lt;&gt;")</f>
        <v>0</v>
      </c>
      <c r="AE29" s="146">
        <f>COUNTIFS(인력관리!$E:$E,$L8,INDEX(인력관리!$K:$AN,,COLUMNS($K:AC)),"&lt;&gt;")</f>
        <v>3</v>
      </c>
      <c r="AF29" s="146">
        <f>COUNTIFS(인력관리!$E:$E,$L8,INDEX(인력관리!$K:$AN,,COLUMNS($K:AD)),"&lt;&gt;")</f>
        <v>0</v>
      </c>
      <c r="AG29" s="146">
        <f>COUNTIFS(인력관리!$E:$E,$L8,INDEX(인력관리!$K:$AN,,COLUMNS($K:AE)),"&lt;&gt;")</f>
        <v>2</v>
      </c>
      <c r="AH29" s="146">
        <f>COUNTIFS(인력관리!$E:$E,$L8,INDEX(인력관리!$K:$AN,,COLUMNS($K:AF)),"&lt;&gt;")</f>
        <v>0</v>
      </c>
      <c r="AI29" s="146">
        <f>COUNTIFS(인력관리!$E:$E,$L8,INDEX(인력관리!$K:$AN,,COLUMNS($K:AG)),"&lt;&gt;")</f>
        <v>2</v>
      </c>
      <c r="AJ29" s="146">
        <f>COUNTIFS(인력관리!$E:$E,$L8,INDEX(인력관리!$K:$AN,,COLUMNS($K:AH)),"&lt;&gt;")</f>
        <v>0</v>
      </c>
      <c r="AK29" s="146">
        <f>COUNTIFS(인력관리!$E:$E,$L8,INDEX(인력관리!$K:$AN,,COLUMNS($K:AI)),"&lt;&gt;")</f>
        <v>2</v>
      </c>
      <c r="AL29" s="146">
        <f>COUNTIFS(인력관리!$E:$E,$L8,INDEX(인력관리!$K:$AN,,COLUMNS($K:AJ)),"&lt;&gt;")</f>
        <v>0</v>
      </c>
      <c r="AM29" s="146">
        <f>COUNTIFS(인력관리!$E:$E,$L8,INDEX(인력관리!$K:$AN,,COLUMNS($K:AK)),"&lt;&gt;")</f>
        <v>2</v>
      </c>
      <c r="AN29" s="146">
        <f>COUNTIFS(인력관리!$E:$E,$L8,INDEX(인력관리!$K:$AN,,COLUMNS($K:AL)),"&lt;&gt;")</f>
        <v>0</v>
      </c>
      <c r="AO29" s="146">
        <f>COUNTIFS(인력관리!$E:$E,$L8,INDEX(인력관리!$K:$AN,,COLUMNS($K:AM)),"&lt;&gt;")</f>
        <v>2</v>
      </c>
      <c r="AP29" s="146">
        <f>COUNTIFS(인력관리!$E:$E,$L8,INDEX(인력관리!$K:$AN,,COLUMNS($K:AN)),"&lt;&gt;")</f>
        <v>0</v>
      </c>
      <c r="AQ29" s="408">
        <f t="shared" si="19"/>
        <v>49</v>
      </c>
      <c r="AR29" s="408">
        <f t="shared" si="20"/>
        <v>19</v>
      </c>
      <c r="AS29" s="408">
        <f t="shared" si="21"/>
        <v>-30</v>
      </c>
    </row>
    <row r="30" spans="2:49" s="140" customFormat="1" ht="15">
      <c r="L30" s="231" t="s">
        <v>56</v>
      </c>
      <c r="M30" s="146">
        <f>COUNTIFS(인력관리!$E:$E,$L9,INDEX(인력관리!$K:$AN,,COLUMNS($K:K)),"&lt;&gt;")</f>
        <v>7</v>
      </c>
      <c r="N30" s="146">
        <f>COUNTIFS(인력관리!$E:$E,$L9,INDEX(인력관리!$K:$AN,,COLUMNS($K:L)),"&lt;&gt;")</f>
        <v>7</v>
      </c>
      <c r="O30" s="146">
        <f>COUNTIFS(인력관리!$E:$E,$L9,INDEX(인력관리!$K:$AN,,COLUMNS($K:M)),"&lt;&gt;")</f>
        <v>14</v>
      </c>
      <c r="P30" s="146">
        <f>COUNTIFS(인력관리!$E:$E,$L9,INDEX(인력관리!$K:$AN,,COLUMNS($K:N)),"&lt;&gt;")</f>
        <v>14</v>
      </c>
      <c r="Q30" s="146">
        <f>COUNTIFS(인력관리!$E:$E,$L9,INDEX(인력관리!$K:$AN,,COLUMNS($K:O)),"&lt;&gt;")</f>
        <v>19</v>
      </c>
      <c r="R30" s="146">
        <f>COUNTIFS(인력관리!$E:$E,$L9,INDEX(인력관리!$K:$AN,,COLUMNS($K:P)),"&lt;&gt;")</f>
        <v>19</v>
      </c>
      <c r="S30" s="146">
        <f>COUNTIFS(인력관리!$E:$E,$L9,INDEX(인력관리!$K:$AN,,COLUMNS($K:Q)),"&lt;&gt;")</f>
        <v>19</v>
      </c>
      <c r="T30" s="146">
        <f>COUNTIFS(인력관리!$E:$E,$L9,INDEX(인력관리!$K:$AN,,COLUMNS($K:R)),"&lt;&gt;")</f>
        <v>19</v>
      </c>
      <c r="U30" s="146">
        <f>COUNTIFS(인력관리!$E:$E,$L9,INDEX(인력관리!$K:$AN,,COLUMNS($K:S)),"&lt;&gt;")</f>
        <v>25</v>
      </c>
      <c r="V30" s="146">
        <f>COUNTIFS(인력관리!$E:$E,$L9,INDEX(인력관리!$K:$AN,,COLUMNS($K:T)),"&lt;&gt;")</f>
        <v>25</v>
      </c>
      <c r="W30" s="146">
        <f>COUNTIFS(인력관리!$E:$E,$L9,INDEX(인력관리!$K:$AN,,COLUMNS($K:U)),"&lt;&gt;")</f>
        <v>24</v>
      </c>
      <c r="X30" s="146">
        <f>COUNTIFS(인력관리!$E:$E,$L9,INDEX(인력관리!$K:$AN,,COLUMNS($K:V)),"&lt;&gt;")</f>
        <v>0</v>
      </c>
      <c r="Y30" s="146">
        <f>COUNTIFS(인력관리!$E:$E,$L9,INDEX(인력관리!$K:$AN,,COLUMNS($K:W)),"&lt;&gt;")</f>
        <v>24</v>
      </c>
      <c r="Z30" s="146">
        <f>COUNTIFS(인력관리!$E:$E,$L9,INDEX(인력관리!$K:$AN,,COLUMNS($K:X)),"&lt;&gt;")</f>
        <v>0</v>
      </c>
      <c r="AA30" s="146">
        <f>COUNTIFS(인력관리!$E:$E,$L9,INDEX(인력관리!$K:$AN,,COLUMNS($K:Y)),"&lt;&gt;")</f>
        <v>22</v>
      </c>
      <c r="AB30" s="146">
        <f>COUNTIFS(인력관리!$E:$E,$L9,INDEX(인력관리!$K:$AN,,COLUMNS($K:Z)),"&lt;&gt;")</f>
        <v>0</v>
      </c>
      <c r="AC30" s="146">
        <f>COUNTIFS(인력관리!$E:$E,$L9,INDEX(인력관리!$K:$AN,,COLUMNS($K:AA)),"&lt;&gt;")</f>
        <v>20</v>
      </c>
      <c r="AD30" s="146">
        <f>COUNTIFS(인력관리!$E:$E,$L9,INDEX(인력관리!$K:$AN,,COLUMNS($K:AB)),"&lt;&gt;")</f>
        <v>0</v>
      </c>
      <c r="AE30" s="146">
        <f>COUNTIFS(인력관리!$E:$E,$L9,INDEX(인력관리!$K:$AN,,COLUMNS($K:AC)),"&lt;&gt;")</f>
        <v>16</v>
      </c>
      <c r="AF30" s="146">
        <f>COUNTIFS(인력관리!$E:$E,$L9,INDEX(인력관리!$K:$AN,,COLUMNS($K:AD)),"&lt;&gt;")</f>
        <v>0</v>
      </c>
      <c r="AG30" s="146">
        <f>COUNTIFS(인력관리!$E:$E,$L9,INDEX(인력관리!$K:$AN,,COLUMNS($K:AE)),"&lt;&gt;")</f>
        <v>13</v>
      </c>
      <c r="AH30" s="146">
        <f>COUNTIFS(인력관리!$E:$E,$L9,INDEX(인력관리!$K:$AN,,COLUMNS($K:AF)),"&lt;&gt;")</f>
        <v>0</v>
      </c>
      <c r="AI30" s="146">
        <f>COUNTIFS(인력관리!$E:$E,$L9,INDEX(인력관리!$K:$AN,,COLUMNS($K:AG)),"&lt;&gt;")</f>
        <v>8</v>
      </c>
      <c r="AJ30" s="146">
        <f>COUNTIFS(인력관리!$E:$E,$L9,INDEX(인력관리!$K:$AN,,COLUMNS($K:AH)),"&lt;&gt;")</f>
        <v>0</v>
      </c>
      <c r="AK30" s="146">
        <f>COUNTIFS(인력관리!$E:$E,$L9,INDEX(인력관리!$K:$AN,,COLUMNS($K:AI)),"&lt;&gt;")</f>
        <v>7</v>
      </c>
      <c r="AL30" s="146">
        <f>COUNTIFS(인력관리!$E:$E,$L9,INDEX(인력관리!$K:$AN,,COLUMNS($K:AJ)),"&lt;&gt;")</f>
        <v>0</v>
      </c>
      <c r="AM30" s="146">
        <f>COUNTIFS(인력관리!$E:$E,$L9,INDEX(인력관리!$K:$AN,,COLUMNS($K:AK)),"&lt;&gt;")</f>
        <v>6</v>
      </c>
      <c r="AN30" s="146">
        <f>COUNTIFS(인력관리!$E:$E,$L9,INDEX(인력관리!$K:$AN,,COLUMNS($K:AL)),"&lt;&gt;")</f>
        <v>0</v>
      </c>
      <c r="AO30" s="146">
        <f>COUNTIFS(인력관리!$E:$E,$L9,INDEX(인력관리!$K:$AN,,COLUMNS($K:AM)),"&lt;&gt;")</f>
        <v>6</v>
      </c>
      <c r="AP30" s="146">
        <f>COUNTIFS(인력관리!$E:$E,$L9,INDEX(인력관리!$K:$AN,,COLUMNS($K:AN)),"&lt;&gt;")</f>
        <v>0</v>
      </c>
      <c r="AQ30" s="408">
        <f t="shared" si="19"/>
        <v>230</v>
      </c>
      <c r="AR30" s="408">
        <f t="shared" si="20"/>
        <v>84</v>
      </c>
      <c r="AS30" s="408">
        <f t="shared" si="21"/>
        <v>-146</v>
      </c>
    </row>
    <row r="31" spans="2:49" s="140" customFormat="1" ht="15">
      <c r="L31" s="73" t="s">
        <v>57</v>
      </c>
      <c r="M31" s="146">
        <f>COUNTIFS(인력관리!$E:$E,$L10,INDEX(인력관리!$K:$AN,,COLUMNS($K:K)),"&lt;&gt;")</f>
        <v>21</v>
      </c>
      <c r="N31" s="146">
        <f>COUNTIFS(인력관리!$E:$E,$L10,INDEX(인력관리!$K:$AN,,COLUMNS($K:L)),"&lt;&gt;")</f>
        <v>21</v>
      </c>
      <c r="O31" s="146">
        <f>COUNTIFS(인력관리!$E:$E,$L10,INDEX(인력관리!$K:$AN,,COLUMNS($K:M)),"&lt;&gt;")</f>
        <v>23</v>
      </c>
      <c r="P31" s="146">
        <f>COUNTIFS(인력관리!$E:$E,$L10,INDEX(인력관리!$K:$AN,,COLUMNS($K:N)),"&lt;&gt;")</f>
        <v>23</v>
      </c>
      <c r="Q31" s="146">
        <f>COUNTIFS(인력관리!$E:$E,$L10,INDEX(인력관리!$K:$AN,,COLUMNS($K:O)),"&lt;&gt;")</f>
        <v>30</v>
      </c>
      <c r="R31" s="146">
        <f>COUNTIFS(인력관리!$E:$E,$L10,INDEX(인력관리!$K:$AN,,COLUMNS($K:P)),"&lt;&gt;")</f>
        <v>30</v>
      </c>
      <c r="S31" s="146">
        <f>COUNTIFS(인력관리!$E:$E,$L10,INDEX(인력관리!$K:$AN,,COLUMNS($K:Q)),"&lt;&gt;")</f>
        <v>29</v>
      </c>
      <c r="T31" s="146">
        <f>COUNTIFS(인력관리!$E:$E,$L10,INDEX(인력관리!$K:$AN,,COLUMNS($K:R)),"&lt;&gt;")</f>
        <v>29</v>
      </c>
      <c r="U31" s="146">
        <f>COUNTIFS(인력관리!$E:$E,$L10,INDEX(인력관리!$K:$AN,,COLUMNS($K:S)),"&lt;&gt;")</f>
        <v>41</v>
      </c>
      <c r="V31" s="146">
        <f>COUNTIFS(인력관리!$E:$E,$L10,INDEX(인력관리!$K:$AN,,COLUMNS($K:T)),"&lt;&gt;")</f>
        <v>41</v>
      </c>
      <c r="W31" s="146">
        <f>COUNTIFS(인력관리!$E:$E,$L10,INDEX(인력관리!$K:$AN,,COLUMNS($K:U)),"&lt;&gt;")</f>
        <v>46</v>
      </c>
      <c r="X31" s="146">
        <f>COUNTIFS(인력관리!$E:$E,$L10,INDEX(인력관리!$K:$AN,,COLUMNS($K:V)),"&lt;&gt;")</f>
        <v>0</v>
      </c>
      <c r="Y31" s="146">
        <f>COUNTIFS(인력관리!$E:$E,$L10,INDEX(인력관리!$K:$AN,,COLUMNS($K:W)),"&lt;&gt;")</f>
        <v>46</v>
      </c>
      <c r="Z31" s="146">
        <f>COUNTIFS(인력관리!$E:$E,$L10,INDEX(인력관리!$K:$AN,,COLUMNS($K:X)),"&lt;&gt;")</f>
        <v>0</v>
      </c>
      <c r="AA31" s="146">
        <f>COUNTIFS(인력관리!$E:$E,$L10,INDEX(인력관리!$K:$AN,,COLUMNS($K:Y)),"&lt;&gt;")</f>
        <v>46</v>
      </c>
      <c r="AB31" s="146">
        <f>COUNTIFS(인력관리!$E:$E,$L10,INDEX(인력관리!$K:$AN,,COLUMNS($K:Z)),"&lt;&gt;")</f>
        <v>0</v>
      </c>
      <c r="AC31" s="146">
        <f>COUNTIFS(인력관리!$E:$E,$L10,INDEX(인력관리!$K:$AN,,COLUMNS($K:AA)),"&lt;&gt;")</f>
        <v>46</v>
      </c>
      <c r="AD31" s="146">
        <f>COUNTIFS(인력관리!$E:$E,$L10,INDEX(인력관리!$K:$AN,,COLUMNS($K:AB)),"&lt;&gt;")</f>
        <v>0</v>
      </c>
      <c r="AE31" s="146">
        <f>COUNTIFS(인력관리!$E:$E,$L10,INDEX(인력관리!$K:$AN,,COLUMNS($K:AC)),"&lt;&gt;")</f>
        <v>46</v>
      </c>
      <c r="AF31" s="146">
        <f>COUNTIFS(인력관리!$E:$E,$L10,INDEX(인력관리!$K:$AN,,COLUMNS($K:AD)),"&lt;&gt;")</f>
        <v>0</v>
      </c>
      <c r="AG31" s="146">
        <f>COUNTIFS(인력관리!$E:$E,$L10,INDEX(인력관리!$K:$AN,,COLUMNS($K:AE)),"&lt;&gt;")</f>
        <v>46</v>
      </c>
      <c r="AH31" s="146">
        <f>COUNTIFS(인력관리!$E:$E,$L10,INDEX(인력관리!$K:$AN,,COLUMNS($K:AF)),"&lt;&gt;")</f>
        <v>0</v>
      </c>
      <c r="AI31" s="146">
        <f>COUNTIFS(인력관리!$E:$E,$L10,INDEX(인력관리!$K:$AN,,COLUMNS($K:AG)),"&lt;&gt;")</f>
        <v>46</v>
      </c>
      <c r="AJ31" s="146">
        <f>COUNTIFS(인력관리!$E:$E,$L10,INDEX(인력관리!$K:$AN,,COLUMNS($K:AH)),"&lt;&gt;")</f>
        <v>0</v>
      </c>
      <c r="AK31" s="146">
        <f>COUNTIFS(인력관리!$E:$E,$L10,INDEX(인력관리!$K:$AN,,COLUMNS($K:AI)),"&lt;&gt;")</f>
        <v>46</v>
      </c>
      <c r="AL31" s="146">
        <f>COUNTIFS(인력관리!$E:$E,$L10,INDEX(인력관리!$K:$AN,,COLUMNS($K:AJ)),"&lt;&gt;")</f>
        <v>0</v>
      </c>
      <c r="AM31" s="146">
        <f>COUNTIFS(인력관리!$E:$E,$L10,INDEX(인력관리!$K:$AN,,COLUMNS($K:AK)),"&lt;&gt;")</f>
        <v>46</v>
      </c>
      <c r="AN31" s="146">
        <f>COUNTIFS(인력관리!$E:$E,$L10,INDEX(인력관리!$K:$AN,,COLUMNS($K:AL)),"&lt;&gt;")</f>
        <v>0</v>
      </c>
      <c r="AO31" s="146">
        <f>COUNTIFS(인력관리!$E:$E,$L10,INDEX(인력관리!$K:$AN,,COLUMNS($K:AM)),"&lt;&gt;")</f>
        <v>34</v>
      </c>
      <c r="AP31" s="146">
        <f>COUNTIFS(인력관리!$E:$E,$L10,INDEX(인력관리!$K:$AN,,COLUMNS($K:AN)),"&lt;&gt;")</f>
        <v>0</v>
      </c>
      <c r="AQ31" s="408">
        <f t="shared" si="19"/>
        <v>592</v>
      </c>
      <c r="AR31" s="408">
        <f t="shared" si="20"/>
        <v>144</v>
      </c>
      <c r="AS31" s="408">
        <f t="shared" si="21"/>
        <v>-448</v>
      </c>
    </row>
    <row r="32" spans="2:49" s="140" customFormat="1" ht="15">
      <c r="L32" s="73" t="s">
        <v>348</v>
      </c>
      <c r="M32" s="146">
        <f>COUNTIFS(인력관리!$E:$E,$L11,INDEX(인력관리!$K:$AN,,COLUMNS($K:K)),"&lt;&gt;")</f>
        <v>0</v>
      </c>
      <c r="N32" s="146">
        <f>COUNTIFS(인력관리!$E:$E,$L11,INDEX(인력관리!$K:$AN,,COLUMNS($K:L)),"&lt;&gt;")</f>
        <v>0</v>
      </c>
      <c r="O32" s="146">
        <f>COUNTIFS(인력관리!$E:$E,$L11,INDEX(인력관리!$K:$AN,,COLUMNS($K:M)),"&lt;&gt;")</f>
        <v>0</v>
      </c>
      <c r="P32" s="146">
        <f>COUNTIFS(인력관리!$E:$E,$L11,INDEX(인력관리!$K:$AN,,COLUMNS($K:N)),"&lt;&gt;")</f>
        <v>0</v>
      </c>
      <c r="Q32" s="146">
        <f>COUNTIFS(인력관리!$E:$E,$L11,INDEX(인력관리!$K:$AN,,COLUMNS($K:O)),"&lt;&gt;")</f>
        <v>0</v>
      </c>
      <c r="R32" s="146">
        <f>COUNTIFS(인력관리!$E:$E,$L11,INDEX(인력관리!$K:$AN,,COLUMNS($K:P)),"&lt;&gt;")</f>
        <v>0</v>
      </c>
      <c r="S32" s="146">
        <f>COUNTIFS(인력관리!$E:$E,$L11,INDEX(인력관리!$K:$AN,,COLUMNS($K:Q)),"&lt;&gt;")</f>
        <v>0</v>
      </c>
      <c r="T32" s="146">
        <f>COUNTIFS(인력관리!$E:$E,$L11,INDEX(인력관리!$K:$AN,,COLUMNS($K:R)),"&lt;&gt;")</f>
        <v>0</v>
      </c>
      <c r="U32" s="146">
        <f>COUNTIFS(인력관리!$E:$E,$L11,INDEX(인력관리!$K:$AN,,COLUMNS($K:S)),"&lt;&gt;")</f>
        <v>0</v>
      </c>
      <c r="V32" s="146">
        <f>COUNTIFS(인력관리!$E:$E,$L11,INDEX(인력관리!$K:$AN,,COLUMNS($K:T)),"&lt;&gt;")</f>
        <v>0</v>
      </c>
      <c r="W32" s="146">
        <f>COUNTIFS(인력관리!$E:$E,$L11,INDEX(인력관리!$K:$AN,,COLUMNS($K:U)),"&lt;&gt;")</f>
        <v>0</v>
      </c>
      <c r="X32" s="146">
        <f>COUNTIFS(인력관리!$E:$E,$L11,INDEX(인력관리!$K:$AN,,COLUMNS($K:V)),"&lt;&gt;")</f>
        <v>0</v>
      </c>
      <c r="Y32" s="146">
        <f>COUNTIFS(인력관리!$E:$E,$L11,INDEX(인력관리!$K:$AN,,COLUMNS($K:W)),"&lt;&gt;")</f>
        <v>0</v>
      </c>
      <c r="Z32" s="146">
        <f>COUNTIFS(인력관리!$E:$E,$L11,INDEX(인력관리!$K:$AN,,COLUMNS($K:X)),"&lt;&gt;")</f>
        <v>0</v>
      </c>
      <c r="AA32" s="146">
        <f>COUNTIFS(인력관리!$E:$E,$L11,INDEX(인력관리!$K:$AN,,COLUMNS($K:Y)),"&lt;&gt;")</f>
        <v>0</v>
      </c>
      <c r="AB32" s="146">
        <f>COUNTIFS(인력관리!$E:$E,$L11,INDEX(인력관리!$K:$AN,,COLUMNS($K:Z)),"&lt;&gt;")</f>
        <v>0</v>
      </c>
      <c r="AC32" s="146">
        <f>COUNTIFS(인력관리!$E:$E,$L11,INDEX(인력관리!$K:$AN,,COLUMNS($K:AA)),"&lt;&gt;")</f>
        <v>0</v>
      </c>
      <c r="AD32" s="146">
        <f>COUNTIFS(인력관리!$E:$E,$L11,INDEX(인력관리!$K:$AN,,COLUMNS($K:AB)),"&lt;&gt;")</f>
        <v>0</v>
      </c>
      <c r="AE32" s="146">
        <f>COUNTIFS(인력관리!$E:$E,$L11,INDEX(인력관리!$K:$AN,,COLUMNS($K:AC)),"&lt;&gt;")</f>
        <v>0</v>
      </c>
      <c r="AF32" s="146">
        <f>COUNTIFS(인력관리!$E:$E,$L11,INDEX(인력관리!$K:$AN,,COLUMNS($K:AD)),"&lt;&gt;")</f>
        <v>0</v>
      </c>
      <c r="AG32" s="146">
        <f>COUNTIFS(인력관리!$E:$E,$L11,INDEX(인력관리!$K:$AN,,COLUMNS($K:AE)),"&lt;&gt;")</f>
        <v>0</v>
      </c>
      <c r="AH32" s="146">
        <f>COUNTIFS(인력관리!$E:$E,$L11,INDEX(인력관리!$K:$AN,,COLUMNS($K:AF)),"&lt;&gt;")</f>
        <v>0</v>
      </c>
      <c r="AI32" s="146">
        <f>COUNTIFS(인력관리!$E:$E,$L11,INDEX(인력관리!$K:$AN,,COLUMNS($K:AG)),"&lt;&gt;")</f>
        <v>0</v>
      </c>
      <c r="AJ32" s="146">
        <f>COUNTIFS(인력관리!$E:$E,$L11,INDEX(인력관리!$K:$AN,,COLUMNS($K:AH)),"&lt;&gt;")</f>
        <v>0</v>
      </c>
      <c r="AK32" s="146">
        <f>COUNTIFS(인력관리!$E:$E,$L11,INDEX(인력관리!$K:$AN,,COLUMNS($K:AI)),"&lt;&gt;")</f>
        <v>0</v>
      </c>
      <c r="AL32" s="146">
        <f>COUNTIFS(인력관리!$E:$E,$L11,INDEX(인력관리!$K:$AN,,COLUMNS($K:AJ)),"&lt;&gt;")</f>
        <v>0</v>
      </c>
      <c r="AM32" s="146">
        <f>COUNTIFS(인력관리!$E:$E,$L11,INDEX(인력관리!$K:$AN,,COLUMNS($K:AK)),"&lt;&gt;")</f>
        <v>0</v>
      </c>
      <c r="AN32" s="146">
        <f>COUNTIFS(인력관리!$E:$E,$L11,INDEX(인력관리!$K:$AN,,COLUMNS($K:AL)),"&lt;&gt;")</f>
        <v>0</v>
      </c>
      <c r="AO32" s="146">
        <f>COUNTIFS(인력관리!$E:$E,$L11,INDEX(인력관리!$K:$AN,,COLUMNS($K:AM)),"&lt;&gt;")</f>
        <v>0</v>
      </c>
      <c r="AP32" s="146">
        <f>COUNTIFS(인력관리!$E:$E,$L11,INDEX(인력관리!$K:$AN,,COLUMNS($K:AN)),"&lt;&gt;")</f>
        <v>0</v>
      </c>
      <c r="AQ32" s="408">
        <f t="shared" si="19"/>
        <v>0</v>
      </c>
      <c r="AR32" s="408">
        <f t="shared" si="20"/>
        <v>0</v>
      </c>
      <c r="AS32" s="408">
        <f t="shared" si="21"/>
        <v>0</v>
      </c>
    </row>
    <row r="33" spans="12:45" s="140" customFormat="1" ht="15">
      <c r="L33" s="73" t="s">
        <v>58</v>
      </c>
      <c r="M33" s="146">
        <f>COUNTIFS(인력관리!$E:$E,$L12,INDEX(인력관리!$K:$AN,,COLUMNS($K:K)),"&lt;&gt;")</f>
        <v>2</v>
      </c>
      <c r="N33" s="146">
        <f>COUNTIFS(인력관리!$E:$E,$L12,INDEX(인력관리!$K:$AN,,COLUMNS($K:L)),"&lt;&gt;")</f>
        <v>2</v>
      </c>
      <c r="O33" s="146">
        <f>COUNTIFS(인력관리!$E:$E,$L12,INDEX(인력관리!$K:$AN,,COLUMNS($K:M)),"&lt;&gt;")</f>
        <v>4</v>
      </c>
      <c r="P33" s="146">
        <f>COUNTIFS(인력관리!$E:$E,$L12,INDEX(인력관리!$K:$AN,,COLUMNS($K:N)),"&lt;&gt;")</f>
        <v>4</v>
      </c>
      <c r="Q33" s="146">
        <f>COUNTIFS(인력관리!$E:$E,$L12,INDEX(인력관리!$K:$AN,,COLUMNS($K:O)),"&lt;&gt;")</f>
        <v>5</v>
      </c>
      <c r="R33" s="146">
        <f>COUNTIFS(인력관리!$E:$E,$L12,INDEX(인력관리!$K:$AN,,COLUMNS($K:P)),"&lt;&gt;")</f>
        <v>5</v>
      </c>
      <c r="S33" s="146">
        <f>COUNTIFS(인력관리!$E:$E,$L12,INDEX(인력관리!$K:$AN,,COLUMNS($K:Q)),"&lt;&gt;")</f>
        <v>11</v>
      </c>
      <c r="T33" s="146">
        <f>COUNTIFS(인력관리!$E:$E,$L12,INDEX(인력관리!$K:$AN,,COLUMNS($K:R)),"&lt;&gt;")</f>
        <v>11</v>
      </c>
      <c r="U33" s="146">
        <f>COUNTIFS(인력관리!$E:$E,$L12,INDEX(인력관리!$K:$AN,,COLUMNS($K:S)),"&lt;&gt;")</f>
        <v>10</v>
      </c>
      <c r="V33" s="146">
        <f>COUNTIFS(인력관리!$E:$E,$L12,INDEX(인력관리!$K:$AN,,COLUMNS($K:T)),"&lt;&gt;")</f>
        <v>10</v>
      </c>
      <c r="W33" s="146">
        <f>COUNTIFS(인력관리!$E:$E,$L12,INDEX(인력관리!$K:$AN,,COLUMNS($K:U)),"&lt;&gt;")</f>
        <v>9</v>
      </c>
      <c r="X33" s="146">
        <f>COUNTIFS(인력관리!$E:$E,$L12,INDEX(인력관리!$K:$AN,,COLUMNS($K:V)),"&lt;&gt;")</f>
        <v>0</v>
      </c>
      <c r="Y33" s="146">
        <f>COUNTIFS(인력관리!$E:$E,$L12,INDEX(인력관리!$K:$AN,,COLUMNS($K:W)),"&lt;&gt;")</f>
        <v>7</v>
      </c>
      <c r="Z33" s="146">
        <f>COUNTIFS(인력관리!$E:$E,$L12,INDEX(인력관리!$K:$AN,,COLUMNS($K:X)),"&lt;&gt;")</f>
        <v>0</v>
      </c>
      <c r="AA33" s="146">
        <f>COUNTIFS(인력관리!$E:$E,$L12,INDEX(인력관리!$K:$AN,,COLUMNS($K:Y)),"&lt;&gt;")</f>
        <v>7</v>
      </c>
      <c r="AB33" s="146">
        <f>COUNTIFS(인력관리!$E:$E,$L12,INDEX(인력관리!$K:$AN,,COLUMNS($K:Z)),"&lt;&gt;")</f>
        <v>0</v>
      </c>
      <c r="AC33" s="146">
        <f>COUNTIFS(인력관리!$E:$E,$L12,INDEX(인력관리!$K:$AN,,COLUMNS($K:AA)),"&lt;&gt;")</f>
        <v>7</v>
      </c>
      <c r="AD33" s="146">
        <f>COUNTIFS(인력관리!$E:$E,$L12,INDEX(인력관리!$K:$AN,,COLUMNS($K:AB)),"&lt;&gt;")</f>
        <v>0</v>
      </c>
      <c r="AE33" s="146">
        <f>COUNTIFS(인력관리!$E:$E,$L12,INDEX(인력관리!$K:$AN,,COLUMNS($K:AC)),"&lt;&gt;")</f>
        <v>6</v>
      </c>
      <c r="AF33" s="146">
        <f>COUNTIFS(인력관리!$E:$E,$L12,INDEX(인력관리!$K:$AN,,COLUMNS($K:AD)),"&lt;&gt;")</f>
        <v>0</v>
      </c>
      <c r="AG33" s="146">
        <f>COUNTIFS(인력관리!$E:$E,$L12,INDEX(인력관리!$K:$AN,,COLUMNS($K:AE)),"&lt;&gt;")</f>
        <v>6</v>
      </c>
      <c r="AH33" s="146">
        <f>COUNTIFS(인력관리!$E:$E,$L12,INDEX(인력관리!$K:$AN,,COLUMNS($K:AF)),"&lt;&gt;")</f>
        <v>0</v>
      </c>
      <c r="AI33" s="146">
        <f>COUNTIFS(인력관리!$E:$E,$L12,INDEX(인력관리!$K:$AN,,COLUMNS($K:AG)),"&lt;&gt;")</f>
        <v>3</v>
      </c>
      <c r="AJ33" s="146">
        <f>COUNTIFS(인력관리!$E:$E,$L12,INDEX(인력관리!$K:$AN,,COLUMNS($K:AH)),"&lt;&gt;")</f>
        <v>0</v>
      </c>
      <c r="AK33" s="146">
        <f>COUNTIFS(인력관리!$E:$E,$L12,INDEX(인력관리!$K:$AN,,COLUMNS($K:AI)),"&lt;&gt;")</f>
        <v>3</v>
      </c>
      <c r="AL33" s="146">
        <f>COUNTIFS(인력관리!$E:$E,$L12,INDEX(인력관리!$K:$AN,,COLUMNS($K:AJ)),"&lt;&gt;")</f>
        <v>0</v>
      </c>
      <c r="AM33" s="146">
        <f>COUNTIFS(인력관리!$E:$E,$L12,INDEX(인력관리!$K:$AN,,COLUMNS($K:AK)),"&lt;&gt;")</f>
        <v>1</v>
      </c>
      <c r="AN33" s="146">
        <f>COUNTIFS(인력관리!$E:$E,$L12,INDEX(인력관리!$K:$AN,,COLUMNS($K:AL)),"&lt;&gt;")</f>
        <v>0</v>
      </c>
      <c r="AO33" s="146">
        <f>COUNTIFS(인력관리!$E:$E,$L12,INDEX(인력관리!$K:$AN,,COLUMNS($K:AM)),"&lt;&gt;")</f>
        <v>1</v>
      </c>
      <c r="AP33" s="146">
        <f>COUNTIFS(인력관리!$E:$E,$L12,INDEX(인력관리!$K:$AN,,COLUMNS($K:AN)),"&lt;&gt;")</f>
        <v>0</v>
      </c>
      <c r="AQ33" s="408">
        <f t="shared" si="19"/>
        <v>82</v>
      </c>
      <c r="AR33" s="408">
        <f t="shared" si="20"/>
        <v>32</v>
      </c>
      <c r="AS33" s="408">
        <f t="shared" si="21"/>
        <v>-50</v>
      </c>
    </row>
    <row r="34" spans="12:45" s="140" customFormat="1" ht="15">
      <c r="L34" s="73" t="s">
        <v>40</v>
      </c>
      <c r="M34" s="146">
        <f>COUNTIFS(인력관리!$E:$E,$L13,INDEX(인력관리!$K:$AN,,COLUMNS($K:K)),"&lt;&gt;")</f>
        <v>3</v>
      </c>
      <c r="N34" s="146">
        <f>COUNTIFS(인력관리!$E:$E,$L13,INDEX(인력관리!$K:$AN,,COLUMNS($K:L)),"&lt;&gt;")</f>
        <v>3</v>
      </c>
      <c r="O34" s="146">
        <f>COUNTIFS(인력관리!$E:$E,$L13,INDEX(인력관리!$K:$AN,,COLUMNS($K:M)),"&lt;&gt;")</f>
        <v>11</v>
      </c>
      <c r="P34" s="146">
        <f>COUNTIFS(인력관리!$E:$E,$L13,INDEX(인력관리!$K:$AN,,COLUMNS($K:N)),"&lt;&gt;")</f>
        <v>12</v>
      </c>
      <c r="Q34" s="146">
        <f>COUNTIFS(인력관리!$E:$E,$L13,INDEX(인력관리!$K:$AN,,COLUMNS($K:O)),"&lt;&gt;")</f>
        <v>16</v>
      </c>
      <c r="R34" s="146">
        <f>COUNTIFS(인력관리!$E:$E,$L13,INDEX(인력관리!$K:$AN,,COLUMNS($K:P)),"&lt;&gt;")</f>
        <v>15</v>
      </c>
      <c r="S34" s="146">
        <f>COUNTIFS(인력관리!$E:$E,$L13,INDEX(인력관리!$K:$AN,,COLUMNS($K:Q)),"&lt;&gt;")</f>
        <v>19</v>
      </c>
      <c r="T34" s="146">
        <f>COUNTIFS(인력관리!$E:$E,$L13,INDEX(인력관리!$K:$AN,,COLUMNS($K:R)),"&lt;&gt;")</f>
        <v>19</v>
      </c>
      <c r="U34" s="146">
        <f>COUNTIFS(인력관리!$E:$E,$L13,INDEX(인력관리!$K:$AN,,COLUMNS($K:S)),"&lt;&gt;")</f>
        <v>18</v>
      </c>
      <c r="V34" s="146">
        <f>COUNTIFS(인력관리!$E:$E,$L13,INDEX(인력관리!$K:$AN,,COLUMNS($K:T)),"&lt;&gt;")</f>
        <v>17</v>
      </c>
      <c r="W34" s="146">
        <f>COUNTIFS(인력관리!$E:$E,$L13,INDEX(인력관리!$K:$AN,,COLUMNS($K:U)),"&lt;&gt;")</f>
        <v>22</v>
      </c>
      <c r="X34" s="146">
        <f>COUNTIFS(인력관리!$E:$E,$L13,INDEX(인력관리!$K:$AN,,COLUMNS($K:V)),"&lt;&gt;")</f>
        <v>0</v>
      </c>
      <c r="Y34" s="146">
        <f>COUNTIFS(인력관리!$E:$E,$L13,INDEX(인력관리!$K:$AN,,COLUMNS($K:W)),"&lt;&gt;")</f>
        <v>22</v>
      </c>
      <c r="Z34" s="146">
        <f>COUNTIFS(인력관리!$E:$E,$L13,INDEX(인력관리!$K:$AN,,COLUMNS($K:X)),"&lt;&gt;")</f>
        <v>0</v>
      </c>
      <c r="AA34" s="146">
        <f>COUNTIFS(인력관리!$E:$E,$L13,INDEX(인력관리!$K:$AN,,COLUMNS($K:Y)),"&lt;&gt;")</f>
        <v>20</v>
      </c>
      <c r="AB34" s="146">
        <f>COUNTIFS(인력관리!$E:$E,$L13,INDEX(인력관리!$K:$AN,,COLUMNS($K:Z)),"&lt;&gt;")</f>
        <v>0</v>
      </c>
      <c r="AC34" s="146">
        <f>COUNTIFS(인력관리!$E:$E,$L13,INDEX(인력관리!$K:$AN,,COLUMNS($K:AA)),"&lt;&gt;")</f>
        <v>17</v>
      </c>
      <c r="AD34" s="146">
        <f>COUNTIFS(인력관리!$E:$E,$L13,INDEX(인력관리!$K:$AN,,COLUMNS($K:AB)),"&lt;&gt;")</f>
        <v>0</v>
      </c>
      <c r="AE34" s="146">
        <f>COUNTIFS(인력관리!$E:$E,$L13,INDEX(인력관리!$K:$AN,,COLUMNS($K:AC)),"&lt;&gt;")</f>
        <v>17</v>
      </c>
      <c r="AF34" s="146">
        <f>COUNTIFS(인력관리!$E:$E,$L13,INDEX(인력관리!$K:$AN,,COLUMNS($K:AD)),"&lt;&gt;")</f>
        <v>0</v>
      </c>
      <c r="AG34" s="146">
        <f>COUNTIFS(인력관리!$E:$E,$L13,INDEX(인력관리!$K:$AN,,COLUMNS($K:AE)),"&lt;&gt;")</f>
        <v>18</v>
      </c>
      <c r="AH34" s="146">
        <f>COUNTIFS(인력관리!$E:$E,$L13,INDEX(인력관리!$K:$AN,,COLUMNS($K:AF)),"&lt;&gt;")</f>
        <v>0</v>
      </c>
      <c r="AI34" s="146">
        <f>COUNTIFS(인력관리!$E:$E,$L13,INDEX(인력관리!$K:$AN,,COLUMNS($K:AG)),"&lt;&gt;")</f>
        <v>18</v>
      </c>
      <c r="AJ34" s="146">
        <f>COUNTIFS(인력관리!$E:$E,$L13,INDEX(인력관리!$K:$AN,,COLUMNS($K:AH)),"&lt;&gt;")</f>
        <v>0</v>
      </c>
      <c r="AK34" s="146">
        <f>COUNTIFS(인력관리!$E:$E,$L13,INDEX(인력관리!$K:$AN,,COLUMNS($K:AI)),"&lt;&gt;")</f>
        <v>15</v>
      </c>
      <c r="AL34" s="146">
        <f>COUNTIFS(인력관리!$E:$E,$L13,INDEX(인력관리!$K:$AN,,COLUMNS($K:AJ)),"&lt;&gt;")</f>
        <v>0</v>
      </c>
      <c r="AM34" s="146">
        <f>COUNTIFS(인력관리!$E:$E,$L13,INDEX(인력관리!$K:$AN,,COLUMNS($K:AK)),"&lt;&gt;")</f>
        <v>13</v>
      </c>
      <c r="AN34" s="146">
        <f>COUNTIFS(인력관리!$E:$E,$L13,INDEX(인력관리!$K:$AN,,COLUMNS($K:AL)),"&lt;&gt;")</f>
        <v>0</v>
      </c>
      <c r="AO34" s="146">
        <f>COUNTIFS(인력관리!$E:$E,$L13,INDEX(인력관리!$K:$AN,,COLUMNS($K:AM)),"&lt;&gt;")</f>
        <v>7</v>
      </c>
      <c r="AP34" s="146">
        <f>COUNTIFS(인력관리!$E:$E,$L13,INDEX(인력관리!$K:$AN,,COLUMNS($K:AN)),"&lt;&gt;")</f>
        <v>0</v>
      </c>
      <c r="AQ34" s="408">
        <f t="shared" si="19"/>
        <v>236</v>
      </c>
      <c r="AR34" s="408">
        <f t="shared" si="20"/>
        <v>66</v>
      </c>
      <c r="AS34" s="408">
        <f t="shared" si="21"/>
        <v>-170</v>
      </c>
    </row>
    <row r="35" spans="12:45" s="140" customFormat="1" ht="15">
      <c r="L35" s="73" t="s">
        <v>59</v>
      </c>
      <c r="M35" s="146">
        <f>COUNTIFS(인력관리!$E:$E,$L14,INDEX(인력관리!$K:$AN,,COLUMNS($K:K)),"&lt;&gt;")</f>
        <v>4</v>
      </c>
      <c r="N35" s="146">
        <f>COUNTIFS(인력관리!$E:$E,$L14,INDEX(인력관리!$K:$AN,,COLUMNS($K:L)),"&lt;&gt;")</f>
        <v>4</v>
      </c>
      <c r="O35" s="146">
        <f>COUNTIFS(인력관리!$E:$E,$L14,INDEX(인력관리!$K:$AN,,COLUMNS($K:M)),"&lt;&gt;")</f>
        <v>5</v>
      </c>
      <c r="P35" s="146">
        <f>COUNTIFS(인력관리!$E:$E,$L14,INDEX(인력관리!$K:$AN,,COLUMNS($K:N)),"&lt;&gt;")</f>
        <v>5</v>
      </c>
      <c r="Q35" s="146">
        <f>COUNTIFS(인력관리!$E:$E,$L14,INDEX(인력관리!$K:$AN,,COLUMNS($K:O)),"&lt;&gt;")</f>
        <v>8</v>
      </c>
      <c r="R35" s="146">
        <f>COUNTIFS(인력관리!$E:$E,$L14,INDEX(인력관리!$K:$AN,,COLUMNS($K:P)),"&lt;&gt;")</f>
        <v>6</v>
      </c>
      <c r="S35" s="146">
        <f>COUNTIFS(인력관리!$E:$E,$L14,INDEX(인력관리!$K:$AN,,COLUMNS($K:Q)),"&lt;&gt;")</f>
        <v>9</v>
      </c>
      <c r="T35" s="146">
        <f>COUNTIFS(인력관리!$E:$E,$L14,INDEX(인력관리!$K:$AN,,COLUMNS($K:R)),"&lt;&gt;")</f>
        <v>9</v>
      </c>
      <c r="U35" s="146">
        <f>COUNTIFS(인력관리!$E:$E,$L14,INDEX(인력관리!$K:$AN,,COLUMNS($K:S)),"&lt;&gt;")</f>
        <v>10</v>
      </c>
      <c r="V35" s="146">
        <f>COUNTIFS(인력관리!$E:$E,$L14,INDEX(인력관리!$K:$AN,,COLUMNS($K:T)),"&lt;&gt;")</f>
        <v>9</v>
      </c>
      <c r="W35" s="146">
        <f>COUNTIFS(인력관리!$E:$E,$L14,INDEX(인력관리!$K:$AN,,COLUMNS($K:U)),"&lt;&gt;")</f>
        <v>10</v>
      </c>
      <c r="X35" s="146">
        <f>COUNTIFS(인력관리!$E:$E,$L14,INDEX(인력관리!$K:$AN,,COLUMNS($K:V)),"&lt;&gt;")</f>
        <v>0</v>
      </c>
      <c r="Y35" s="146">
        <f>COUNTIFS(인력관리!$E:$E,$L14,INDEX(인력관리!$K:$AN,,COLUMNS($K:W)),"&lt;&gt;")</f>
        <v>10</v>
      </c>
      <c r="Z35" s="146">
        <f>COUNTIFS(인력관리!$E:$E,$L14,INDEX(인력관리!$K:$AN,,COLUMNS($K:X)),"&lt;&gt;")</f>
        <v>0</v>
      </c>
      <c r="AA35" s="146">
        <f>COUNTIFS(인력관리!$E:$E,$L14,INDEX(인력관리!$K:$AN,,COLUMNS($K:Y)),"&lt;&gt;")</f>
        <v>10</v>
      </c>
      <c r="AB35" s="146">
        <f>COUNTIFS(인력관리!$E:$E,$L14,INDEX(인력관리!$K:$AN,,COLUMNS($K:Z)),"&lt;&gt;")</f>
        <v>0</v>
      </c>
      <c r="AC35" s="146">
        <f>COUNTIFS(인력관리!$E:$E,$L14,INDEX(인력관리!$K:$AN,,COLUMNS($K:AA)),"&lt;&gt;")</f>
        <v>10</v>
      </c>
      <c r="AD35" s="146">
        <f>COUNTIFS(인력관리!$E:$E,$L14,INDEX(인력관리!$K:$AN,,COLUMNS($K:AB)),"&lt;&gt;")</f>
        <v>0</v>
      </c>
      <c r="AE35" s="146">
        <f>COUNTIFS(인력관리!$E:$E,$L14,INDEX(인력관리!$K:$AN,,COLUMNS($K:AC)),"&lt;&gt;")</f>
        <v>10</v>
      </c>
      <c r="AF35" s="146">
        <f>COUNTIFS(인력관리!$E:$E,$L14,INDEX(인력관리!$K:$AN,,COLUMNS($K:AD)),"&lt;&gt;")</f>
        <v>0</v>
      </c>
      <c r="AG35" s="146">
        <f>COUNTIFS(인력관리!$E:$E,$L14,INDEX(인력관리!$K:$AN,,COLUMNS($K:AE)),"&lt;&gt;")</f>
        <v>8</v>
      </c>
      <c r="AH35" s="146">
        <f>COUNTIFS(인력관리!$E:$E,$L14,INDEX(인력관리!$K:$AN,,COLUMNS($K:AF)),"&lt;&gt;")</f>
        <v>0</v>
      </c>
      <c r="AI35" s="146">
        <f>COUNTIFS(인력관리!$E:$E,$L14,INDEX(인력관리!$K:$AN,,COLUMNS($K:AG)),"&lt;&gt;")</f>
        <v>6</v>
      </c>
      <c r="AJ35" s="146">
        <f>COUNTIFS(인력관리!$E:$E,$L14,INDEX(인력관리!$K:$AN,,COLUMNS($K:AH)),"&lt;&gt;")</f>
        <v>0</v>
      </c>
      <c r="AK35" s="146">
        <f>COUNTIFS(인력관리!$E:$E,$L14,INDEX(인력관리!$K:$AN,,COLUMNS($K:AI)),"&lt;&gt;")</f>
        <v>6</v>
      </c>
      <c r="AL35" s="146">
        <f>COUNTIFS(인력관리!$E:$E,$L14,INDEX(인력관리!$K:$AN,,COLUMNS($K:AJ)),"&lt;&gt;")</f>
        <v>0</v>
      </c>
      <c r="AM35" s="146">
        <f>COUNTIFS(인력관리!$E:$E,$L14,INDEX(인력관리!$K:$AN,,COLUMNS($K:AK)),"&lt;&gt;")</f>
        <v>4</v>
      </c>
      <c r="AN35" s="146">
        <f>COUNTIFS(인력관리!$E:$E,$L14,INDEX(인력관리!$K:$AN,,COLUMNS($K:AL)),"&lt;&gt;")</f>
        <v>0</v>
      </c>
      <c r="AO35" s="146">
        <f>COUNTIFS(인력관리!$E:$E,$L14,INDEX(인력관리!$K:$AN,,COLUMNS($K:AM)),"&lt;&gt;")</f>
        <v>4</v>
      </c>
      <c r="AP35" s="146">
        <f>COUNTIFS(인력관리!$E:$E,$L14,INDEX(인력관리!$K:$AN,,COLUMNS($K:AN)),"&lt;&gt;")</f>
        <v>0</v>
      </c>
      <c r="AQ35" s="408">
        <f t="shared" si="19"/>
        <v>114</v>
      </c>
      <c r="AR35" s="408">
        <f t="shared" si="20"/>
        <v>33</v>
      </c>
      <c r="AS35" s="408">
        <f t="shared" si="21"/>
        <v>-81</v>
      </c>
    </row>
    <row r="36" spans="12:45" s="140" customFormat="1" ht="15">
      <c r="L36" s="114" t="s">
        <v>60</v>
      </c>
      <c r="M36" s="146">
        <f>COUNTIFS(인력관리!$E:$E,$L15,INDEX(인력관리!$K:$AN,,COLUMNS($K:K)),"&lt;&gt;")</f>
        <v>0</v>
      </c>
      <c r="N36" s="146">
        <f>COUNTIFS(인력관리!$E:$E,$L15,INDEX(인력관리!$K:$AN,,COLUMNS($K:L)),"&lt;&gt;")</f>
        <v>0</v>
      </c>
      <c r="O36" s="146">
        <f>COUNTIFS(인력관리!$E:$E,$L15,INDEX(인력관리!$K:$AN,,COLUMNS($K:M)),"&lt;&gt;")</f>
        <v>2</v>
      </c>
      <c r="P36" s="146">
        <f>COUNTIFS(인력관리!$E:$E,$L15,INDEX(인력관리!$K:$AN,,COLUMNS($K:N)),"&lt;&gt;")</f>
        <v>2</v>
      </c>
      <c r="Q36" s="146">
        <f>COUNTIFS(인력관리!$E:$E,$L15,INDEX(인력관리!$K:$AN,,COLUMNS($K:O)),"&lt;&gt;")</f>
        <v>2</v>
      </c>
      <c r="R36" s="146">
        <f>COUNTIFS(인력관리!$E:$E,$L15,INDEX(인력관리!$K:$AN,,COLUMNS($K:P)),"&lt;&gt;")</f>
        <v>2</v>
      </c>
      <c r="S36" s="146">
        <f>COUNTIFS(인력관리!$E:$E,$L15,INDEX(인력관리!$K:$AN,,COLUMNS($K:Q)),"&lt;&gt;")</f>
        <v>2</v>
      </c>
      <c r="T36" s="146">
        <f>COUNTIFS(인력관리!$E:$E,$L15,INDEX(인력관리!$K:$AN,,COLUMNS($K:R)),"&lt;&gt;")</f>
        <v>2</v>
      </c>
      <c r="U36" s="146">
        <f>COUNTIFS(인력관리!$E:$E,$L15,INDEX(인력관리!$K:$AN,,COLUMNS($K:S)),"&lt;&gt;")</f>
        <v>2</v>
      </c>
      <c r="V36" s="146">
        <f>COUNTIFS(인력관리!$E:$E,$L15,INDEX(인력관리!$K:$AN,,COLUMNS($K:T)),"&lt;&gt;")</f>
        <v>2</v>
      </c>
      <c r="W36" s="146">
        <f>COUNTIFS(인력관리!$E:$E,$L15,INDEX(인력관리!$K:$AN,,COLUMNS($K:U)),"&lt;&gt;")</f>
        <v>2</v>
      </c>
      <c r="X36" s="146">
        <f>COUNTIFS(인력관리!$E:$E,$L15,INDEX(인력관리!$K:$AN,,COLUMNS($K:V)),"&lt;&gt;")</f>
        <v>0</v>
      </c>
      <c r="Y36" s="146">
        <f>COUNTIFS(인력관리!$E:$E,$L15,INDEX(인력관리!$K:$AN,,COLUMNS($K:W)),"&lt;&gt;")</f>
        <v>6</v>
      </c>
      <c r="Z36" s="146">
        <f>COUNTIFS(인력관리!$E:$E,$L15,INDEX(인력관리!$K:$AN,,COLUMNS($K:X)),"&lt;&gt;")</f>
        <v>0</v>
      </c>
      <c r="AA36" s="146">
        <f>COUNTIFS(인력관리!$E:$E,$L15,INDEX(인력관리!$K:$AN,,COLUMNS($K:Y)),"&lt;&gt;")</f>
        <v>11</v>
      </c>
      <c r="AB36" s="146">
        <f>COUNTIFS(인력관리!$E:$E,$L15,INDEX(인력관리!$K:$AN,,COLUMNS($K:Z)),"&lt;&gt;")</f>
        <v>0</v>
      </c>
      <c r="AC36" s="146">
        <f>COUNTIFS(인력관리!$E:$E,$L15,INDEX(인력관리!$K:$AN,,COLUMNS($K:AA)),"&lt;&gt;")</f>
        <v>11</v>
      </c>
      <c r="AD36" s="146">
        <f>COUNTIFS(인력관리!$E:$E,$L15,INDEX(인력관리!$K:$AN,,COLUMNS($K:AB)),"&lt;&gt;")</f>
        <v>0</v>
      </c>
      <c r="AE36" s="146">
        <f>COUNTIFS(인력관리!$E:$E,$L15,INDEX(인력관리!$K:$AN,,COLUMNS($K:AC)),"&lt;&gt;")</f>
        <v>11</v>
      </c>
      <c r="AF36" s="146">
        <f>COUNTIFS(인력관리!$E:$E,$L15,INDEX(인력관리!$K:$AN,,COLUMNS($K:AD)),"&lt;&gt;")</f>
        <v>0</v>
      </c>
      <c r="AG36" s="146">
        <f>COUNTIFS(인력관리!$E:$E,$L15,INDEX(인력관리!$K:$AN,,COLUMNS($K:AE)),"&lt;&gt;")</f>
        <v>11</v>
      </c>
      <c r="AH36" s="146">
        <f>COUNTIFS(인력관리!$E:$E,$L15,INDEX(인력관리!$K:$AN,,COLUMNS($K:AF)),"&lt;&gt;")</f>
        <v>0</v>
      </c>
      <c r="AI36" s="146">
        <f>COUNTIFS(인력관리!$E:$E,$L15,INDEX(인력관리!$K:$AN,,COLUMNS($K:AG)),"&lt;&gt;")</f>
        <v>11</v>
      </c>
      <c r="AJ36" s="146">
        <f>COUNTIFS(인력관리!$E:$E,$L15,INDEX(인력관리!$K:$AN,,COLUMNS($K:AH)),"&lt;&gt;")</f>
        <v>0</v>
      </c>
      <c r="AK36" s="146">
        <f>COUNTIFS(인력관리!$E:$E,$L15,INDEX(인력관리!$K:$AN,,COLUMNS($K:AI)),"&lt;&gt;")</f>
        <v>11</v>
      </c>
      <c r="AL36" s="146">
        <f>COUNTIFS(인력관리!$E:$E,$L15,INDEX(인력관리!$K:$AN,,COLUMNS($K:AJ)),"&lt;&gt;")</f>
        <v>0</v>
      </c>
      <c r="AM36" s="146">
        <f>COUNTIFS(인력관리!$E:$E,$L15,INDEX(인력관리!$K:$AN,,COLUMNS($K:AK)),"&lt;&gt;")</f>
        <v>11</v>
      </c>
      <c r="AN36" s="146">
        <f>COUNTIFS(인력관리!$E:$E,$L15,INDEX(인력관리!$K:$AN,,COLUMNS($K:AL)),"&lt;&gt;")</f>
        <v>0</v>
      </c>
      <c r="AO36" s="146">
        <f>COUNTIFS(인력관리!$E:$E,$L15,INDEX(인력관리!$K:$AN,,COLUMNS($K:AM)),"&lt;&gt;")</f>
        <v>0</v>
      </c>
      <c r="AP36" s="146">
        <f>COUNTIFS(인력관리!$E:$E,$L15,INDEX(인력관리!$K:$AN,,COLUMNS($K:AN)),"&lt;&gt;")</f>
        <v>0</v>
      </c>
      <c r="AQ36" s="408">
        <f t="shared" si="19"/>
        <v>93</v>
      </c>
      <c r="AR36" s="408">
        <f t="shared" si="20"/>
        <v>8</v>
      </c>
      <c r="AS36" s="408">
        <f t="shared" si="21"/>
        <v>-85</v>
      </c>
    </row>
    <row r="37" spans="12:45" s="140" customFormat="1" ht="15">
      <c r="L37" s="229" t="s">
        <v>41</v>
      </c>
      <c r="M37" s="146">
        <f>COUNTIFS(인력관리!$E:$E,$L16,INDEX(인력관리!$K:$AN,,COLUMNS($K:K)),"&lt;&gt;")</f>
        <v>0</v>
      </c>
      <c r="N37" s="146">
        <f>COUNTIFS(인력관리!$E:$E,$L16,INDEX(인력관리!$K:$AN,,COLUMNS($K:L)),"&lt;&gt;")</f>
        <v>0</v>
      </c>
      <c r="O37" s="146">
        <f>COUNTIFS(인력관리!$E:$E,$L16,INDEX(인력관리!$K:$AN,,COLUMNS($K:M)),"&lt;&gt;")</f>
        <v>0</v>
      </c>
      <c r="P37" s="146">
        <f>COUNTIFS(인력관리!$E:$E,$L16,INDEX(인력관리!$K:$AN,,COLUMNS($K:N)),"&lt;&gt;")</f>
        <v>0</v>
      </c>
      <c r="Q37" s="146">
        <f>COUNTIFS(인력관리!$E:$E,$L16,INDEX(인력관리!$K:$AN,,COLUMNS($K:O)),"&lt;&gt;")</f>
        <v>0</v>
      </c>
      <c r="R37" s="146">
        <f>COUNTIFS(인력관리!$E:$E,$L16,INDEX(인력관리!$K:$AN,,COLUMNS($K:P)),"&lt;&gt;")</f>
        <v>0</v>
      </c>
      <c r="S37" s="146">
        <f>COUNTIFS(인력관리!$E:$E,$L16,INDEX(인력관리!$K:$AN,,COLUMNS($K:Q)),"&lt;&gt;")</f>
        <v>0</v>
      </c>
      <c r="T37" s="146">
        <f>COUNTIFS(인력관리!$E:$E,$L16,INDEX(인력관리!$K:$AN,,COLUMNS($K:R)),"&lt;&gt;")</f>
        <v>0</v>
      </c>
      <c r="U37" s="146">
        <f>COUNTIFS(인력관리!$E:$E,$L16,INDEX(인력관리!$K:$AN,,COLUMNS($K:S)),"&lt;&gt;")</f>
        <v>0</v>
      </c>
      <c r="V37" s="146">
        <f>COUNTIFS(인력관리!$E:$E,$L16,INDEX(인력관리!$K:$AN,,COLUMNS($K:T)),"&lt;&gt;")</f>
        <v>0</v>
      </c>
      <c r="W37" s="146">
        <f>COUNTIFS(인력관리!$E:$E,$L16,INDEX(인력관리!$K:$AN,,COLUMNS($K:U)),"&lt;&gt;")</f>
        <v>1</v>
      </c>
      <c r="X37" s="146">
        <f>COUNTIFS(인력관리!$E:$E,$L16,INDEX(인력관리!$K:$AN,,COLUMNS($K:V)),"&lt;&gt;")</f>
        <v>0</v>
      </c>
      <c r="Y37" s="146">
        <f>COUNTIFS(인력관리!$E:$E,$L16,INDEX(인력관리!$K:$AN,,COLUMNS($K:W)),"&lt;&gt;")</f>
        <v>1</v>
      </c>
      <c r="Z37" s="146">
        <f>COUNTIFS(인력관리!$E:$E,$L16,INDEX(인력관리!$K:$AN,,COLUMNS($K:X)),"&lt;&gt;")</f>
        <v>0</v>
      </c>
      <c r="AA37" s="146">
        <f>COUNTIFS(인력관리!$E:$E,$L16,INDEX(인력관리!$K:$AN,,COLUMNS($K:Y)),"&lt;&gt;")</f>
        <v>1</v>
      </c>
      <c r="AB37" s="146">
        <f>COUNTIFS(인력관리!$E:$E,$L16,INDEX(인력관리!$K:$AN,,COLUMNS($K:Z)),"&lt;&gt;")</f>
        <v>0</v>
      </c>
      <c r="AC37" s="146">
        <f>COUNTIFS(인력관리!$E:$E,$L16,INDEX(인력관리!$K:$AN,,COLUMNS($K:AA)),"&lt;&gt;")</f>
        <v>1</v>
      </c>
      <c r="AD37" s="146">
        <f>COUNTIFS(인력관리!$E:$E,$L16,INDEX(인력관리!$K:$AN,,COLUMNS($K:AB)),"&lt;&gt;")</f>
        <v>0</v>
      </c>
      <c r="AE37" s="146">
        <f>COUNTIFS(인력관리!$E:$E,$L16,INDEX(인력관리!$K:$AN,,COLUMNS($K:AC)),"&lt;&gt;")</f>
        <v>1</v>
      </c>
      <c r="AF37" s="146">
        <f>COUNTIFS(인력관리!$E:$E,$L16,INDEX(인력관리!$K:$AN,,COLUMNS($K:AD)),"&lt;&gt;")</f>
        <v>0</v>
      </c>
      <c r="AG37" s="146">
        <f>COUNTIFS(인력관리!$E:$E,$L16,INDEX(인력관리!$K:$AN,,COLUMNS($K:AE)),"&lt;&gt;")</f>
        <v>1</v>
      </c>
      <c r="AH37" s="146">
        <f>COUNTIFS(인력관리!$E:$E,$L16,INDEX(인력관리!$K:$AN,,COLUMNS($K:AF)),"&lt;&gt;")</f>
        <v>0</v>
      </c>
      <c r="AI37" s="146">
        <f>COUNTIFS(인력관리!$E:$E,$L16,INDEX(인력관리!$K:$AN,,COLUMNS($K:AG)),"&lt;&gt;")</f>
        <v>1</v>
      </c>
      <c r="AJ37" s="146">
        <f>COUNTIFS(인력관리!$E:$E,$L16,INDEX(인력관리!$K:$AN,,COLUMNS($K:AH)),"&lt;&gt;")</f>
        <v>0</v>
      </c>
      <c r="AK37" s="146">
        <f>COUNTIFS(인력관리!$E:$E,$L16,INDEX(인력관리!$K:$AN,,COLUMNS($K:AI)),"&lt;&gt;")</f>
        <v>0</v>
      </c>
      <c r="AL37" s="146">
        <f>COUNTIFS(인력관리!$E:$E,$L16,INDEX(인력관리!$K:$AN,,COLUMNS($K:AJ)),"&lt;&gt;")</f>
        <v>0</v>
      </c>
      <c r="AM37" s="146">
        <f>COUNTIFS(인력관리!$E:$E,$L16,INDEX(인력관리!$K:$AN,,COLUMNS($K:AK)),"&lt;&gt;")</f>
        <v>0</v>
      </c>
      <c r="AN37" s="146">
        <f>COUNTIFS(인력관리!$E:$E,$L16,INDEX(인력관리!$K:$AN,,COLUMNS($K:AL)),"&lt;&gt;")</f>
        <v>0</v>
      </c>
      <c r="AO37" s="146">
        <f>COUNTIFS(인력관리!$E:$E,$L16,INDEX(인력관리!$K:$AN,,COLUMNS($K:AM)),"&lt;&gt;")</f>
        <v>0</v>
      </c>
      <c r="AP37" s="146">
        <f>COUNTIFS(인력관리!$E:$E,$L16,INDEX(인력관리!$K:$AN,,COLUMNS($K:AN)),"&lt;&gt;")</f>
        <v>0</v>
      </c>
      <c r="AQ37" s="408">
        <f t="shared" si="19"/>
        <v>7</v>
      </c>
      <c r="AR37" s="408">
        <f t="shared" si="20"/>
        <v>0</v>
      </c>
      <c r="AS37" s="408">
        <f t="shared" si="21"/>
        <v>-7</v>
      </c>
    </row>
    <row r="38" spans="12:45" s="140" customFormat="1" ht="15">
      <c r="L38" s="229" t="s">
        <v>603</v>
      </c>
      <c r="M38" s="146">
        <f>COUNTIFS(인력관리!$E:$E,$L17,INDEX(인력관리!$K:$AN,,COLUMNS($K:K)),"&lt;&gt;")</f>
        <v>0</v>
      </c>
      <c r="N38" s="146">
        <f>COUNTIFS(인력관리!$E:$E,$L17,INDEX(인력관리!$K:$AN,,COLUMNS($K:L)),"&lt;&gt;")</f>
        <v>0</v>
      </c>
      <c r="O38" s="146">
        <f>COUNTIFS(인력관리!$E:$E,$L17,INDEX(인력관리!$K:$AN,,COLUMNS($K:M)),"&lt;&gt;")</f>
        <v>0</v>
      </c>
      <c r="P38" s="146">
        <f>COUNTIFS(인력관리!$E:$E,$L17,INDEX(인력관리!$K:$AN,,COLUMNS($K:N)),"&lt;&gt;")</f>
        <v>0</v>
      </c>
      <c r="Q38" s="146">
        <f>COUNTIFS(인력관리!$E:$E,$L17,INDEX(인력관리!$K:$AN,,COLUMNS($K:O)),"&lt;&gt;")</f>
        <v>1</v>
      </c>
      <c r="R38" s="146">
        <f>COUNTIFS(인력관리!$E:$E,$L17,INDEX(인력관리!$K:$AN,,COLUMNS($K:P)),"&lt;&gt;")</f>
        <v>1</v>
      </c>
      <c r="S38" s="146">
        <f>COUNTIFS(인력관리!$E:$E,$L17,INDEX(인력관리!$K:$AN,,COLUMNS($K:Q)),"&lt;&gt;")</f>
        <v>3</v>
      </c>
      <c r="T38" s="146">
        <f>COUNTIFS(인력관리!$E:$E,$L17,INDEX(인력관리!$K:$AN,,COLUMNS($K:R)),"&lt;&gt;")</f>
        <v>3</v>
      </c>
      <c r="U38" s="146">
        <f>COUNTIFS(인력관리!$E:$E,$L17,INDEX(인력관리!$K:$AN,,COLUMNS($K:S)),"&lt;&gt;")</f>
        <v>2</v>
      </c>
      <c r="V38" s="146">
        <f>COUNTIFS(인력관리!$E:$E,$L17,INDEX(인력관리!$K:$AN,,COLUMNS($K:T)),"&lt;&gt;")</f>
        <v>2</v>
      </c>
      <c r="W38" s="146">
        <f>COUNTIFS(인력관리!$E:$E,$L17,INDEX(인력관리!$K:$AN,,COLUMNS($K:U)),"&lt;&gt;")</f>
        <v>2</v>
      </c>
      <c r="X38" s="146">
        <f>COUNTIFS(인력관리!$E:$E,$L17,INDEX(인력관리!$K:$AN,,COLUMNS($K:V)),"&lt;&gt;")</f>
        <v>0</v>
      </c>
      <c r="Y38" s="146">
        <f>COUNTIFS(인력관리!$E:$E,$L17,INDEX(인력관리!$K:$AN,,COLUMNS($K:W)),"&lt;&gt;")</f>
        <v>2</v>
      </c>
      <c r="Z38" s="146">
        <f>COUNTIFS(인력관리!$E:$E,$L17,INDEX(인력관리!$K:$AN,,COLUMNS($K:X)),"&lt;&gt;")</f>
        <v>0</v>
      </c>
      <c r="AA38" s="146">
        <f>COUNTIFS(인력관리!$E:$E,$L17,INDEX(인력관리!$K:$AN,,COLUMNS($K:Y)),"&lt;&gt;")</f>
        <v>1</v>
      </c>
      <c r="AB38" s="146">
        <f>COUNTIFS(인력관리!$E:$E,$L17,INDEX(인력관리!$K:$AN,,COLUMNS($K:Z)),"&lt;&gt;")</f>
        <v>0</v>
      </c>
      <c r="AC38" s="146">
        <f>COUNTIFS(인력관리!$E:$E,$L17,INDEX(인력관리!$K:$AN,,COLUMNS($K:AA)),"&lt;&gt;")</f>
        <v>1</v>
      </c>
      <c r="AD38" s="146">
        <f>COUNTIFS(인력관리!$E:$E,$L17,INDEX(인력관리!$K:$AN,,COLUMNS($K:AB)),"&lt;&gt;")</f>
        <v>0</v>
      </c>
      <c r="AE38" s="146">
        <f>COUNTIFS(인력관리!$E:$E,$L17,INDEX(인력관리!$K:$AN,,COLUMNS($K:AC)),"&lt;&gt;")</f>
        <v>1</v>
      </c>
      <c r="AF38" s="146">
        <f>COUNTIFS(인력관리!$E:$E,$L17,INDEX(인력관리!$K:$AN,,COLUMNS($K:AD)),"&lt;&gt;")</f>
        <v>0</v>
      </c>
      <c r="AG38" s="146">
        <f>COUNTIFS(인력관리!$E:$E,$L17,INDEX(인력관리!$K:$AN,,COLUMNS($K:AE)),"&lt;&gt;")</f>
        <v>1</v>
      </c>
      <c r="AH38" s="146">
        <f>COUNTIFS(인력관리!$E:$E,$L17,INDEX(인력관리!$K:$AN,,COLUMNS($K:AF)),"&lt;&gt;")</f>
        <v>0</v>
      </c>
      <c r="AI38" s="146">
        <f>COUNTIFS(인력관리!$E:$E,$L17,INDEX(인력관리!$K:$AN,,COLUMNS($K:AG)),"&lt;&gt;")</f>
        <v>1</v>
      </c>
      <c r="AJ38" s="146">
        <f>COUNTIFS(인력관리!$E:$E,$L17,INDEX(인력관리!$K:$AN,,COLUMNS($K:AH)),"&lt;&gt;")</f>
        <v>0</v>
      </c>
      <c r="AK38" s="146">
        <f>COUNTIFS(인력관리!$E:$E,$L17,INDEX(인력관리!$K:$AN,,COLUMNS($K:AI)),"&lt;&gt;")</f>
        <v>1</v>
      </c>
      <c r="AL38" s="146">
        <f>COUNTIFS(인력관리!$E:$E,$L17,INDEX(인력관리!$K:$AN,,COLUMNS($K:AJ)),"&lt;&gt;")</f>
        <v>0</v>
      </c>
      <c r="AM38" s="146">
        <f>COUNTIFS(인력관리!$E:$E,$L17,INDEX(인력관리!$K:$AN,,COLUMNS($K:AK)),"&lt;&gt;")</f>
        <v>1</v>
      </c>
      <c r="AN38" s="146">
        <f>COUNTIFS(인력관리!$E:$E,$L17,INDEX(인력관리!$K:$AN,,COLUMNS($K:AL)),"&lt;&gt;")</f>
        <v>0</v>
      </c>
      <c r="AO38" s="146">
        <f>COUNTIFS(인력관리!$E:$E,$L17,INDEX(인력관리!$K:$AN,,COLUMNS($K:AM)),"&lt;&gt;")</f>
        <v>0</v>
      </c>
      <c r="AP38" s="146">
        <f>COUNTIFS(인력관리!$E:$E,$L17,INDEX(인력관리!$K:$AN,,COLUMNS($K:AN)),"&lt;&gt;")</f>
        <v>0</v>
      </c>
      <c r="AQ38" s="408">
        <f t="shared" ref="AQ38" si="22">M38+O38+Q38+S38+U38+W38+Y38+AA38+AC38+AE38+AG38+AI38+AK38+AM38+AO38</f>
        <v>17</v>
      </c>
      <c r="AR38" s="408">
        <f t="shared" ref="AR38" si="23">N38+P38+R38+T38+V38+X38+Z38+AB38+AD38+AF38+AH38+AJ38+AL38+AN38+AP38</f>
        <v>6</v>
      </c>
      <c r="AS38" s="408">
        <f t="shared" ref="AS38" si="24">AR38-AQ38</f>
        <v>-11</v>
      </c>
    </row>
    <row r="39" spans="12:45" s="140" customFormat="1" ht="15">
      <c r="L39" s="73" t="s">
        <v>61</v>
      </c>
      <c r="M39" s="146">
        <f>COUNTIFS(인력관리!$E:$E,$L18,INDEX(인력관리!$K:$AN,,COLUMNS($K:K)),"&lt;&gt;")</f>
        <v>2</v>
      </c>
      <c r="N39" s="146">
        <f>COUNTIFS(인력관리!$E:$E,$L18,INDEX(인력관리!$K:$AN,,COLUMNS($K:L)),"&lt;&gt;")</f>
        <v>2</v>
      </c>
      <c r="O39" s="146">
        <f>COUNTIFS(인력관리!$E:$E,$L18,INDEX(인력관리!$K:$AN,,COLUMNS($K:M)),"&lt;&gt;")</f>
        <v>4</v>
      </c>
      <c r="P39" s="146">
        <f>COUNTIFS(인력관리!$E:$E,$L18,INDEX(인력관리!$K:$AN,,COLUMNS($K:N)),"&lt;&gt;")</f>
        <v>4</v>
      </c>
      <c r="Q39" s="146">
        <f>COUNTIFS(인력관리!$E:$E,$L18,INDEX(인력관리!$K:$AN,,COLUMNS($K:O)),"&lt;&gt;")</f>
        <v>6</v>
      </c>
      <c r="R39" s="146">
        <f>COUNTIFS(인력관리!$E:$E,$L18,INDEX(인력관리!$K:$AN,,COLUMNS($K:P)),"&lt;&gt;")</f>
        <v>6</v>
      </c>
      <c r="S39" s="146">
        <f>COUNTIFS(인력관리!$E:$E,$L18,INDEX(인력관리!$K:$AN,,COLUMNS($K:Q)),"&lt;&gt;")</f>
        <v>10</v>
      </c>
      <c r="T39" s="146">
        <f>COUNTIFS(인력관리!$E:$E,$L18,INDEX(인력관리!$K:$AN,,COLUMNS($K:R)),"&lt;&gt;")</f>
        <v>10</v>
      </c>
      <c r="U39" s="146">
        <f>COUNTIFS(인력관리!$E:$E,$L18,INDEX(인력관리!$K:$AN,,COLUMNS($K:S)),"&lt;&gt;")</f>
        <v>8</v>
      </c>
      <c r="V39" s="146">
        <f>COUNTIFS(인력관리!$E:$E,$L18,INDEX(인력관리!$K:$AN,,COLUMNS($K:T)),"&lt;&gt;")</f>
        <v>8</v>
      </c>
      <c r="W39" s="146">
        <f>COUNTIFS(인력관리!$E:$E,$L18,INDEX(인력관리!$K:$AN,,COLUMNS($K:U)),"&lt;&gt;")</f>
        <v>9</v>
      </c>
      <c r="X39" s="146">
        <f>COUNTIFS(인력관리!$E:$E,$L18,INDEX(인력관리!$K:$AN,,COLUMNS($K:V)),"&lt;&gt;")</f>
        <v>0</v>
      </c>
      <c r="Y39" s="146">
        <f>COUNTIFS(인력관리!$E:$E,$L18,INDEX(인력관리!$K:$AN,,COLUMNS($K:W)),"&lt;&gt;")</f>
        <v>9</v>
      </c>
      <c r="Z39" s="146">
        <f>COUNTIFS(인력관리!$E:$E,$L18,INDEX(인력관리!$K:$AN,,COLUMNS($K:X)),"&lt;&gt;")</f>
        <v>0</v>
      </c>
      <c r="AA39" s="146">
        <f>COUNTIFS(인력관리!$E:$E,$L18,INDEX(인력관리!$K:$AN,,COLUMNS($K:Y)),"&lt;&gt;")</f>
        <v>10</v>
      </c>
      <c r="AB39" s="146">
        <f>COUNTIFS(인력관리!$E:$E,$L18,INDEX(인력관리!$K:$AN,,COLUMNS($K:Z)),"&lt;&gt;")</f>
        <v>0</v>
      </c>
      <c r="AC39" s="146">
        <f>COUNTIFS(인력관리!$E:$E,$L18,INDEX(인력관리!$K:$AN,,COLUMNS($K:AA)),"&lt;&gt;")</f>
        <v>10</v>
      </c>
      <c r="AD39" s="146">
        <f>COUNTIFS(인력관리!$E:$E,$L18,INDEX(인력관리!$K:$AN,,COLUMNS($K:AB)),"&lt;&gt;")</f>
        <v>0</v>
      </c>
      <c r="AE39" s="146">
        <f>COUNTIFS(인력관리!$E:$E,$L18,INDEX(인력관리!$K:$AN,,COLUMNS($K:AC)),"&lt;&gt;")</f>
        <v>10</v>
      </c>
      <c r="AF39" s="146">
        <f>COUNTIFS(인력관리!$E:$E,$L18,INDEX(인력관리!$K:$AN,,COLUMNS($K:AD)),"&lt;&gt;")</f>
        <v>0</v>
      </c>
      <c r="AG39" s="146">
        <f>COUNTIFS(인력관리!$E:$E,$L18,INDEX(인력관리!$K:$AN,,COLUMNS($K:AE)),"&lt;&gt;")</f>
        <v>10</v>
      </c>
      <c r="AH39" s="146">
        <f>COUNTIFS(인력관리!$E:$E,$L18,INDEX(인력관리!$K:$AN,,COLUMNS($K:AF)),"&lt;&gt;")</f>
        <v>0</v>
      </c>
      <c r="AI39" s="146">
        <f>COUNTIFS(인력관리!$E:$E,$L18,INDEX(인력관리!$K:$AN,,COLUMNS($K:AG)),"&lt;&gt;")</f>
        <v>10</v>
      </c>
      <c r="AJ39" s="146">
        <f>COUNTIFS(인력관리!$E:$E,$L18,INDEX(인력관리!$K:$AN,,COLUMNS($K:AH)),"&lt;&gt;")</f>
        <v>0</v>
      </c>
      <c r="AK39" s="146">
        <f>COUNTIFS(인력관리!$E:$E,$L18,INDEX(인력관리!$K:$AN,,COLUMNS($K:AI)),"&lt;&gt;")</f>
        <v>7</v>
      </c>
      <c r="AL39" s="146">
        <f>COUNTIFS(인력관리!$E:$E,$L18,INDEX(인력관리!$K:$AN,,COLUMNS($K:AJ)),"&lt;&gt;")</f>
        <v>0</v>
      </c>
      <c r="AM39" s="146">
        <f>COUNTIFS(인력관리!$E:$E,$L18,INDEX(인력관리!$K:$AN,,COLUMNS($K:AK)),"&lt;&gt;")</f>
        <v>7</v>
      </c>
      <c r="AN39" s="146">
        <f>COUNTIFS(인력관리!$E:$E,$L18,INDEX(인력관리!$K:$AN,,COLUMNS($K:AL)),"&lt;&gt;")</f>
        <v>0</v>
      </c>
      <c r="AO39" s="146">
        <f>COUNTIFS(인력관리!$E:$E,$L18,INDEX(인력관리!$K:$AN,,COLUMNS($K:AM)),"&lt;&gt;")</f>
        <v>0</v>
      </c>
      <c r="AP39" s="146">
        <f>COUNTIFS(인력관리!$E:$E,$L18,INDEX(인력관리!$K:$AN,,COLUMNS($K:AN)),"&lt;&gt;")</f>
        <v>0</v>
      </c>
      <c r="AQ39" s="408">
        <f t="shared" si="19"/>
        <v>112</v>
      </c>
      <c r="AR39" s="408">
        <f t="shared" si="20"/>
        <v>30</v>
      </c>
      <c r="AS39" s="408">
        <f t="shared" si="21"/>
        <v>-82</v>
      </c>
    </row>
    <row r="40" spans="12:45" s="140" customFormat="1" ht="15">
      <c r="L40" s="73" t="s">
        <v>1015</v>
      </c>
      <c r="M40" s="146">
        <f>COUNTIFS(인력관리!$E:$E,$L19,INDEX(인력관리!$K:$AN,,COLUMNS($K:K)),"&lt;&gt;")</f>
        <v>0</v>
      </c>
      <c r="N40" s="146">
        <f>COUNTIFS(인력관리!$E:$E,$L19,INDEX(인력관리!$K:$AN,,COLUMNS($K:L)),"&lt;&gt;")</f>
        <v>0</v>
      </c>
      <c r="O40" s="146">
        <f>COUNTIFS(인력관리!$E:$E,$L19,INDEX(인력관리!$K:$AN,,COLUMNS($K:M)),"&lt;&gt;")</f>
        <v>0</v>
      </c>
      <c r="P40" s="146">
        <f>COUNTIFS(인력관리!$E:$E,$L19,INDEX(인력관리!$K:$AN,,COLUMNS($K:N)),"&lt;&gt;")</f>
        <v>0</v>
      </c>
      <c r="Q40" s="146">
        <f>COUNTIFS(인력관리!$E:$E,$L19,INDEX(인력관리!$K:$AN,,COLUMNS($K:O)),"&lt;&gt;")</f>
        <v>0</v>
      </c>
      <c r="R40" s="146">
        <f>COUNTIFS(인력관리!$E:$E,$L19,INDEX(인력관리!$K:$AN,,COLUMNS($K:P)),"&lt;&gt;")</f>
        <v>0</v>
      </c>
      <c r="S40" s="146">
        <f>COUNTIFS(인력관리!$E:$E,$L19,INDEX(인력관리!$K:$AN,,COLUMNS($K:Q)),"&lt;&gt;")</f>
        <v>0</v>
      </c>
      <c r="T40" s="146">
        <f>COUNTIFS(인력관리!$E:$E,$L19,INDEX(인력관리!$K:$AN,,COLUMNS($K:R)),"&lt;&gt;")</f>
        <v>0</v>
      </c>
      <c r="U40" s="146">
        <f>COUNTIFS(인력관리!$E:$E,$L19,INDEX(인력관리!$K:$AN,,COLUMNS($K:S)),"&lt;&gt;")</f>
        <v>5</v>
      </c>
      <c r="V40" s="146">
        <f>COUNTIFS(인력관리!$E:$E,$L19,INDEX(인력관리!$K:$AN,,COLUMNS($K:T)),"&lt;&gt;")</f>
        <v>5</v>
      </c>
      <c r="W40" s="146">
        <f>COUNTIFS(인력관리!$E:$E,$L19,INDEX(인력관리!$K:$AN,,COLUMNS($K:U)),"&lt;&gt;")</f>
        <v>5</v>
      </c>
      <c r="X40" s="146">
        <f>COUNTIFS(인력관리!$E:$E,$L19,INDEX(인력관리!$K:$AN,,COLUMNS($K:V)),"&lt;&gt;")</f>
        <v>0</v>
      </c>
      <c r="Y40" s="146">
        <f>COUNTIFS(인력관리!$E:$E,$L19,INDEX(인력관리!$K:$AN,,COLUMNS($K:W)),"&lt;&gt;")</f>
        <v>5</v>
      </c>
      <c r="Z40" s="146">
        <f>COUNTIFS(인력관리!$E:$E,$L19,INDEX(인력관리!$K:$AN,,COLUMNS($K:X)),"&lt;&gt;")</f>
        <v>0</v>
      </c>
      <c r="AA40" s="146">
        <f>COUNTIFS(인력관리!$E:$E,$L19,INDEX(인력관리!$K:$AN,,COLUMNS($K:Y)),"&lt;&gt;")</f>
        <v>5</v>
      </c>
      <c r="AB40" s="146">
        <f>COUNTIFS(인력관리!$E:$E,$L19,INDEX(인력관리!$K:$AN,,COLUMNS($K:Z)),"&lt;&gt;")</f>
        <v>0</v>
      </c>
      <c r="AC40" s="146">
        <f>COUNTIFS(인력관리!$E:$E,$L19,INDEX(인력관리!$K:$AN,,COLUMNS($K:AA)),"&lt;&gt;")</f>
        <v>5</v>
      </c>
      <c r="AD40" s="146">
        <f>COUNTIFS(인력관리!$E:$E,$L19,INDEX(인력관리!$K:$AN,,COLUMNS($K:AB)),"&lt;&gt;")</f>
        <v>0</v>
      </c>
      <c r="AE40" s="146">
        <f>COUNTIFS(인력관리!$E:$E,$L19,INDEX(인력관리!$K:$AN,,COLUMNS($K:AC)),"&lt;&gt;")</f>
        <v>5</v>
      </c>
      <c r="AF40" s="146">
        <f>COUNTIFS(인력관리!$E:$E,$L19,INDEX(인력관리!$K:$AN,,COLUMNS($K:AD)),"&lt;&gt;")</f>
        <v>0</v>
      </c>
      <c r="AG40" s="146">
        <f>COUNTIFS(인력관리!$E:$E,$L19,INDEX(인력관리!$K:$AN,,COLUMNS($K:AE)),"&lt;&gt;")</f>
        <v>3</v>
      </c>
      <c r="AH40" s="146">
        <f>COUNTIFS(인력관리!$E:$E,$L19,INDEX(인력관리!$K:$AN,,COLUMNS($K:AF)),"&lt;&gt;")</f>
        <v>0</v>
      </c>
      <c r="AI40" s="146">
        <f>COUNTIFS(인력관리!$E:$E,$L19,INDEX(인력관리!$K:$AN,,COLUMNS($K:AG)),"&lt;&gt;")</f>
        <v>1</v>
      </c>
      <c r="AJ40" s="146">
        <f>COUNTIFS(인력관리!$E:$E,$L19,INDEX(인력관리!$K:$AN,,COLUMNS($K:AH)),"&lt;&gt;")</f>
        <v>0</v>
      </c>
      <c r="AK40" s="146">
        <f>COUNTIFS(인력관리!$E:$E,$L19,INDEX(인력관리!$K:$AN,,COLUMNS($K:AI)),"&lt;&gt;")</f>
        <v>1</v>
      </c>
      <c r="AL40" s="146">
        <f>COUNTIFS(인력관리!$E:$E,$L19,INDEX(인력관리!$K:$AN,,COLUMNS($K:AJ)),"&lt;&gt;")</f>
        <v>0</v>
      </c>
      <c r="AM40" s="146">
        <f>COUNTIFS(인력관리!$E:$E,$L19,INDEX(인력관리!$K:$AN,,COLUMNS($K:AK)),"&lt;&gt;")</f>
        <v>1</v>
      </c>
      <c r="AN40" s="146">
        <f>COUNTIFS(인력관리!$E:$E,$L19,INDEX(인력관리!$K:$AN,,COLUMNS($K:AL)),"&lt;&gt;")</f>
        <v>0</v>
      </c>
      <c r="AO40" s="146">
        <f>COUNTIFS(인력관리!$E:$E,$L19,INDEX(인력관리!$K:$AN,,COLUMNS($K:AM)),"&lt;&gt;")</f>
        <v>0</v>
      </c>
      <c r="AP40" s="146">
        <f>COUNTIFS(인력관리!$E:$E,$L19,INDEX(인력관리!$K:$AN,,COLUMNS($K:AN)),"&lt;&gt;")</f>
        <v>0</v>
      </c>
      <c r="AQ40" s="408">
        <f t="shared" ref="AQ40" si="25">M40+O40+Q40+S40+U40+W40+Y40+AA40+AC40+AE40+AG40+AI40+AK40+AM40+AO40</f>
        <v>36</v>
      </c>
      <c r="AR40" s="408">
        <f t="shared" ref="AR40" si="26">N40+P40+R40+T40+V40+X40+Z40+AB40+AD40+AF40+AH40+AJ40+AL40+AN40+AP40</f>
        <v>5</v>
      </c>
      <c r="AS40" s="408">
        <f t="shared" ref="AS40" si="27">AR40-AQ40</f>
        <v>-31</v>
      </c>
    </row>
    <row r="41" spans="12:45" s="140" customFormat="1" ht="15">
      <c r="L41" s="73" t="s">
        <v>1022</v>
      </c>
      <c r="M41" s="146">
        <f>COUNTIFS(인력관리!$E:$E,$L20,INDEX(인력관리!$K:$AN,,COLUMNS($K:K)),"&lt;&gt;")</f>
        <v>0</v>
      </c>
      <c r="N41" s="146">
        <f>COUNTIFS(인력관리!$E:$E,$L20,INDEX(인력관리!$K:$AN,,COLUMNS($K:L)),"&lt;&gt;")</f>
        <v>0</v>
      </c>
      <c r="O41" s="146">
        <f>COUNTIFS(인력관리!$E:$E,$L20,INDEX(인력관리!$K:$AN,,COLUMNS($K:M)),"&lt;&gt;")</f>
        <v>0</v>
      </c>
      <c r="P41" s="146">
        <f>COUNTIFS(인력관리!$E:$E,$L20,INDEX(인력관리!$K:$AN,,COLUMNS($K:N)),"&lt;&gt;")</f>
        <v>0</v>
      </c>
      <c r="Q41" s="146">
        <f>COUNTIFS(인력관리!$E:$E,$L20,INDEX(인력관리!$K:$AN,,COLUMNS($K:O)),"&lt;&gt;")</f>
        <v>0</v>
      </c>
      <c r="R41" s="146">
        <f>COUNTIFS(인력관리!$E:$E,$L20,INDEX(인력관리!$K:$AN,,COLUMNS($K:P)),"&lt;&gt;")</f>
        <v>0</v>
      </c>
      <c r="S41" s="146">
        <f>COUNTIFS(인력관리!$E:$E,$L20,INDEX(인력관리!$K:$AN,,COLUMNS($K:Q)),"&lt;&gt;")</f>
        <v>0</v>
      </c>
      <c r="T41" s="146">
        <f>COUNTIFS(인력관리!$E:$E,$L20,INDEX(인력관리!$K:$AN,,COLUMNS($K:R)),"&lt;&gt;")</f>
        <v>0</v>
      </c>
      <c r="U41" s="146">
        <f>COUNTIFS(인력관리!$E:$E,$L20,INDEX(인력관리!$K:$AN,,COLUMNS($K:S)),"&lt;&gt;")</f>
        <v>1</v>
      </c>
      <c r="V41" s="146">
        <f>COUNTIFS(인력관리!$E:$E,$L20,INDEX(인력관리!$K:$AN,,COLUMNS($K:T)),"&lt;&gt;")</f>
        <v>1</v>
      </c>
      <c r="W41" s="146">
        <f>COUNTIFS(인력관리!$E:$E,$L20,INDEX(인력관리!$K:$AN,,COLUMNS($K:U)),"&lt;&gt;")</f>
        <v>0</v>
      </c>
      <c r="X41" s="146">
        <f>COUNTIFS(인력관리!$E:$E,$L20,INDEX(인력관리!$K:$AN,,COLUMNS($K:V)),"&lt;&gt;")</f>
        <v>0</v>
      </c>
      <c r="Y41" s="146">
        <f>COUNTIFS(인력관리!$E:$E,$L20,INDEX(인력관리!$K:$AN,,COLUMNS($K:W)),"&lt;&gt;")</f>
        <v>0</v>
      </c>
      <c r="Z41" s="146">
        <f>COUNTIFS(인력관리!$E:$E,$L20,INDEX(인력관리!$K:$AN,,COLUMNS($K:X)),"&lt;&gt;")</f>
        <v>0</v>
      </c>
      <c r="AA41" s="146">
        <f>COUNTIFS(인력관리!$E:$E,$L20,INDEX(인력관리!$K:$AN,,COLUMNS($K:Y)),"&lt;&gt;")</f>
        <v>0</v>
      </c>
      <c r="AB41" s="146">
        <f>COUNTIFS(인력관리!$E:$E,$L20,INDEX(인력관리!$K:$AN,,COLUMNS($K:Z)),"&lt;&gt;")</f>
        <v>0</v>
      </c>
      <c r="AC41" s="146">
        <f>COUNTIFS(인력관리!$E:$E,$L20,INDEX(인력관리!$K:$AN,,COLUMNS($K:AA)),"&lt;&gt;")</f>
        <v>0</v>
      </c>
      <c r="AD41" s="146">
        <f>COUNTIFS(인력관리!$E:$E,$L20,INDEX(인력관리!$K:$AN,,COLUMNS($K:AB)),"&lt;&gt;")</f>
        <v>0</v>
      </c>
      <c r="AE41" s="146">
        <f>COUNTIFS(인력관리!$E:$E,$L20,INDEX(인력관리!$K:$AN,,COLUMNS($K:AC)),"&lt;&gt;")</f>
        <v>0</v>
      </c>
      <c r="AF41" s="146">
        <f>COUNTIFS(인력관리!$E:$E,$L20,INDEX(인력관리!$K:$AN,,COLUMNS($K:AD)),"&lt;&gt;")</f>
        <v>0</v>
      </c>
      <c r="AG41" s="146">
        <f>COUNTIFS(인력관리!$E:$E,$L20,INDEX(인력관리!$K:$AN,,COLUMNS($K:AE)),"&lt;&gt;")</f>
        <v>0</v>
      </c>
      <c r="AH41" s="146">
        <f>COUNTIFS(인력관리!$E:$E,$L20,INDEX(인력관리!$K:$AN,,COLUMNS($K:AF)),"&lt;&gt;")</f>
        <v>0</v>
      </c>
      <c r="AI41" s="146">
        <f>COUNTIFS(인력관리!$E:$E,$L20,INDEX(인력관리!$K:$AN,,COLUMNS($K:AG)),"&lt;&gt;")</f>
        <v>0</v>
      </c>
      <c r="AJ41" s="146">
        <f>COUNTIFS(인력관리!$E:$E,$L20,INDEX(인력관리!$K:$AN,,COLUMNS($K:AH)),"&lt;&gt;")</f>
        <v>0</v>
      </c>
      <c r="AK41" s="146">
        <f>COUNTIFS(인력관리!$E:$E,$L20,INDEX(인력관리!$K:$AN,,COLUMNS($K:AI)),"&lt;&gt;")</f>
        <v>0</v>
      </c>
      <c r="AL41" s="146">
        <f>COUNTIFS(인력관리!$E:$E,$L20,INDEX(인력관리!$K:$AN,,COLUMNS($K:AJ)),"&lt;&gt;")</f>
        <v>0</v>
      </c>
      <c r="AM41" s="146">
        <f>COUNTIFS(인력관리!$E:$E,$L20,INDEX(인력관리!$K:$AN,,COLUMNS($K:AK)),"&lt;&gt;")</f>
        <v>0</v>
      </c>
      <c r="AN41" s="146">
        <f>COUNTIFS(인력관리!$E:$E,$L20,INDEX(인력관리!$K:$AN,,COLUMNS($K:AL)),"&lt;&gt;")</f>
        <v>0</v>
      </c>
      <c r="AO41" s="146">
        <f>COUNTIFS(인력관리!$E:$E,$L20,INDEX(인력관리!$K:$AN,,COLUMNS($K:AM)),"&lt;&gt;")</f>
        <v>0</v>
      </c>
      <c r="AP41" s="146">
        <f>COUNTIFS(인력관리!$E:$E,$L20,INDEX(인력관리!$K:$AN,,COLUMNS($K:AN)),"&lt;&gt;")</f>
        <v>0</v>
      </c>
      <c r="AQ41" s="408">
        <f t="shared" ref="AQ41" si="28">M41+O41+Q41+S41+U41+W41+Y41+AA41+AC41+AE41+AG41+AI41+AK41+AM41+AO41</f>
        <v>1</v>
      </c>
      <c r="AR41" s="408">
        <f t="shared" ref="AR41" si="29">N41+P41+R41+T41+V41+X41+Z41+AB41+AD41+AF41+AH41+AJ41+AL41+AN41+AP41</f>
        <v>1</v>
      </c>
      <c r="AS41" s="408">
        <f t="shared" ref="AS41" si="30">AR41-AQ41</f>
        <v>0</v>
      </c>
    </row>
    <row r="42" spans="12:45" s="140" customFormat="1" ht="15">
      <c r="L42" s="407" t="s">
        <v>159</v>
      </c>
      <c r="M42" s="407">
        <f>SUM(M26:M40)</f>
        <v>58</v>
      </c>
      <c r="N42" s="407">
        <f t="shared" ref="N42:AP42" si="31">SUM(N26:N40)</f>
        <v>61</v>
      </c>
      <c r="O42" s="407">
        <f t="shared" si="31"/>
        <v>88</v>
      </c>
      <c r="P42" s="407">
        <f t="shared" si="31"/>
        <v>89</v>
      </c>
      <c r="Q42" s="407">
        <f t="shared" si="31"/>
        <v>114</v>
      </c>
      <c r="R42" s="407">
        <f t="shared" si="31"/>
        <v>111</v>
      </c>
      <c r="S42" s="407">
        <f t="shared" si="31"/>
        <v>132</v>
      </c>
      <c r="T42" s="407">
        <f t="shared" si="31"/>
        <v>135</v>
      </c>
      <c r="U42" s="407">
        <f t="shared" si="31"/>
        <v>158</v>
      </c>
      <c r="V42" s="407">
        <f t="shared" si="31"/>
        <v>155</v>
      </c>
      <c r="W42" s="407">
        <f t="shared" si="31"/>
        <v>174</v>
      </c>
      <c r="X42" s="407">
        <f t="shared" si="31"/>
        <v>0</v>
      </c>
      <c r="Y42" s="407">
        <f t="shared" si="31"/>
        <v>175</v>
      </c>
      <c r="Z42" s="407">
        <f t="shared" si="31"/>
        <v>0</v>
      </c>
      <c r="AA42" s="407">
        <f t="shared" si="31"/>
        <v>175</v>
      </c>
      <c r="AB42" s="407">
        <f t="shared" si="31"/>
        <v>0</v>
      </c>
      <c r="AC42" s="407">
        <f t="shared" si="31"/>
        <v>170</v>
      </c>
      <c r="AD42" s="407">
        <f t="shared" si="31"/>
        <v>0</v>
      </c>
      <c r="AE42" s="407">
        <f t="shared" si="31"/>
        <v>171</v>
      </c>
      <c r="AF42" s="407">
        <f t="shared" si="31"/>
        <v>0</v>
      </c>
      <c r="AG42" s="407">
        <f t="shared" si="31"/>
        <v>163</v>
      </c>
      <c r="AH42" s="407">
        <f t="shared" si="31"/>
        <v>0</v>
      </c>
      <c r="AI42" s="407">
        <f t="shared" si="31"/>
        <v>145</v>
      </c>
      <c r="AJ42" s="407">
        <f t="shared" si="31"/>
        <v>0</v>
      </c>
      <c r="AK42" s="407">
        <f t="shared" si="31"/>
        <v>133</v>
      </c>
      <c r="AL42" s="407">
        <f t="shared" si="31"/>
        <v>0</v>
      </c>
      <c r="AM42" s="407">
        <f t="shared" si="31"/>
        <v>123</v>
      </c>
      <c r="AN42" s="407">
        <f t="shared" si="31"/>
        <v>0</v>
      </c>
      <c r="AO42" s="407">
        <f t="shared" si="31"/>
        <v>73</v>
      </c>
      <c r="AP42" s="407">
        <f t="shared" si="31"/>
        <v>0</v>
      </c>
      <c r="AQ42" s="412">
        <f>SUM(AQ26:AQ41)</f>
        <v>2053</v>
      </c>
      <c r="AR42" s="412">
        <f t="shared" ref="AR42:AS42" si="32">SUM(AR26:AR41)</f>
        <v>552</v>
      </c>
      <c r="AS42" s="412">
        <f t="shared" si="32"/>
        <v>-1501</v>
      </c>
    </row>
    <row r="43" spans="12:45" s="140" customFormat="1" ht="15"/>
    <row r="45" spans="12:45">
      <c r="L45" s="672" t="s">
        <v>529</v>
      </c>
      <c r="M45" s="656"/>
      <c r="N45" s="656"/>
      <c r="O45" s="656"/>
      <c r="P45" s="656"/>
      <c r="Q45" s="656"/>
      <c r="R45" s="656"/>
      <c r="S45" s="656"/>
      <c r="T45" s="656"/>
      <c r="U45" s="656"/>
      <c r="V45" s="656"/>
      <c r="W45" s="656"/>
      <c r="X45" s="656"/>
      <c r="Y45" s="656"/>
      <c r="Z45" s="656"/>
      <c r="AA45" s="656"/>
      <c r="AB45" s="656"/>
      <c r="AC45" s="656"/>
      <c r="AD45" s="656"/>
      <c r="AE45" s="656"/>
      <c r="AF45" s="656"/>
      <c r="AG45" s="656"/>
      <c r="AH45" s="656"/>
      <c r="AI45" s="656"/>
      <c r="AJ45" s="656"/>
      <c r="AK45" s="656"/>
      <c r="AL45" s="656"/>
      <c r="AM45" s="656"/>
      <c r="AN45" s="656"/>
      <c r="AO45" s="656"/>
      <c r="AP45" s="656"/>
      <c r="AQ45" s="665"/>
      <c r="AR45" s="665"/>
      <c r="AS45" s="665"/>
    </row>
    <row r="46" spans="12:45" ht="17.5" customHeight="1">
      <c r="L46" s="1794" t="s">
        <v>69</v>
      </c>
      <c r="M46" s="1794" t="s">
        <v>31</v>
      </c>
      <c r="N46" s="1794"/>
      <c r="O46" s="1794" t="s">
        <v>32</v>
      </c>
      <c r="P46" s="1794"/>
      <c r="Q46" s="1794" t="s">
        <v>47</v>
      </c>
      <c r="R46" s="1794"/>
      <c r="S46" s="1794" t="s">
        <v>48</v>
      </c>
      <c r="T46" s="1794"/>
      <c r="U46" s="1794" t="s">
        <v>49</v>
      </c>
      <c r="V46" s="1794"/>
      <c r="W46" s="1794" t="s">
        <v>50</v>
      </c>
      <c r="X46" s="1794"/>
      <c r="Y46" s="1794" t="s">
        <v>51</v>
      </c>
      <c r="Z46" s="1794"/>
      <c r="AA46" s="1794" t="s">
        <v>52</v>
      </c>
      <c r="AB46" s="1794"/>
      <c r="AC46" s="1794" t="s">
        <v>53</v>
      </c>
      <c r="AD46" s="1794"/>
      <c r="AE46" s="1794" t="s">
        <v>54</v>
      </c>
      <c r="AF46" s="1794"/>
      <c r="AG46" s="1794" t="s">
        <v>409</v>
      </c>
      <c r="AH46" s="1794"/>
      <c r="AI46" s="1794" t="s">
        <v>410</v>
      </c>
      <c r="AJ46" s="1794"/>
      <c r="AK46" s="1794" t="s">
        <v>411</v>
      </c>
      <c r="AL46" s="1794"/>
      <c r="AM46" s="1794" t="s">
        <v>46</v>
      </c>
      <c r="AN46" s="1794"/>
      <c r="AO46" s="1794" t="s">
        <v>47</v>
      </c>
      <c r="AP46" s="1794"/>
      <c r="AQ46" s="752" t="s">
        <v>159</v>
      </c>
      <c r="AR46" s="661"/>
      <c r="AS46" s="1796" t="s">
        <v>576</v>
      </c>
    </row>
    <row r="47" spans="12:45">
      <c r="L47" s="1795"/>
      <c r="M47" s="10" t="s">
        <v>261</v>
      </c>
      <c r="N47" s="10" t="s">
        <v>503</v>
      </c>
      <c r="O47" s="10" t="s">
        <v>261</v>
      </c>
      <c r="P47" s="10" t="s">
        <v>503</v>
      </c>
      <c r="Q47" s="10" t="s">
        <v>261</v>
      </c>
      <c r="R47" s="10" t="s">
        <v>503</v>
      </c>
      <c r="S47" s="10" t="s">
        <v>261</v>
      </c>
      <c r="T47" s="10" t="s">
        <v>503</v>
      </c>
      <c r="U47" s="10" t="s">
        <v>261</v>
      </c>
      <c r="V47" s="10" t="s">
        <v>503</v>
      </c>
      <c r="W47" s="10" t="s">
        <v>261</v>
      </c>
      <c r="X47" s="10" t="s">
        <v>503</v>
      </c>
      <c r="Y47" s="10" t="s">
        <v>261</v>
      </c>
      <c r="Z47" s="10" t="s">
        <v>503</v>
      </c>
      <c r="AA47" s="10" t="s">
        <v>261</v>
      </c>
      <c r="AB47" s="10" t="s">
        <v>503</v>
      </c>
      <c r="AC47" s="10" t="s">
        <v>261</v>
      </c>
      <c r="AD47" s="10" t="s">
        <v>503</v>
      </c>
      <c r="AE47" s="10" t="s">
        <v>261</v>
      </c>
      <c r="AF47" s="10" t="s">
        <v>503</v>
      </c>
      <c r="AG47" s="10" t="s">
        <v>261</v>
      </c>
      <c r="AH47" s="10" t="s">
        <v>503</v>
      </c>
      <c r="AI47" s="10" t="s">
        <v>261</v>
      </c>
      <c r="AJ47" s="10" t="s">
        <v>503</v>
      </c>
      <c r="AK47" s="10" t="s">
        <v>261</v>
      </c>
      <c r="AL47" s="10" t="s">
        <v>503</v>
      </c>
      <c r="AM47" s="10" t="s">
        <v>261</v>
      </c>
      <c r="AN47" s="10" t="s">
        <v>503</v>
      </c>
      <c r="AO47" s="10" t="s">
        <v>261</v>
      </c>
      <c r="AP47" s="10" t="s">
        <v>503</v>
      </c>
      <c r="AQ47" s="10" t="s">
        <v>261</v>
      </c>
      <c r="AR47" s="10" t="s">
        <v>503</v>
      </c>
      <c r="AS47" s="1795"/>
    </row>
    <row r="48" spans="12:45">
      <c r="L48" s="229" t="s">
        <v>17</v>
      </c>
      <c r="M48" s="666">
        <f t="shared" ref="M48:M63" si="33">M5*$N$1</f>
        <v>13.75</v>
      </c>
      <c r="N48" s="666">
        <f t="shared" ref="N48:N63" si="34">N5</f>
        <v>17</v>
      </c>
      <c r="O48" s="666">
        <f t="shared" ref="O48:O63" si="35">O5*$N$1</f>
        <v>16.5</v>
      </c>
      <c r="P48" s="666">
        <f t="shared" ref="P48:P63" si="36">P5</f>
        <v>18.5</v>
      </c>
      <c r="Q48" s="666">
        <f t="shared" ref="Q48:Q63" si="37">Q5*$R$1</f>
        <v>17.5</v>
      </c>
      <c r="R48" s="666">
        <f t="shared" ref="R48:R63" si="38">R5</f>
        <v>19.75</v>
      </c>
      <c r="S48" s="666">
        <f t="shared" ref="S48:S63" si="39">S5*$T$1</f>
        <v>16.7</v>
      </c>
      <c r="T48" s="666">
        <f t="shared" ref="T48:T63" si="40">T5</f>
        <v>20.29</v>
      </c>
      <c r="U48" s="666">
        <f t="shared" ref="U48:U63" si="41">U5*$V$1</f>
        <v>3.6</v>
      </c>
      <c r="V48" s="666">
        <f t="shared" ref="V48:V63" si="42">V5</f>
        <v>15.599999999999994</v>
      </c>
      <c r="W48" s="666">
        <f t="shared" ref="W48:W63" si="43">W5*$N$1</f>
        <v>23</v>
      </c>
      <c r="X48" s="666">
        <f t="shared" ref="X48:X63" si="44">X5</f>
        <v>0</v>
      </c>
      <c r="Y48" s="666">
        <f t="shared" ref="Y48:Y63" si="45">Y5*$N$1</f>
        <v>25.5</v>
      </c>
      <c r="Z48" s="666">
        <f t="shared" ref="Z48:Z63" si="46">Z5</f>
        <v>0</v>
      </c>
      <c r="AA48" s="666">
        <f t="shared" ref="AA48:AA63" si="47">AA5*$N$1</f>
        <v>24.5</v>
      </c>
      <c r="AB48" s="666">
        <f t="shared" ref="AB48:AB63" si="48">AB5</f>
        <v>0</v>
      </c>
      <c r="AC48" s="666">
        <f t="shared" ref="AC48:AC63" si="49">AC5*$N$1</f>
        <v>26</v>
      </c>
      <c r="AD48" s="666">
        <f t="shared" ref="AD48:AD63" si="50">AD5</f>
        <v>0</v>
      </c>
      <c r="AE48" s="666">
        <f t="shared" ref="AE48:AE63" si="51">AE5*$N$1</f>
        <v>30</v>
      </c>
      <c r="AF48" s="666">
        <f t="shared" ref="AF48:AF63" si="52">AF5</f>
        <v>0</v>
      </c>
      <c r="AG48" s="666">
        <f t="shared" ref="AG48:AG63" si="53">AG5*$N$1</f>
        <v>29.5</v>
      </c>
      <c r="AH48" s="666">
        <f t="shared" ref="AH48:AH63" si="54">AH5</f>
        <v>0</v>
      </c>
      <c r="AI48" s="666">
        <f t="shared" ref="AI48:AI63" si="55">AI5*$N$1</f>
        <v>27.5</v>
      </c>
      <c r="AJ48" s="666">
        <f t="shared" ref="AJ48:AJ63" si="56">AJ5</f>
        <v>0</v>
      </c>
      <c r="AK48" s="666">
        <f t="shared" ref="AK48:AK63" si="57">AK5*$N$1</f>
        <v>21.2</v>
      </c>
      <c r="AL48" s="666">
        <f t="shared" ref="AL48:AL63" si="58">AL5</f>
        <v>0</v>
      </c>
      <c r="AM48" s="666">
        <f t="shared" ref="AM48:AM63" si="59">AM5*$N$1</f>
        <v>18</v>
      </c>
      <c r="AN48" s="666">
        <f t="shared" ref="AN48:AN63" si="60">AN5</f>
        <v>0</v>
      </c>
      <c r="AO48" s="666">
        <f t="shared" ref="AO48:AO63" si="61">AO5*$N$1</f>
        <v>11.8</v>
      </c>
      <c r="AP48" s="666">
        <f t="shared" ref="AP48:AP63" si="62">AP5</f>
        <v>0</v>
      </c>
      <c r="AQ48" s="408">
        <f>M48+O48+Q48+S48+U48+W48+Y48+AA48+AC48+AE48+AG48+AI48+AK48+AM48+AO48</f>
        <v>305.05</v>
      </c>
      <c r="AR48" s="408">
        <f t="shared" ref="AR48:AR66" si="63">N48+P48+R48+T48+V48+X48+Z48+AB48+AD48+AF48+AH48+AJ48+AL48+AN48+AP48</f>
        <v>91.139999999999986</v>
      </c>
      <c r="AS48" s="408">
        <f t="shared" ref="AS48:AS66" si="64">AR48-AQ48</f>
        <v>-213.91000000000003</v>
      </c>
    </row>
    <row r="49" spans="12:45">
      <c r="L49" s="229" t="s">
        <v>90</v>
      </c>
      <c r="M49" s="666">
        <f t="shared" si="33"/>
        <v>0</v>
      </c>
      <c r="N49" s="666">
        <f t="shared" si="34"/>
        <v>0</v>
      </c>
      <c r="O49" s="666">
        <f t="shared" si="35"/>
        <v>0.5</v>
      </c>
      <c r="P49" s="666">
        <f t="shared" si="36"/>
        <v>0.5</v>
      </c>
      <c r="Q49" s="666">
        <f t="shared" si="37"/>
        <v>0.5</v>
      </c>
      <c r="R49" s="666">
        <f t="shared" si="38"/>
        <v>0.5</v>
      </c>
      <c r="S49" s="666">
        <f t="shared" si="39"/>
        <v>0.75</v>
      </c>
      <c r="T49" s="666">
        <f t="shared" si="40"/>
        <v>0.75</v>
      </c>
      <c r="U49" s="666">
        <f t="shared" si="41"/>
        <v>0.1</v>
      </c>
      <c r="V49" s="666">
        <f t="shared" si="42"/>
        <v>0</v>
      </c>
      <c r="W49" s="666">
        <f t="shared" si="43"/>
        <v>0</v>
      </c>
      <c r="X49" s="666">
        <f t="shared" si="44"/>
        <v>0</v>
      </c>
      <c r="Y49" s="666">
        <f t="shared" si="45"/>
        <v>0</v>
      </c>
      <c r="Z49" s="666">
        <f t="shared" si="46"/>
        <v>0</v>
      </c>
      <c r="AA49" s="666">
        <f t="shared" si="47"/>
        <v>0.75</v>
      </c>
      <c r="AB49" s="666">
        <f t="shared" si="48"/>
        <v>0</v>
      </c>
      <c r="AC49" s="666">
        <f t="shared" si="49"/>
        <v>0</v>
      </c>
      <c r="AD49" s="666">
        <f t="shared" si="50"/>
        <v>0</v>
      </c>
      <c r="AE49" s="666">
        <f t="shared" si="51"/>
        <v>1.75</v>
      </c>
      <c r="AF49" s="666">
        <f t="shared" si="52"/>
        <v>0</v>
      </c>
      <c r="AG49" s="666">
        <f t="shared" si="53"/>
        <v>2.5</v>
      </c>
      <c r="AH49" s="666">
        <f t="shared" si="54"/>
        <v>0</v>
      </c>
      <c r="AI49" s="666">
        <f t="shared" si="55"/>
        <v>0</v>
      </c>
      <c r="AJ49" s="666">
        <f t="shared" si="56"/>
        <v>0</v>
      </c>
      <c r="AK49" s="666">
        <f t="shared" si="57"/>
        <v>0</v>
      </c>
      <c r="AL49" s="666">
        <f t="shared" si="58"/>
        <v>0</v>
      </c>
      <c r="AM49" s="666">
        <f t="shared" si="59"/>
        <v>0</v>
      </c>
      <c r="AN49" s="666">
        <f t="shared" si="60"/>
        <v>0</v>
      </c>
      <c r="AO49" s="666">
        <f t="shared" si="61"/>
        <v>0</v>
      </c>
      <c r="AP49" s="666">
        <f t="shared" si="62"/>
        <v>0</v>
      </c>
      <c r="AQ49" s="408">
        <f t="shared" ref="AQ49:AQ65" si="65">M49+O49+Q49+S49+U49+W49+Y49+AA49+AC49+AE49+AG49+AI49+AK49+AM49+AO49</f>
        <v>6.85</v>
      </c>
      <c r="AR49" s="408">
        <f t="shared" si="63"/>
        <v>1.75</v>
      </c>
      <c r="AS49" s="408">
        <f t="shared" si="64"/>
        <v>-5.0999999999999996</v>
      </c>
    </row>
    <row r="50" spans="12:45">
      <c r="L50" s="229" t="s">
        <v>93</v>
      </c>
      <c r="M50" s="666">
        <f t="shared" si="33"/>
        <v>0</v>
      </c>
      <c r="N50" s="666">
        <f t="shared" si="34"/>
        <v>0</v>
      </c>
      <c r="O50" s="666">
        <f t="shared" si="35"/>
        <v>0</v>
      </c>
      <c r="P50" s="666">
        <f t="shared" si="36"/>
        <v>0</v>
      </c>
      <c r="Q50" s="666">
        <f t="shared" si="37"/>
        <v>0</v>
      </c>
      <c r="R50" s="666">
        <f t="shared" si="38"/>
        <v>0</v>
      </c>
      <c r="S50" s="666">
        <f t="shared" si="39"/>
        <v>1.25</v>
      </c>
      <c r="T50" s="666">
        <f t="shared" si="40"/>
        <v>1.3</v>
      </c>
      <c r="U50" s="666">
        <f t="shared" si="41"/>
        <v>1</v>
      </c>
      <c r="V50" s="666">
        <f t="shared" si="42"/>
        <v>3</v>
      </c>
      <c r="W50" s="666">
        <f t="shared" si="43"/>
        <v>7</v>
      </c>
      <c r="X50" s="666">
        <f t="shared" si="44"/>
        <v>0</v>
      </c>
      <c r="Y50" s="666">
        <f t="shared" si="45"/>
        <v>7</v>
      </c>
      <c r="Z50" s="666">
        <f t="shared" si="46"/>
        <v>0</v>
      </c>
      <c r="AA50" s="666">
        <f t="shared" si="47"/>
        <v>7</v>
      </c>
      <c r="AB50" s="666">
        <f t="shared" si="48"/>
        <v>0</v>
      </c>
      <c r="AC50" s="666">
        <f t="shared" si="49"/>
        <v>7.5</v>
      </c>
      <c r="AD50" s="666">
        <f t="shared" si="50"/>
        <v>0</v>
      </c>
      <c r="AE50" s="666">
        <f t="shared" si="51"/>
        <v>8</v>
      </c>
      <c r="AF50" s="666">
        <f t="shared" si="52"/>
        <v>0</v>
      </c>
      <c r="AG50" s="666">
        <f t="shared" si="53"/>
        <v>7.5</v>
      </c>
      <c r="AH50" s="666">
        <f t="shared" si="54"/>
        <v>0</v>
      </c>
      <c r="AI50" s="666">
        <f t="shared" si="55"/>
        <v>7</v>
      </c>
      <c r="AJ50" s="666">
        <f t="shared" si="56"/>
        <v>0</v>
      </c>
      <c r="AK50" s="666">
        <f t="shared" si="57"/>
        <v>7</v>
      </c>
      <c r="AL50" s="666">
        <f t="shared" si="58"/>
        <v>0</v>
      </c>
      <c r="AM50" s="666">
        <f t="shared" si="59"/>
        <v>4.5</v>
      </c>
      <c r="AN50" s="666">
        <f t="shared" si="60"/>
        <v>0</v>
      </c>
      <c r="AO50" s="666">
        <f t="shared" si="61"/>
        <v>1.25</v>
      </c>
      <c r="AP50" s="666">
        <f t="shared" si="62"/>
        <v>0</v>
      </c>
      <c r="AQ50" s="408">
        <f t="shared" si="65"/>
        <v>66</v>
      </c>
      <c r="AR50" s="408">
        <f t="shared" si="63"/>
        <v>4.3</v>
      </c>
      <c r="AS50" s="408">
        <f t="shared" si="64"/>
        <v>-61.7</v>
      </c>
    </row>
    <row r="51" spans="12:45">
      <c r="L51" s="229" t="s">
        <v>102</v>
      </c>
      <c r="M51" s="666">
        <f t="shared" si="33"/>
        <v>2</v>
      </c>
      <c r="N51" s="666">
        <f t="shared" si="34"/>
        <v>2</v>
      </c>
      <c r="O51" s="666">
        <f t="shared" si="35"/>
        <v>2</v>
      </c>
      <c r="P51" s="666">
        <f t="shared" si="36"/>
        <v>2</v>
      </c>
      <c r="Q51" s="666">
        <f t="shared" si="37"/>
        <v>5</v>
      </c>
      <c r="R51" s="666">
        <f t="shared" si="38"/>
        <v>5</v>
      </c>
      <c r="S51" s="666">
        <f t="shared" si="39"/>
        <v>5</v>
      </c>
      <c r="T51" s="666">
        <f t="shared" si="40"/>
        <v>5</v>
      </c>
      <c r="U51" s="666">
        <f t="shared" si="41"/>
        <v>1</v>
      </c>
      <c r="V51" s="666">
        <f t="shared" si="42"/>
        <v>3</v>
      </c>
      <c r="W51" s="666">
        <f t="shared" si="43"/>
        <v>5</v>
      </c>
      <c r="X51" s="666">
        <f t="shared" si="44"/>
        <v>0</v>
      </c>
      <c r="Y51" s="666">
        <f t="shared" si="45"/>
        <v>4</v>
      </c>
      <c r="Z51" s="666">
        <f t="shared" si="46"/>
        <v>0</v>
      </c>
      <c r="AA51" s="666">
        <f t="shared" si="47"/>
        <v>3</v>
      </c>
      <c r="AB51" s="666">
        <f t="shared" si="48"/>
        <v>0</v>
      </c>
      <c r="AC51" s="666">
        <f t="shared" si="49"/>
        <v>3</v>
      </c>
      <c r="AD51" s="666">
        <f t="shared" si="50"/>
        <v>0</v>
      </c>
      <c r="AE51" s="666">
        <f t="shared" si="51"/>
        <v>3</v>
      </c>
      <c r="AF51" s="666">
        <f t="shared" si="52"/>
        <v>0</v>
      </c>
      <c r="AG51" s="666">
        <f t="shared" si="53"/>
        <v>2</v>
      </c>
      <c r="AH51" s="666">
        <f t="shared" si="54"/>
        <v>0</v>
      </c>
      <c r="AI51" s="666">
        <f t="shared" si="55"/>
        <v>2</v>
      </c>
      <c r="AJ51" s="666">
        <f t="shared" si="56"/>
        <v>0</v>
      </c>
      <c r="AK51" s="666">
        <f t="shared" si="57"/>
        <v>2</v>
      </c>
      <c r="AL51" s="666">
        <f t="shared" si="58"/>
        <v>0</v>
      </c>
      <c r="AM51" s="666">
        <f t="shared" si="59"/>
        <v>2</v>
      </c>
      <c r="AN51" s="666">
        <f t="shared" si="60"/>
        <v>0</v>
      </c>
      <c r="AO51" s="666">
        <f t="shared" si="61"/>
        <v>2</v>
      </c>
      <c r="AP51" s="666">
        <f t="shared" si="62"/>
        <v>0</v>
      </c>
      <c r="AQ51" s="408">
        <f t="shared" si="65"/>
        <v>43</v>
      </c>
      <c r="AR51" s="408">
        <f t="shared" si="63"/>
        <v>17</v>
      </c>
      <c r="AS51" s="408">
        <f t="shared" si="64"/>
        <v>-26</v>
      </c>
    </row>
    <row r="52" spans="12:45">
      <c r="L52" s="231" t="s">
        <v>56</v>
      </c>
      <c r="M52" s="666">
        <f t="shared" si="33"/>
        <v>6.5</v>
      </c>
      <c r="N52" s="666">
        <f t="shared" si="34"/>
        <v>6.5</v>
      </c>
      <c r="O52" s="666">
        <f t="shared" si="35"/>
        <v>12</v>
      </c>
      <c r="P52" s="666">
        <f t="shared" si="36"/>
        <v>12</v>
      </c>
      <c r="Q52" s="666">
        <f t="shared" si="37"/>
        <v>17</v>
      </c>
      <c r="R52" s="666">
        <f t="shared" si="38"/>
        <v>19</v>
      </c>
      <c r="S52" s="666">
        <f t="shared" si="39"/>
        <v>17</v>
      </c>
      <c r="T52" s="666">
        <f t="shared" si="40"/>
        <v>19</v>
      </c>
      <c r="U52" s="666">
        <f t="shared" si="41"/>
        <v>3.4000000000000004</v>
      </c>
      <c r="V52" s="666">
        <f t="shared" si="42"/>
        <v>13.799999999999995</v>
      </c>
      <c r="W52" s="666">
        <f t="shared" si="43"/>
        <v>17</v>
      </c>
      <c r="X52" s="666">
        <f t="shared" si="44"/>
        <v>0</v>
      </c>
      <c r="Y52" s="666">
        <f t="shared" si="45"/>
        <v>17</v>
      </c>
      <c r="Z52" s="666">
        <f t="shared" si="46"/>
        <v>0</v>
      </c>
      <c r="AA52" s="666">
        <f t="shared" si="47"/>
        <v>15.75</v>
      </c>
      <c r="AB52" s="666">
        <f t="shared" si="48"/>
        <v>0</v>
      </c>
      <c r="AC52" s="666">
        <f t="shared" si="49"/>
        <v>15</v>
      </c>
      <c r="AD52" s="666">
        <f t="shared" si="50"/>
        <v>0</v>
      </c>
      <c r="AE52" s="666">
        <f t="shared" si="51"/>
        <v>11</v>
      </c>
      <c r="AF52" s="666">
        <f t="shared" si="52"/>
        <v>0</v>
      </c>
      <c r="AG52" s="666">
        <f t="shared" si="53"/>
        <v>7.5</v>
      </c>
      <c r="AH52" s="666">
        <f t="shared" si="54"/>
        <v>0</v>
      </c>
      <c r="AI52" s="666">
        <f t="shared" si="55"/>
        <v>6.25</v>
      </c>
      <c r="AJ52" s="666">
        <f t="shared" si="56"/>
        <v>0</v>
      </c>
      <c r="AK52" s="666">
        <f t="shared" si="57"/>
        <v>5.5</v>
      </c>
      <c r="AL52" s="666">
        <f t="shared" si="58"/>
        <v>0</v>
      </c>
      <c r="AM52" s="666">
        <f t="shared" si="59"/>
        <v>5</v>
      </c>
      <c r="AN52" s="666">
        <f t="shared" si="60"/>
        <v>0</v>
      </c>
      <c r="AO52" s="666">
        <f t="shared" si="61"/>
        <v>2.5</v>
      </c>
      <c r="AP52" s="666">
        <f t="shared" si="62"/>
        <v>0</v>
      </c>
      <c r="AQ52" s="408">
        <f t="shared" si="65"/>
        <v>158.4</v>
      </c>
      <c r="AR52" s="408">
        <f t="shared" si="63"/>
        <v>70.3</v>
      </c>
      <c r="AS52" s="408">
        <f t="shared" si="64"/>
        <v>-88.100000000000009</v>
      </c>
    </row>
    <row r="53" spans="12:45">
      <c r="L53" s="73" t="s">
        <v>57</v>
      </c>
      <c r="M53" s="1661">
        <f t="shared" si="33"/>
        <v>16.75</v>
      </c>
      <c r="N53" s="1661">
        <f t="shared" si="34"/>
        <v>19</v>
      </c>
      <c r="O53" s="1661">
        <f t="shared" si="35"/>
        <v>18</v>
      </c>
      <c r="P53" s="1661">
        <f t="shared" si="36"/>
        <v>22</v>
      </c>
      <c r="Q53" s="1661">
        <f t="shared" si="37"/>
        <v>19</v>
      </c>
      <c r="R53" s="1661">
        <f t="shared" si="38"/>
        <v>27.85</v>
      </c>
      <c r="S53" s="1661">
        <f t="shared" si="39"/>
        <v>19</v>
      </c>
      <c r="T53" s="666">
        <f t="shared" si="40"/>
        <v>29</v>
      </c>
      <c r="U53" s="666">
        <f t="shared" si="41"/>
        <v>8.2000000000000011</v>
      </c>
      <c r="V53" s="666">
        <f t="shared" si="42"/>
        <v>24.600000000000016</v>
      </c>
      <c r="W53" s="666">
        <f t="shared" si="43"/>
        <v>43.5</v>
      </c>
      <c r="X53" s="666">
        <f t="shared" si="44"/>
        <v>0</v>
      </c>
      <c r="Y53" s="666">
        <f t="shared" si="45"/>
        <v>46</v>
      </c>
      <c r="Z53" s="666">
        <f t="shared" si="46"/>
        <v>0</v>
      </c>
      <c r="AA53" s="666">
        <f t="shared" si="47"/>
        <v>46</v>
      </c>
      <c r="AB53" s="666">
        <f t="shared" si="48"/>
        <v>0</v>
      </c>
      <c r="AC53" s="666">
        <f t="shared" si="49"/>
        <v>46</v>
      </c>
      <c r="AD53" s="666">
        <f t="shared" si="50"/>
        <v>0</v>
      </c>
      <c r="AE53" s="666">
        <f t="shared" si="51"/>
        <v>46</v>
      </c>
      <c r="AF53" s="666">
        <f t="shared" si="52"/>
        <v>0</v>
      </c>
      <c r="AG53" s="666">
        <f t="shared" si="53"/>
        <v>46</v>
      </c>
      <c r="AH53" s="666">
        <f t="shared" si="54"/>
        <v>0</v>
      </c>
      <c r="AI53" s="666">
        <f t="shared" si="55"/>
        <v>46</v>
      </c>
      <c r="AJ53" s="666">
        <f t="shared" si="56"/>
        <v>0</v>
      </c>
      <c r="AK53" s="666">
        <f t="shared" si="57"/>
        <v>46</v>
      </c>
      <c r="AL53" s="666">
        <f t="shared" si="58"/>
        <v>0</v>
      </c>
      <c r="AM53" s="666">
        <f t="shared" si="59"/>
        <v>46</v>
      </c>
      <c r="AN53" s="666">
        <f t="shared" si="60"/>
        <v>0</v>
      </c>
      <c r="AO53" s="666">
        <f t="shared" si="61"/>
        <v>34</v>
      </c>
      <c r="AP53" s="666">
        <f t="shared" si="62"/>
        <v>0</v>
      </c>
      <c r="AQ53" s="408">
        <f>M53+O53+Q53+S53+U53+W53+Y53+AA53+AC53+AE53+AG53+AI53+AK53+AM53+AO53</f>
        <v>526.45000000000005</v>
      </c>
      <c r="AR53" s="408">
        <f t="shared" si="63"/>
        <v>122.45000000000002</v>
      </c>
      <c r="AS53" s="408">
        <f t="shared" si="64"/>
        <v>-404</v>
      </c>
    </row>
    <row r="54" spans="12:45">
      <c r="L54" s="73" t="s">
        <v>348</v>
      </c>
      <c r="M54" s="1661">
        <f t="shared" si="33"/>
        <v>0</v>
      </c>
      <c r="N54" s="1661">
        <f t="shared" si="34"/>
        <v>0</v>
      </c>
      <c r="O54" s="1661">
        <f t="shared" si="35"/>
        <v>0</v>
      </c>
      <c r="P54" s="1661">
        <f t="shared" si="36"/>
        <v>0</v>
      </c>
      <c r="Q54" s="1661">
        <f t="shared" si="37"/>
        <v>0</v>
      </c>
      <c r="R54" s="1661">
        <f t="shared" si="38"/>
        <v>0</v>
      </c>
      <c r="S54" s="1661">
        <f t="shared" si="39"/>
        <v>0</v>
      </c>
      <c r="T54" s="666">
        <f t="shared" si="40"/>
        <v>0</v>
      </c>
      <c r="U54" s="666">
        <f t="shared" si="41"/>
        <v>0</v>
      </c>
      <c r="V54" s="666">
        <f t="shared" si="42"/>
        <v>0</v>
      </c>
      <c r="W54" s="666">
        <f t="shared" si="43"/>
        <v>0</v>
      </c>
      <c r="X54" s="666">
        <f t="shared" si="44"/>
        <v>0</v>
      </c>
      <c r="Y54" s="666">
        <f t="shared" si="45"/>
        <v>0</v>
      </c>
      <c r="Z54" s="666">
        <f t="shared" si="46"/>
        <v>0</v>
      </c>
      <c r="AA54" s="666">
        <f t="shared" si="47"/>
        <v>0</v>
      </c>
      <c r="AB54" s="666">
        <f t="shared" si="48"/>
        <v>0</v>
      </c>
      <c r="AC54" s="666">
        <f t="shared" si="49"/>
        <v>0</v>
      </c>
      <c r="AD54" s="666">
        <f t="shared" si="50"/>
        <v>0</v>
      </c>
      <c r="AE54" s="666">
        <f t="shared" si="51"/>
        <v>0</v>
      </c>
      <c r="AF54" s="666">
        <f t="shared" si="52"/>
        <v>0</v>
      </c>
      <c r="AG54" s="666">
        <f t="shared" si="53"/>
        <v>0</v>
      </c>
      <c r="AH54" s="666">
        <f t="shared" si="54"/>
        <v>0</v>
      </c>
      <c r="AI54" s="666">
        <f t="shared" si="55"/>
        <v>0</v>
      </c>
      <c r="AJ54" s="666">
        <f t="shared" si="56"/>
        <v>0</v>
      </c>
      <c r="AK54" s="666">
        <f t="shared" si="57"/>
        <v>0</v>
      </c>
      <c r="AL54" s="666">
        <f t="shared" si="58"/>
        <v>0</v>
      </c>
      <c r="AM54" s="666">
        <f t="shared" si="59"/>
        <v>0</v>
      </c>
      <c r="AN54" s="666">
        <f t="shared" si="60"/>
        <v>0</v>
      </c>
      <c r="AO54" s="666">
        <f t="shared" si="61"/>
        <v>0</v>
      </c>
      <c r="AP54" s="666">
        <f t="shared" si="62"/>
        <v>0</v>
      </c>
      <c r="AQ54" s="408">
        <f t="shared" si="65"/>
        <v>0</v>
      </c>
      <c r="AR54" s="408">
        <f t="shared" si="63"/>
        <v>0</v>
      </c>
      <c r="AS54" s="408">
        <f t="shared" si="64"/>
        <v>0</v>
      </c>
    </row>
    <row r="55" spans="12:45">
      <c r="L55" s="73" t="s">
        <v>58</v>
      </c>
      <c r="M55" s="1661">
        <f t="shared" si="33"/>
        <v>2</v>
      </c>
      <c r="N55" s="1661">
        <f t="shared" si="34"/>
        <v>2</v>
      </c>
      <c r="O55" s="1661">
        <f t="shared" si="35"/>
        <v>3.4000000000000004</v>
      </c>
      <c r="P55" s="1661">
        <f t="shared" si="36"/>
        <v>3.4000000000000004</v>
      </c>
      <c r="Q55" s="1661">
        <f t="shared" si="37"/>
        <v>4</v>
      </c>
      <c r="R55" s="1661">
        <f t="shared" si="38"/>
        <v>4.5</v>
      </c>
      <c r="S55" s="1661">
        <f t="shared" si="39"/>
        <v>5.4</v>
      </c>
      <c r="T55" s="666">
        <f t="shared" si="40"/>
        <v>8.4</v>
      </c>
      <c r="U55" s="666">
        <f t="shared" si="41"/>
        <v>1.8</v>
      </c>
      <c r="V55" s="666">
        <f t="shared" si="42"/>
        <v>5.3999999999999995</v>
      </c>
      <c r="W55" s="666">
        <f t="shared" si="43"/>
        <v>9</v>
      </c>
      <c r="X55" s="666">
        <f t="shared" si="44"/>
        <v>0</v>
      </c>
      <c r="Y55" s="666">
        <f t="shared" si="45"/>
        <v>7</v>
      </c>
      <c r="Z55" s="666">
        <f t="shared" si="46"/>
        <v>0</v>
      </c>
      <c r="AA55" s="666">
        <f t="shared" si="47"/>
        <v>7</v>
      </c>
      <c r="AB55" s="666">
        <f t="shared" si="48"/>
        <v>0</v>
      </c>
      <c r="AC55" s="666">
        <f t="shared" si="49"/>
        <v>6.5</v>
      </c>
      <c r="AD55" s="666">
        <f t="shared" si="50"/>
        <v>0</v>
      </c>
      <c r="AE55" s="666">
        <f t="shared" si="51"/>
        <v>6</v>
      </c>
      <c r="AF55" s="666">
        <f t="shared" si="52"/>
        <v>0</v>
      </c>
      <c r="AG55" s="666">
        <f t="shared" si="53"/>
        <v>6</v>
      </c>
      <c r="AH55" s="666">
        <f t="shared" si="54"/>
        <v>0</v>
      </c>
      <c r="AI55" s="666">
        <f t="shared" si="55"/>
        <v>3</v>
      </c>
      <c r="AJ55" s="666">
        <f t="shared" si="56"/>
        <v>0</v>
      </c>
      <c r="AK55" s="666">
        <f t="shared" si="57"/>
        <v>2.2999999999999998</v>
      </c>
      <c r="AL55" s="666">
        <f t="shared" si="58"/>
        <v>0</v>
      </c>
      <c r="AM55" s="666">
        <f t="shared" si="59"/>
        <v>1</v>
      </c>
      <c r="AN55" s="666">
        <f t="shared" si="60"/>
        <v>0</v>
      </c>
      <c r="AO55" s="666">
        <f t="shared" si="61"/>
        <v>0.5</v>
      </c>
      <c r="AP55" s="666">
        <f t="shared" si="62"/>
        <v>0</v>
      </c>
      <c r="AQ55" s="408">
        <f t="shared" si="65"/>
        <v>64.900000000000006</v>
      </c>
      <c r="AR55" s="408">
        <f t="shared" si="63"/>
        <v>23.7</v>
      </c>
      <c r="AS55" s="408">
        <f t="shared" si="64"/>
        <v>-41.2</v>
      </c>
    </row>
    <row r="56" spans="12:45">
      <c r="L56" s="73" t="s">
        <v>40</v>
      </c>
      <c r="M56" s="1661">
        <f t="shared" si="33"/>
        <v>2.75</v>
      </c>
      <c r="N56" s="1661">
        <f t="shared" si="34"/>
        <v>2.75</v>
      </c>
      <c r="O56" s="1661">
        <f t="shared" si="35"/>
        <v>7.45</v>
      </c>
      <c r="P56" s="1661">
        <f t="shared" si="36"/>
        <v>6.3999999999999995</v>
      </c>
      <c r="Q56" s="1661">
        <f t="shared" si="37"/>
        <v>11.350000000000001</v>
      </c>
      <c r="R56" s="1661">
        <f t="shared" si="38"/>
        <v>12.3</v>
      </c>
      <c r="S56" s="1661">
        <f t="shared" si="39"/>
        <v>17.05</v>
      </c>
      <c r="T56" s="666">
        <f t="shared" si="40"/>
        <v>18.100000000000001</v>
      </c>
      <c r="U56" s="666">
        <f t="shared" si="41"/>
        <v>3.3000000000000003</v>
      </c>
      <c r="V56" s="666">
        <f t="shared" si="42"/>
        <v>10.199999999999998</v>
      </c>
      <c r="W56" s="666">
        <f t="shared" si="43"/>
        <v>22</v>
      </c>
      <c r="X56" s="666">
        <f t="shared" si="44"/>
        <v>0</v>
      </c>
      <c r="Y56" s="666">
        <f t="shared" si="45"/>
        <v>21</v>
      </c>
      <c r="Z56" s="666">
        <f t="shared" si="46"/>
        <v>0</v>
      </c>
      <c r="AA56" s="666">
        <f t="shared" si="47"/>
        <v>17.95</v>
      </c>
      <c r="AB56" s="666">
        <f t="shared" si="48"/>
        <v>0</v>
      </c>
      <c r="AC56" s="666">
        <f t="shared" si="49"/>
        <v>17</v>
      </c>
      <c r="AD56" s="666">
        <f t="shared" si="50"/>
        <v>0</v>
      </c>
      <c r="AE56" s="666">
        <f t="shared" si="51"/>
        <v>17</v>
      </c>
      <c r="AF56" s="666">
        <f t="shared" si="52"/>
        <v>0</v>
      </c>
      <c r="AG56" s="666">
        <f t="shared" si="53"/>
        <v>18</v>
      </c>
      <c r="AH56" s="666">
        <f t="shared" si="54"/>
        <v>0</v>
      </c>
      <c r="AI56" s="666">
        <f t="shared" si="55"/>
        <v>17.5</v>
      </c>
      <c r="AJ56" s="666">
        <f t="shared" si="56"/>
        <v>0</v>
      </c>
      <c r="AK56" s="666">
        <f t="shared" si="57"/>
        <v>15</v>
      </c>
      <c r="AL56" s="666">
        <f t="shared" si="58"/>
        <v>0</v>
      </c>
      <c r="AM56" s="666">
        <f t="shared" si="59"/>
        <v>6.25</v>
      </c>
      <c r="AN56" s="666">
        <f t="shared" si="60"/>
        <v>0</v>
      </c>
      <c r="AO56" s="666">
        <f t="shared" si="61"/>
        <v>0</v>
      </c>
      <c r="AP56" s="666">
        <f t="shared" si="62"/>
        <v>0</v>
      </c>
      <c r="AQ56" s="408">
        <f t="shared" si="65"/>
        <v>193.60000000000002</v>
      </c>
      <c r="AR56" s="408">
        <f t="shared" si="63"/>
        <v>49.749999999999993</v>
      </c>
      <c r="AS56" s="408">
        <f t="shared" si="64"/>
        <v>-143.85000000000002</v>
      </c>
    </row>
    <row r="57" spans="12:45">
      <c r="L57" s="73" t="s">
        <v>59</v>
      </c>
      <c r="M57" s="666">
        <f t="shared" si="33"/>
        <v>4</v>
      </c>
      <c r="N57" s="666">
        <f t="shared" si="34"/>
        <v>4</v>
      </c>
      <c r="O57" s="666">
        <f t="shared" si="35"/>
        <v>5</v>
      </c>
      <c r="P57" s="666">
        <f t="shared" si="36"/>
        <v>5</v>
      </c>
      <c r="Q57" s="666">
        <f t="shared" si="37"/>
        <v>6</v>
      </c>
      <c r="R57" s="666">
        <f t="shared" si="38"/>
        <v>5.05</v>
      </c>
      <c r="S57" s="666">
        <f t="shared" si="39"/>
        <v>7</v>
      </c>
      <c r="T57" s="666">
        <f t="shared" si="40"/>
        <v>7</v>
      </c>
      <c r="U57" s="666">
        <f t="shared" si="41"/>
        <v>1.9000000000000001</v>
      </c>
      <c r="V57" s="666">
        <f t="shared" si="42"/>
        <v>5.3999999999999995</v>
      </c>
      <c r="W57" s="666">
        <f t="shared" si="43"/>
        <v>10</v>
      </c>
      <c r="X57" s="666">
        <f t="shared" si="44"/>
        <v>0</v>
      </c>
      <c r="Y57" s="666">
        <f t="shared" si="45"/>
        <v>10</v>
      </c>
      <c r="Z57" s="666">
        <f t="shared" si="46"/>
        <v>0</v>
      </c>
      <c r="AA57" s="666">
        <f t="shared" si="47"/>
        <v>10</v>
      </c>
      <c r="AB57" s="666">
        <f t="shared" si="48"/>
        <v>0</v>
      </c>
      <c r="AC57" s="666">
        <f t="shared" si="49"/>
        <v>10</v>
      </c>
      <c r="AD57" s="666">
        <f t="shared" si="50"/>
        <v>0</v>
      </c>
      <c r="AE57" s="666">
        <f t="shared" si="51"/>
        <v>9.5</v>
      </c>
      <c r="AF57" s="666">
        <f t="shared" si="52"/>
        <v>0</v>
      </c>
      <c r="AG57" s="666">
        <f t="shared" si="53"/>
        <v>7</v>
      </c>
      <c r="AH57" s="666">
        <f t="shared" si="54"/>
        <v>0</v>
      </c>
      <c r="AI57" s="666">
        <f t="shared" si="55"/>
        <v>6</v>
      </c>
      <c r="AJ57" s="666">
        <f t="shared" si="56"/>
        <v>0</v>
      </c>
      <c r="AK57" s="666">
        <f t="shared" si="57"/>
        <v>6</v>
      </c>
      <c r="AL57" s="666">
        <f t="shared" si="58"/>
        <v>0</v>
      </c>
      <c r="AM57" s="666">
        <f t="shared" si="59"/>
        <v>4</v>
      </c>
      <c r="AN57" s="666">
        <f t="shared" si="60"/>
        <v>0</v>
      </c>
      <c r="AO57" s="666">
        <f t="shared" si="61"/>
        <v>4</v>
      </c>
      <c r="AP57" s="666">
        <f t="shared" si="62"/>
        <v>0</v>
      </c>
      <c r="AQ57" s="408">
        <f t="shared" si="65"/>
        <v>100.4</v>
      </c>
      <c r="AR57" s="408">
        <f t="shared" si="63"/>
        <v>26.45</v>
      </c>
      <c r="AS57" s="408">
        <f t="shared" si="64"/>
        <v>-73.95</v>
      </c>
    </row>
    <row r="58" spans="12:45">
      <c r="L58" s="114" t="s">
        <v>60</v>
      </c>
      <c r="M58" s="666">
        <f t="shared" si="33"/>
        <v>0</v>
      </c>
      <c r="N58" s="666">
        <f t="shared" si="34"/>
        <v>0</v>
      </c>
      <c r="O58" s="666">
        <f t="shared" si="35"/>
        <v>0.4</v>
      </c>
      <c r="P58" s="666">
        <f t="shared" si="36"/>
        <v>0.4</v>
      </c>
      <c r="Q58" s="666">
        <f t="shared" si="37"/>
        <v>0.4</v>
      </c>
      <c r="R58" s="666">
        <f t="shared" si="38"/>
        <v>0.4</v>
      </c>
      <c r="S58" s="666">
        <f t="shared" si="39"/>
        <v>0.4</v>
      </c>
      <c r="T58" s="666">
        <f t="shared" si="40"/>
        <v>0.4</v>
      </c>
      <c r="U58" s="666">
        <f t="shared" si="41"/>
        <v>8.0000000000000016E-2</v>
      </c>
      <c r="V58" s="666">
        <f t="shared" si="42"/>
        <v>0</v>
      </c>
      <c r="W58" s="666">
        <f t="shared" si="43"/>
        <v>0.4</v>
      </c>
      <c r="X58" s="666">
        <f t="shared" si="44"/>
        <v>0</v>
      </c>
      <c r="Y58" s="666">
        <f t="shared" si="45"/>
        <v>6</v>
      </c>
      <c r="Z58" s="666">
        <f t="shared" si="46"/>
        <v>0</v>
      </c>
      <c r="AA58" s="666">
        <f t="shared" si="47"/>
        <v>11</v>
      </c>
      <c r="AB58" s="666">
        <f t="shared" si="48"/>
        <v>0</v>
      </c>
      <c r="AC58" s="666">
        <f t="shared" si="49"/>
        <v>11</v>
      </c>
      <c r="AD58" s="666">
        <f t="shared" si="50"/>
        <v>0</v>
      </c>
      <c r="AE58" s="666">
        <f t="shared" si="51"/>
        <v>10</v>
      </c>
      <c r="AF58" s="666">
        <f t="shared" si="52"/>
        <v>0</v>
      </c>
      <c r="AG58" s="666">
        <f t="shared" si="53"/>
        <v>10</v>
      </c>
      <c r="AH58" s="666">
        <f t="shared" si="54"/>
        <v>0</v>
      </c>
      <c r="AI58" s="666">
        <f t="shared" si="55"/>
        <v>10</v>
      </c>
      <c r="AJ58" s="666">
        <f t="shared" si="56"/>
        <v>0</v>
      </c>
      <c r="AK58" s="666">
        <f t="shared" si="57"/>
        <v>10</v>
      </c>
      <c r="AL58" s="666">
        <f t="shared" si="58"/>
        <v>0</v>
      </c>
      <c r="AM58" s="666">
        <f t="shared" si="59"/>
        <v>10</v>
      </c>
      <c r="AN58" s="666">
        <f t="shared" si="60"/>
        <v>0</v>
      </c>
      <c r="AO58" s="666">
        <f t="shared" si="61"/>
        <v>0</v>
      </c>
      <c r="AP58" s="666">
        <f t="shared" si="62"/>
        <v>0</v>
      </c>
      <c r="AQ58" s="408">
        <f t="shared" si="65"/>
        <v>79.680000000000007</v>
      </c>
      <c r="AR58" s="408">
        <f t="shared" si="63"/>
        <v>1.2000000000000002</v>
      </c>
      <c r="AS58" s="408">
        <f t="shared" si="64"/>
        <v>-78.48</v>
      </c>
    </row>
    <row r="59" spans="12:45">
      <c r="L59" s="229" t="s">
        <v>41</v>
      </c>
      <c r="M59" s="666">
        <f t="shared" si="33"/>
        <v>0</v>
      </c>
      <c r="N59" s="666">
        <f t="shared" si="34"/>
        <v>0</v>
      </c>
      <c r="O59" s="666">
        <f t="shared" si="35"/>
        <v>0</v>
      </c>
      <c r="P59" s="666">
        <f t="shared" si="36"/>
        <v>0</v>
      </c>
      <c r="Q59" s="666">
        <f t="shared" si="37"/>
        <v>0</v>
      </c>
      <c r="R59" s="666">
        <f t="shared" si="38"/>
        <v>0</v>
      </c>
      <c r="S59" s="666">
        <f t="shared" si="39"/>
        <v>0</v>
      </c>
      <c r="T59" s="666">
        <f t="shared" si="40"/>
        <v>0</v>
      </c>
      <c r="U59" s="666">
        <f t="shared" si="41"/>
        <v>0</v>
      </c>
      <c r="V59" s="666">
        <f t="shared" si="42"/>
        <v>0</v>
      </c>
      <c r="W59" s="666">
        <f t="shared" si="43"/>
        <v>1</v>
      </c>
      <c r="X59" s="666">
        <f t="shared" si="44"/>
        <v>0</v>
      </c>
      <c r="Y59" s="666">
        <f t="shared" si="45"/>
        <v>1</v>
      </c>
      <c r="Z59" s="666">
        <f t="shared" si="46"/>
        <v>0</v>
      </c>
      <c r="AA59" s="666">
        <f t="shared" si="47"/>
        <v>1</v>
      </c>
      <c r="AB59" s="666">
        <f t="shared" si="48"/>
        <v>0</v>
      </c>
      <c r="AC59" s="666">
        <f t="shared" si="49"/>
        <v>1</v>
      </c>
      <c r="AD59" s="666">
        <f t="shared" si="50"/>
        <v>0</v>
      </c>
      <c r="AE59" s="666">
        <f t="shared" si="51"/>
        <v>1</v>
      </c>
      <c r="AF59" s="666">
        <f t="shared" si="52"/>
        <v>0</v>
      </c>
      <c r="AG59" s="666">
        <f t="shared" si="53"/>
        <v>1</v>
      </c>
      <c r="AH59" s="666">
        <f t="shared" si="54"/>
        <v>0</v>
      </c>
      <c r="AI59" s="666">
        <f t="shared" si="55"/>
        <v>0.3</v>
      </c>
      <c r="AJ59" s="666">
        <f t="shared" si="56"/>
        <v>0</v>
      </c>
      <c r="AK59" s="666">
        <f t="shared" si="57"/>
        <v>0</v>
      </c>
      <c r="AL59" s="666">
        <f t="shared" si="58"/>
        <v>0</v>
      </c>
      <c r="AM59" s="666">
        <f t="shared" si="59"/>
        <v>0</v>
      </c>
      <c r="AN59" s="666">
        <f t="shared" si="60"/>
        <v>0</v>
      </c>
      <c r="AO59" s="666">
        <f t="shared" si="61"/>
        <v>0</v>
      </c>
      <c r="AP59" s="666">
        <f t="shared" si="62"/>
        <v>0</v>
      </c>
      <c r="AQ59" s="408">
        <f t="shared" si="65"/>
        <v>6.3</v>
      </c>
      <c r="AR59" s="408">
        <f t="shared" si="63"/>
        <v>0</v>
      </c>
      <c r="AS59" s="408">
        <f t="shared" si="64"/>
        <v>-6.3</v>
      </c>
    </row>
    <row r="60" spans="12:45">
      <c r="L60" s="229" t="s">
        <v>603</v>
      </c>
      <c r="M60" s="666">
        <f t="shared" si="33"/>
        <v>0</v>
      </c>
      <c r="N60" s="666">
        <f t="shared" si="34"/>
        <v>0</v>
      </c>
      <c r="O60" s="666">
        <f t="shared" si="35"/>
        <v>0</v>
      </c>
      <c r="P60" s="666">
        <f t="shared" si="36"/>
        <v>0</v>
      </c>
      <c r="Q60" s="666">
        <f t="shared" si="37"/>
        <v>0.5</v>
      </c>
      <c r="R60" s="666">
        <f t="shared" si="38"/>
        <v>0.25</v>
      </c>
      <c r="S60" s="666">
        <f t="shared" si="39"/>
        <v>2.5</v>
      </c>
      <c r="T60" s="666">
        <f t="shared" si="40"/>
        <v>2.5</v>
      </c>
      <c r="U60" s="666">
        <f t="shared" si="41"/>
        <v>0.4</v>
      </c>
      <c r="V60" s="666">
        <f t="shared" si="42"/>
        <v>1.2</v>
      </c>
      <c r="W60" s="666">
        <f t="shared" si="43"/>
        <v>2</v>
      </c>
      <c r="X60" s="666">
        <f t="shared" si="44"/>
        <v>0</v>
      </c>
      <c r="Y60" s="666">
        <f t="shared" si="45"/>
        <v>2</v>
      </c>
      <c r="Z60" s="666">
        <f t="shared" si="46"/>
        <v>0</v>
      </c>
      <c r="AA60" s="666">
        <f t="shared" si="47"/>
        <v>0.2</v>
      </c>
      <c r="AB60" s="666">
        <f t="shared" si="48"/>
        <v>0</v>
      </c>
      <c r="AC60" s="666">
        <f t="shared" si="49"/>
        <v>0.2</v>
      </c>
      <c r="AD60" s="666">
        <f t="shared" si="50"/>
        <v>0</v>
      </c>
      <c r="AE60" s="666">
        <f t="shared" si="51"/>
        <v>0.2</v>
      </c>
      <c r="AF60" s="666">
        <f t="shared" si="52"/>
        <v>0</v>
      </c>
      <c r="AG60" s="666">
        <f t="shared" si="53"/>
        <v>0.2</v>
      </c>
      <c r="AH60" s="666">
        <f t="shared" si="54"/>
        <v>0</v>
      </c>
      <c r="AI60" s="666">
        <f t="shared" si="55"/>
        <v>0.2</v>
      </c>
      <c r="AJ60" s="666">
        <f t="shared" si="56"/>
        <v>0</v>
      </c>
      <c r="AK60" s="666">
        <f t="shared" si="57"/>
        <v>0.2</v>
      </c>
      <c r="AL60" s="666">
        <f t="shared" si="58"/>
        <v>0</v>
      </c>
      <c r="AM60" s="666">
        <f t="shared" si="59"/>
        <v>0.2</v>
      </c>
      <c r="AN60" s="666">
        <f t="shared" si="60"/>
        <v>0</v>
      </c>
      <c r="AO60" s="666">
        <f t="shared" si="61"/>
        <v>0</v>
      </c>
      <c r="AP60" s="666">
        <f t="shared" si="62"/>
        <v>0</v>
      </c>
      <c r="AQ60" s="408">
        <f t="shared" ref="AQ60" si="66">M60+O60+Q60+S60+U60+W60+Y60+AA60+AC60+AE60+AG60+AI60+AK60+AM60+AO60</f>
        <v>8.7999999999999972</v>
      </c>
      <c r="AR60" s="408">
        <f t="shared" ref="AR60" si="67">N60+P60+R60+T60+V60+X60+Z60+AB60+AD60+AF60+AH60+AJ60+AL60+AN60+AP60</f>
        <v>3.95</v>
      </c>
      <c r="AS60" s="408">
        <f t="shared" ref="AS60" si="68">AR60-AQ60</f>
        <v>-4.849999999999997</v>
      </c>
    </row>
    <row r="61" spans="12:45">
      <c r="L61" s="73" t="s">
        <v>61</v>
      </c>
      <c r="M61" s="666">
        <f t="shared" si="33"/>
        <v>1</v>
      </c>
      <c r="N61" s="666">
        <f t="shared" si="34"/>
        <v>1</v>
      </c>
      <c r="O61" s="666">
        <f t="shared" si="35"/>
        <v>4</v>
      </c>
      <c r="P61" s="666">
        <f t="shared" si="36"/>
        <v>4</v>
      </c>
      <c r="Q61" s="666">
        <f t="shared" si="37"/>
        <v>5.8</v>
      </c>
      <c r="R61" s="666">
        <f t="shared" si="38"/>
        <v>5.8</v>
      </c>
      <c r="S61" s="666">
        <f t="shared" si="39"/>
        <v>6.3</v>
      </c>
      <c r="T61" s="666">
        <f t="shared" si="40"/>
        <v>8.5</v>
      </c>
      <c r="U61" s="666">
        <f t="shared" si="41"/>
        <v>1.3</v>
      </c>
      <c r="V61" s="666">
        <f t="shared" si="42"/>
        <v>4.5</v>
      </c>
      <c r="W61" s="666">
        <f t="shared" si="43"/>
        <v>6.5</v>
      </c>
      <c r="X61" s="666">
        <f t="shared" si="44"/>
        <v>0</v>
      </c>
      <c r="Y61" s="666">
        <f t="shared" si="45"/>
        <v>8</v>
      </c>
      <c r="Z61" s="666">
        <f t="shared" si="46"/>
        <v>0</v>
      </c>
      <c r="AA61" s="666">
        <f t="shared" si="47"/>
        <v>8</v>
      </c>
      <c r="AB61" s="666">
        <f t="shared" si="48"/>
        <v>0</v>
      </c>
      <c r="AC61" s="666">
        <f t="shared" si="49"/>
        <v>9</v>
      </c>
      <c r="AD61" s="666">
        <f t="shared" si="50"/>
        <v>0</v>
      </c>
      <c r="AE61" s="666">
        <f t="shared" si="51"/>
        <v>9</v>
      </c>
      <c r="AF61" s="666">
        <f t="shared" si="52"/>
        <v>0</v>
      </c>
      <c r="AG61" s="666">
        <f t="shared" si="53"/>
        <v>9</v>
      </c>
      <c r="AH61" s="666">
        <f t="shared" si="54"/>
        <v>0</v>
      </c>
      <c r="AI61" s="666">
        <f t="shared" si="55"/>
        <v>9</v>
      </c>
      <c r="AJ61" s="666">
        <f t="shared" si="56"/>
        <v>0</v>
      </c>
      <c r="AK61" s="666">
        <f t="shared" si="57"/>
        <v>7</v>
      </c>
      <c r="AL61" s="666">
        <f t="shared" si="58"/>
        <v>0</v>
      </c>
      <c r="AM61" s="666">
        <f t="shared" si="59"/>
        <v>6.5</v>
      </c>
      <c r="AN61" s="666">
        <f t="shared" si="60"/>
        <v>0</v>
      </c>
      <c r="AO61" s="666">
        <f t="shared" si="61"/>
        <v>0</v>
      </c>
      <c r="AP61" s="666">
        <f t="shared" si="62"/>
        <v>0</v>
      </c>
      <c r="AQ61" s="408">
        <f t="shared" si="65"/>
        <v>90.4</v>
      </c>
      <c r="AR61" s="408">
        <f t="shared" si="63"/>
        <v>23.8</v>
      </c>
      <c r="AS61" s="408">
        <f t="shared" si="64"/>
        <v>-66.600000000000009</v>
      </c>
    </row>
    <row r="62" spans="12:45">
      <c r="L62" s="73" t="s">
        <v>1014</v>
      </c>
      <c r="M62" s="666">
        <f t="shared" si="33"/>
        <v>0</v>
      </c>
      <c r="N62" s="666">
        <f t="shared" si="34"/>
        <v>0</v>
      </c>
      <c r="O62" s="666">
        <f t="shared" si="35"/>
        <v>0</v>
      </c>
      <c r="P62" s="666">
        <f t="shared" si="36"/>
        <v>0</v>
      </c>
      <c r="Q62" s="666">
        <f t="shared" si="37"/>
        <v>0</v>
      </c>
      <c r="R62" s="666">
        <f t="shared" si="38"/>
        <v>0</v>
      </c>
      <c r="S62" s="666">
        <f t="shared" si="39"/>
        <v>0</v>
      </c>
      <c r="T62" s="666">
        <f t="shared" si="40"/>
        <v>0</v>
      </c>
      <c r="U62" s="666">
        <f t="shared" si="41"/>
        <v>0.75</v>
      </c>
      <c r="V62" s="666">
        <f t="shared" si="42"/>
        <v>2.25</v>
      </c>
      <c r="W62" s="666">
        <f t="shared" si="43"/>
        <v>4</v>
      </c>
      <c r="X62" s="666">
        <f t="shared" si="44"/>
        <v>0</v>
      </c>
      <c r="Y62" s="666">
        <f t="shared" si="45"/>
        <v>4</v>
      </c>
      <c r="Z62" s="666">
        <f t="shared" si="46"/>
        <v>0</v>
      </c>
      <c r="AA62" s="666">
        <f t="shared" si="47"/>
        <v>4</v>
      </c>
      <c r="AB62" s="666">
        <f t="shared" si="48"/>
        <v>0</v>
      </c>
      <c r="AC62" s="666">
        <f t="shared" si="49"/>
        <v>4</v>
      </c>
      <c r="AD62" s="666">
        <f t="shared" si="50"/>
        <v>0</v>
      </c>
      <c r="AE62" s="666">
        <f t="shared" si="51"/>
        <v>4</v>
      </c>
      <c r="AF62" s="666">
        <f t="shared" si="52"/>
        <v>0</v>
      </c>
      <c r="AG62" s="666">
        <f t="shared" si="53"/>
        <v>1.2</v>
      </c>
      <c r="AH62" s="666">
        <f t="shared" si="54"/>
        <v>0</v>
      </c>
      <c r="AI62" s="666">
        <f t="shared" si="55"/>
        <v>0</v>
      </c>
      <c r="AJ62" s="666">
        <f t="shared" si="56"/>
        <v>0</v>
      </c>
      <c r="AK62" s="666">
        <f t="shared" si="57"/>
        <v>0</v>
      </c>
      <c r="AL62" s="666">
        <f t="shared" si="58"/>
        <v>0</v>
      </c>
      <c r="AM62" s="666">
        <f t="shared" si="59"/>
        <v>0</v>
      </c>
      <c r="AN62" s="666">
        <f t="shared" si="60"/>
        <v>0</v>
      </c>
      <c r="AO62" s="666">
        <f t="shared" si="61"/>
        <v>0</v>
      </c>
      <c r="AP62" s="666">
        <f t="shared" si="62"/>
        <v>0</v>
      </c>
      <c r="AQ62" s="408">
        <f t="shared" ref="AQ62" si="69">M62+O62+Q62+S62+U62+W62+Y62+AA62+AC62+AE62+AG62+AI62+AK62+AM62+AO62</f>
        <v>21.95</v>
      </c>
      <c r="AR62" s="408">
        <f t="shared" ref="AR62" si="70">N62+P62+R62+T62+V62+X62+Z62+AB62+AD62+AF62+AH62+AJ62+AL62+AN62+AP62</f>
        <v>2.25</v>
      </c>
      <c r="AS62" s="408">
        <f t="shared" ref="AS62" si="71">AR62-AQ62</f>
        <v>-19.7</v>
      </c>
    </row>
    <row r="63" spans="12:45">
      <c r="L63" s="73" t="s">
        <v>1020</v>
      </c>
      <c r="M63" s="666">
        <f t="shared" si="33"/>
        <v>0</v>
      </c>
      <c r="N63" s="666">
        <f t="shared" si="34"/>
        <v>0</v>
      </c>
      <c r="O63" s="666">
        <f t="shared" si="35"/>
        <v>0</v>
      </c>
      <c r="P63" s="666">
        <f t="shared" si="36"/>
        <v>0</v>
      </c>
      <c r="Q63" s="666">
        <f t="shared" si="37"/>
        <v>0</v>
      </c>
      <c r="R63" s="666">
        <f t="shared" si="38"/>
        <v>0</v>
      </c>
      <c r="S63" s="666">
        <f t="shared" si="39"/>
        <v>0</v>
      </c>
      <c r="T63" s="666">
        <f t="shared" si="40"/>
        <v>0</v>
      </c>
      <c r="U63" s="666">
        <f t="shared" si="41"/>
        <v>0</v>
      </c>
      <c r="V63" s="666">
        <f t="shared" si="42"/>
        <v>0.6</v>
      </c>
      <c r="W63" s="666">
        <f t="shared" si="43"/>
        <v>0</v>
      </c>
      <c r="X63" s="666">
        <f t="shared" si="44"/>
        <v>0</v>
      </c>
      <c r="Y63" s="666">
        <f t="shared" si="45"/>
        <v>0</v>
      </c>
      <c r="Z63" s="666">
        <f t="shared" si="46"/>
        <v>0</v>
      </c>
      <c r="AA63" s="666">
        <f t="shared" si="47"/>
        <v>0</v>
      </c>
      <c r="AB63" s="666">
        <f t="shared" si="48"/>
        <v>0</v>
      </c>
      <c r="AC63" s="666">
        <f t="shared" si="49"/>
        <v>0</v>
      </c>
      <c r="AD63" s="666">
        <f t="shared" si="50"/>
        <v>0</v>
      </c>
      <c r="AE63" s="666">
        <f t="shared" si="51"/>
        <v>0</v>
      </c>
      <c r="AF63" s="666">
        <f t="shared" si="52"/>
        <v>0</v>
      </c>
      <c r="AG63" s="666">
        <f t="shared" si="53"/>
        <v>0</v>
      </c>
      <c r="AH63" s="666">
        <f t="shared" si="54"/>
        <v>0</v>
      </c>
      <c r="AI63" s="666">
        <f t="shared" si="55"/>
        <v>0</v>
      </c>
      <c r="AJ63" s="666">
        <f t="shared" si="56"/>
        <v>0</v>
      </c>
      <c r="AK63" s="666">
        <f t="shared" si="57"/>
        <v>0</v>
      </c>
      <c r="AL63" s="666">
        <f t="shared" si="58"/>
        <v>0</v>
      </c>
      <c r="AM63" s="666">
        <f t="shared" si="59"/>
        <v>0</v>
      </c>
      <c r="AN63" s="666">
        <f t="shared" si="60"/>
        <v>0</v>
      </c>
      <c r="AO63" s="666">
        <f t="shared" si="61"/>
        <v>0</v>
      </c>
      <c r="AP63" s="666">
        <f t="shared" si="62"/>
        <v>0</v>
      </c>
      <c r="AQ63" s="408">
        <f t="shared" ref="AQ63" si="72">M63+O63+Q63+S63+U63+W63+Y63+AA63+AC63+AE63+AG63+AI63+AK63+AM63+AO63</f>
        <v>0</v>
      </c>
      <c r="AR63" s="408">
        <f t="shared" ref="AR63" si="73">N63+P63+R63+T63+V63+X63+Z63+AB63+AD63+AF63+AH63+AJ63+AL63+AN63+AP63</f>
        <v>0.6</v>
      </c>
      <c r="AS63" s="408">
        <f t="shared" ref="AS63" si="74">AR63-AQ63</f>
        <v>0.6</v>
      </c>
    </row>
    <row r="64" spans="12:45">
      <c r="L64" s="670" t="s">
        <v>159</v>
      </c>
      <c r="M64" s="671">
        <f>+SUM(M48:M63)</f>
        <v>48.75</v>
      </c>
      <c r="N64" s="671">
        <f t="shared" ref="N64:AP64" si="75">+SUM(N48:N63)</f>
        <v>54.25</v>
      </c>
      <c r="O64" s="671">
        <f t="shared" si="75"/>
        <v>69.25</v>
      </c>
      <c r="P64" s="671">
        <f t="shared" si="75"/>
        <v>74.2</v>
      </c>
      <c r="Q64" s="671">
        <f t="shared" si="75"/>
        <v>87.05</v>
      </c>
      <c r="R64" s="671">
        <f t="shared" si="75"/>
        <v>100.39999999999999</v>
      </c>
      <c r="S64" s="671">
        <f t="shared" si="75"/>
        <v>98.350000000000009</v>
      </c>
      <c r="T64" s="671">
        <f t="shared" si="75"/>
        <v>120.24000000000001</v>
      </c>
      <c r="U64" s="671">
        <f t="shared" si="75"/>
        <v>26.830000000000002</v>
      </c>
      <c r="V64" s="671">
        <f t="shared" si="75"/>
        <v>89.550000000000011</v>
      </c>
      <c r="W64" s="671">
        <f t="shared" si="75"/>
        <v>150.4</v>
      </c>
      <c r="X64" s="671">
        <f t="shared" si="75"/>
        <v>0</v>
      </c>
      <c r="Y64" s="671">
        <f t="shared" si="75"/>
        <v>158.5</v>
      </c>
      <c r="Z64" s="671">
        <f t="shared" si="75"/>
        <v>0</v>
      </c>
      <c r="AA64" s="671">
        <f t="shared" si="75"/>
        <v>156.14999999999998</v>
      </c>
      <c r="AB64" s="671">
        <f t="shared" si="75"/>
        <v>0</v>
      </c>
      <c r="AC64" s="671">
        <f t="shared" si="75"/>
        <v>156.19999999999999</v>
      </c>
      <c r="AD64" s="671">
        <f t="shared" si="75"/>
        <v>0</v>
      </c>
      <c r="AE64" s="671">
        <f t="shared" si="75"/>
        <v>156.44999999999999</v>
      </c>
      <c r="AF64" s="671">
        <f t="shared" si="75"/>
        <v>0</v>
      </c>
      <c r="AG64" s="671">
        <f t="shared" si="75"/>
        <v>147.39999999999998</v>
      </c>
      <c r="AH64" s="671">
        <f t="shared" si="75"/>
        <v>0</v>
      </c>
      <c r="AI64" s="671">
        <f t="shared" si="75"/>
        <v>134.75</v>
      </c>
      <c r="AJ64" s="671">
        <f t="shared" si="75"/>
        <v>0</v>
      </c>
      <c r="AK64" s="671">
        <f t="shared" si="75"/>
        <v>122.2</v>
      </c>
      <c r="AL64" s="671">
        <f t="shared" si="75"/>
        <v>0</v>
      </c>
      <c r="AM64" s="671">
        <f t="shared" si="75"/>
        <v>103.45</v>
      </c>
      <c r="AN64" s="671">
        <f t="shared" si="75"/>
        <v>0</v>
      </c>
      <c r="AO64" s="671">
        <f t="shared" si="75"/>
        <v>56.05</v>
      </c>
      <c r="AP64" s="671">
        <f t="shared" si="75"/>
        <v>0</v>
      </c>
      <c r="AQ64" s="671">
        <f>+SUM(AQ48:AQ63)</f>
        <v>1671.7800000000002</v>
      </c>
      <c r="AR64" s="671">
        <f t="shared" ref="AR64:AS64" si="76">+SUM(AR48:AR63)</f>
        <v>438.64</v>
      </c>
      <c r="AS64" s="671">
        <f t="shared" si="76"/>
        <v>-1233.1400000000001</v>
      </c>
    </row>
    <row r="65" spans="12:45">
      <c r="L65" s="667" t="s">
        <v>498</v>
      </c>
      <c r="M65" s="666">
        <f>M48</f>
        <v>13.75</v>
      </c>
      <c r="N65" s="666">
        <f>N48</f>
        <v>17</v>
      </c>
      <c r="O65" s="666">
        <f>O48*$P$1</f>
        <v>16.5</v>
      </c>
      <c r="P65" s="666">
        <f t="shared" ref="P65:V65" si="77">P48</f>
        <v>18.5</v>
      </c>
      <c r="Q65" s="666">
        <f t="shared" si="77"/>
        <v>17.5</v>
      </c>
      <c r="R65" s="666">
        <f t="shared" si="77"/>
        <v>19.75</v>
      </c>
      <c r="S65" s="666">
        <f t="shared" si="77"/>
        <v>16.7</v>
      </c>
      <c r="T65" s="666">
        <f t="shared" si="77"/>
        <v>20.29</v>
      </c>
      <c r="U65" s="666">
        <f t="shared" si="77"/>
        <v>3.6</v>
      </c>
      <c r="V65" s="666">
        <f t="shared" si="77"/>
        <v>15.599999999999994</v>
      </c>
      <c r="W65" s="666"/>
      <c r="X65" s="666"/>
      <c r="Y65" s="666"/>
      <c r="Z65" s="666"/>
      <c r="AA65" s="666"/>
      <c r="AB65" s="666"/>
      <c r="AC65" s="666"/>
      <c r="AD65" s="666"/>
      <c r="AE65" s="666"/>
      <c r="AF65" s="666"/>
      <c r="AG65" s="666"/>
      <c r="AH65" s="666"/>
      <c r="AI65" s="666"/>
      <c r="AJ65" s="666"/>
      <c r="AK65" s="666"/>
      <c r="AL65" s="666"/>
      <c r="AM65" s="666"/>
      <c r="AN65" s="666"/>
      <c r="AO65" s="666"/>
      <c r="AP65" s="666"/>
      <c r="AQ65" s="755">
        <f t="shared" si="65"/>
        <v>68.05</v>
      </c>
      <c r="AR65" s="755">
        <f t="shared" si="63"/>
        <v>91.139999999999986</v>
      </c>
      <c r="AS65" s="408">
        <f t="shared" si="64"/>
        <v>23.089999999999989</v>
      </c>
    </row>
    <row r="66" spans="12:45">
      <c r="L66" s="668" t="s">
        <v>69</v>
      </c>
      <c r="M66" s="666">
        <f>M64-M65</f>
        <v>35</v>
      </c>
      <c r="N66" s="666">
        <f>N64-N65</f>
        <v>37.25</v>
      </c>
      <c r="O66" s="666">
        <f>(O64*$P$1)-O65</f>
        <v>52.75</v>
      </c>
      <c r="P66" s="666">
        <f>P64-P65</f>
        <v>55.7</v>
      </c>
      <c r="Q66" s="666">
        <f>Q64-Q65</f>
        <v>69.55</v>
      </c>
      <c r="R66" s="666">
        <f t="shared" ref="R66:V66" si="78">R64-R65</f>
        <v>80.649999999999991</v>
      </c>
      <c r="S66" s="666">
        <f>S64-S65</f>
        <v>81.650000000000006</v>
      </c>
      <c r="T66" s="666">
        <f t="shared" si="78"/>
        <v>99.950000000000017</v>
      </c>
      <c r="U66" s="666">
        <f>U64-U65</f>
        <v>23.23</v>
      </c>
      <c r="V66" s="666">
        <f t="shared" si="78"/>
        <v>73.950000000000017</v>
      </c>
      <c r="W66" s="666"/>
      <c r="X66" s="666"/>
      <c r="Y66" s="666"/>
      <c r="Z66" s="666"/>
      <c r="AA66" s="666"/>
      <c r="AB66" s="666"/>
      <c r="AC66" s="666"/>
      <c r="AD66" s="666"/>
      <c r="AE66" s="666"/>
      <c r="AF66" s="666"/>
      <c r="AG66" s="666"/>
      <c r="AH66" s="666"/>
      <c r="AI66" s="666"/>
      <c r="AJ66" s="666"/>
      <c r="AK66" s="666"/>
      <c r="AL66" s="666"/>
      <c r="AM66" s="666"/>
      <c r="AN66" s="666"/>
      <c r="AO66" s="666"/>
      <c r="AP66" s="666"/>
      <c r="AQ66" s="755">
        <f>M66+O66+Q66+S66+U66+W66+Y66+AA66+AC66+AE66+AG66+AI66+AK66+AM66+AO66</f>
        <v>262.18</v>
      </c>
      <c r="AR66" s="755">
        <f t="shared" si="63"/>
        <v>347.5</v>
      </c>
      <c r="AS66" s="408">
        <f t="shared" si="64"/>
        <v>85.32</v>
      </c>
    </row>
    <row r="67" spans="12:45">
      <c r="L67" s="494" t="s">
        <v>531</v>
      </c>
      <c r="M67">
        <f>M64-M21*$N$1</f>
        <v>0</v>
      </c>
      <c r="N67" s="663">
        <f>N64-N21</f>
        <v>0</v>
      </c>
      <c r="O67" s="663">
        <f>(O64-O21)*$P$1</f>
        <v>0</v>
      </c>
      <c r="P67" s="663">
        <f>P64-P21</f>
        <v>0</v>
      </c>
      <c r="Q67">
        <f>Q64-Q21*$R$1</f>
        <v>0</v>
      </c>
      <c r="R67" s="663">
        <f>R64-R21</f>
        <v>0</v>
      </c>
      <c r="S67">
        <f>S64-S21*$N$1</f>
        <v>0</v>
      </c>
      <c r="T67" s="663">
        <f>T64-T21</f>
        <v>0</v>
      </c>
      <c r="U67">
        <f>U64-U21*$N$1</f>
        <v>-107.32000000000001</v>
      </c>
      <c r="V67" s="663">
        <f>V64-V21</f>
        <v>0</v>
      </c>
      <c r="W67">
        <f>W64-W21*$N$1</f>
        <v>0</v>
      </c>
      <c r="X67" s="663">
        <f>X64-X21</f>
        <v>0</v>
      </c>
      <c r="Y67">
        <f>Y64-Y21*$N$1</f>
        <v>0</v>
      </c>
      <c r="Z67" s="663">
        <f>Z64-Z21</f>
        <v>0</v>
      </c>
      <c r="AA67">
        <f>AA64-AA21*$N$1</f>
        <v>0</v>
      </c>
      <c r="AB67" s="663">
        <f>AB64-AB21</f>
        <v>0</v>
      </c>
      <c r="AC67">
        <f>AC64-AC21*$N$1</f>
        <v>0</v>
      </c>
      <c r="AD67" s="663">
        <f>AD64-AD21</f>
        <v>0</v>
      </c>
      <c r="AE67">
        <f>AE64-AE21*$N$1</f>
        <v>0</v>
      </c>
      <c r="AF67" s="663">
        <f>AF64-AF21</f>
        <v>0</v>
      </c>
      <c r="AG67">
        <f>AG64-AG21*$N$1</f>
        <v>0</v>
      </c>
      <c r="AH67" s="663">
        <f>AH64-AH21</f>
        <v>0</v>
      </c>
      <c r="AI67">
        <f>AI64-AI21*$N$1</f>
        <v>0</v>
      </c>
      <c r="AJ67" s="663">
        <f>AJ64-AJ21</f>
        <v>0</v>
      </c>
      <c r="AK67">
        <f>AK64-AK21*$N$1</f>
        <v>0</v>
      </c>
      <c r="AL67" s="663">
        <f>AL64-AL21</f>
        <v>0</v>
      </c>
      <c r="AM67">
        <f>AM64-AM21*$N$1</f>
        <v>0</v>
      </c>
      <c r="AN67" s="663">
        <f>AN64-AN21</f>
        <v>0</v>
      </c>
      <c r="AO67">
        <f>AO64-AO21*$N$1</f>
        <v>0</v>
      </c>
      <c r="AP67" s="663">
        <f>AP64-AP21</f>
        <v>0</v>
      </c>
      <c r="AQ67" s="754">
        <f>AQ65+AQ66</f>
        <v>330.23</v>
      </c>
      <c r="AR67" s="754">
        <f t="shared" ref="AR67:AS67" si="79">AR65+AR66</f>
        <v>438.64</v>
      </c>
      <c r="AS67" s="753">
        <f t="shared" si="79"/>
        <v>108.40999999999998</v>
      </c>
    </row>
    <row r="68" spans="12:45" ht="12" customHeight="1"/>
    <row r="69" spans="12:45">
      <c r="L69" s="703" t="s">
        <v>532</v>
      </c>
    </row>
    <row r="70" spans="12:45">
      <c r="L70" s="668" t="s">
        <v>495</v>
      </c>
      <c r="M70" s="462"/>
      <c r="N70" s="702">
        <f>N64-M64</f>
        <v>5.5</v>
      </c>
      <c r="O70" s="702">
        <f>O65+O66</f>
        <v>69.25</v>
      </c>
      <c r="P70" s="702">
        <f>P65+P66</f>
        <v>74.2</v>
      </c>
      <c r="Q70" s="462"/>
      <c r="R70" s="462"/>
      <c r="S70" s="462"/>
      <c r="T70" s="462"/>
      <c r="U70" s="462"/>
      <c r="V70" s="462"/>
      <c r="W70" s="462"/>
      <c r="X70" s="462"/>
      <c r="Y70" s="462"/>
      <c r="Z70" s="462"/>
      <c r="AA70" s="462"/>
      <c r="AB70" s="462"/>
      <c r="AC70" s="462"/>
      <c r="AD70" s="462"/>
      <c r="AE70" s="462"/>
      <c r="AF70" s="462"/>
      <c r="AG70" s="462"/>
      <c r="AH70" s="462"/>
      <c r="AI70" s="462"/>
      <c r="AJ70" s="462"/>
      <c r="AK70" s="462"/>
      <c r="AL70" s="462"/>
      <c r="AM70" s="462"/>
      <c r="AN70" s="462"/>
      <c r="AO70" s="462"/>
      <c r="AP70" s="462"/>
    </row>
    <row r="71" spans="12:45">
      <c r="L71" s="668" t="s">
        <v>498</v>
      </c>
      <c r="M71" s="462"/>
      <c r="N71" s="669">
        <f>N65-M65</f>
        <v>3.25</v>
      </c>
      <c r="O71" s="666">
        <f>O65</f>
        <v>16.5</v>
      </c>
      <c r="P71" s="666">
        <f>P65</f>
        <v>18.5</v>
      </c>
      <c r="Q71" s="462"/>
      <c r="R71" s="462"/>
      <c r="S71" s="462"/>
      <c r="T71" s="462"/>
      <c r="U71" s="462"/>
      <c r="V71" s="462"/>
      <c r="W71" s="462"/>
      <c r="X71" s="462"/>
      <c r="Y71" s="462"/>
      <c r="Z71" s="462"/>
      <c r="AA71" s="462"/>
      <c r="AB71" s="462"/>
      <c r="AC71" s="462"/>
      <c r="AD71" s="462"/>
      <c r="AE71" s="462"/>
      <c r="AF71" s="462"/>
      <c r="AG71" s="462"/>
      <c r="AH71" s="462"/>
      <c r="AI71" s="462"/>
      <c r="AJ71" s="462"/>
      <c r="AK71" s="462"/>
      <c r="AL71" s="462"/>
      <c r="AM71" s="462"/>
      <c r="AN71" s="462"/>
      <c r="AO71" s="462"/>
      <c r="AP71" s="462"/>
    </row>
    <row r="72" spans="12:45">
      <c r="L72" s="668" t="s">
        <v>69</v>
      </c>
      <c r="M72" s="462"/>
      <c r="N72" s="669">
        <f>N66-M66</f>
        <v>2.25</v>
      </c>
      <c r="O72" s="666">
        <f>O66</f>
        <v>52.75</v>
      </c>
      <c r="P72" s="666">
        <f>P66</f>
        <v>55.7</v>
      </c>
      <c r="Q72" s="462"/>
      <c r="R72" s="462"/>
      <c r="S72" s="462"/>
      <c r="T72" s="462"/>
      <c r="U72" s="462"/>
      <c r="V72" s="462"/>
      <c r="W72" s="462"/>
      <c r="X72" s="462"/>
      <c r="Y72" s="462"/>
      <c r="Z72" s="462"/>
      <c r="AA72" s="462"/>
      <c r="AB72" s="462"/>
      <c r="AC72" s="462"/>
      <c r="AD72" s="462"/>
      <c r="AE72" s="462"/>
      <c r="AF72" s="462"/>
      <c r="AG72" s="462"/>
      <c r="AH72" s="462"/>
      <c r="AI72" s="462"/>
      <c r="AJ72" s="462"/>
      <c r="AK72" s="462"/>
      <c r="AL72" s="462"/>
      <c r="AM72" s="462"/>
      <c r="AN72" s="462"/>
      <c r="AO72" s="462"/>
      <c r="AP72" s="462"/>
    </row>
    <row r="73" spans="12:45">
      <c r="N73" s="663">
        <f>N70-N71-N72</f>
        <v>0</v>
      </c>
      <c r="P73" s="663">
        <f>P70-O70</f>
        <v>4.9500000000000028</v>
      </c>
    </row>
    <row r="75" spans="12:45">
      <c r="L75" s="494"/>
    </row>
  </sheetData>
  <mergeCells count="57">
    <mergeCell ref="AS46:AS47"/>
    <mergeCell ref="AI46:AJ46"/>
    <mergeCell ref="AK46:AL46"/>
    <mergeCell ref="AM46:AN46"/>
    <mergeCell ref="AO46:AP46"/>
    <mergeCell ref="AO24:AP24"/>
    <mergeCell ref="AQ24:AQ25"/>
    <mergeCell ref="AR24:AR25"/>
    <mergeCell ref="AS24:AS25"/>
    <mergeCell ref="L46:L47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G46:AH46"/>
    <mergeCell ref="AS3:AS4"/>
    <mergeCell ref="L24:L25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AK24:AL24"/>
    <mergeCell ref="AM24:AN24"/>
    <mergeCell ref="AM3:AN3"/>
    <mergeCell ref="AO3:AP3"/>
    <mergeCell ref="L3:L4"/>
    <mergeCell ref="AQ3:AQ4"/>
    <mergeCell ref="AR3:AR4"/>
    <mergeCell ref="AC3:AD3"/>
    <mergeCell ref="AE3:AF3"/>
    <mergeCell ref="AG3:AH3"/>
    <mergeCell ref="AI3:AJ3"/>
    <mergeCell ref="AK3:AL3"/>
    <mergeCell ref="S3:T3"/>
    <mergeCell ref="U3:V3"/>
    <mergeCell ref="W3:X3"/>
    <mergeCell ref="Y3:Z3"/>
    <mergeCell ref="AA3:AB3"/>
    <mergeCell ref="B3:I3"/>
    <mergeCell ref="B21:C21"/>
    <mergeCell ref="M3:N3"/>
    <mergeCell ref="O3:P3"/>
    <mergeCell ref="Q3:R3"/>
  </mergeCells>
  <phoneticPr fontId="1" type="noConversion"/>
  <pageMargins left="0.7" right="0.7" top="0.75" bottom="0.75" header="0.3" footer="0.3"/>
  <pageSetup paperSize="9" orientation="portrait" r:id="rId1"/>
  <ignoredErrors>
    <ignoredError sqref="N61 P61 P50:P59 N48:N59 P48 T48 P49 R49 R61 R50:R59 T49 T61 T50:T59 V48:AN48 V49:AN49 V61:AN61 V50:AN59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92D050"/>
  </sheetPr>
  <dimension ref="A1:AW260"/>
  <sheetViews>
    <sheetView showGridLines="0" tabSelected="1" topLeftCell="C1" zoomScale="110" zoomScaleNormal="110" workbookViewId="0">
      <pane ySplit="5" topLeftCell="A67" activePane="bottomLeft" state="frozen"/>
      <selection pane="bottomLeft" activeCell="T71" sqref="T71"/>
    </sheetView>
  </sheetViews>
  <sheetFormatPr baseColWidth="10" defaultColWidth="8.83203125" defaultRowHeight="17" outlineLevelCol="1"/>
  <cols>
    <col min="1" max="1" width="3.1640625" customWidth="1"/>
    <col min="2" max="2" width="14" customWidth="1"/>
    <col min="3" max="3" width="51.1640625" customWidth="1"/>
    <col min="4" max="4" width="9" customWidth="1"/>
    <col min="5" max="5" width="14.5" customWidth="1"/>
    <col min="6" max="6" width="12.83203125" customWidth="1"/>
    <col min="7" max="7" width="25.1640625" bestFit="1" customWidth="1"/>
    <col min="8" max="8" width="12.83203125" customWidth="1"/>
    <col min="9" max="9" width="13.5" customWidth="1"/>
    <col min="10" max="10" width="10" style="633" hidden="1" customWidth="1"/>
    <col min="11" max="11" width="11.1640625" style="633" hidden="1" customWidth="1"/>
    <col min="12" max="14" width="9.6640625" style="633" hidden="1" customWidth="1"/>
    <col min="15" max="15" width="10.1640625" style="633" hidden="1" customWidth="1"/>
    <col min="16" max="16" width="9.33203125" style="633" hidden="1" customWidth="1"/>
    <col min="17" max="18" width="9.6640625" style="633" hidden="1" customWidth="1"/>
    <col min="19" max="19" width="9.6640625" style="633" customWidth="1" outlineLevel="1"/>
    <col min="20" max="20" width="9.1640625" style="633" customWidth="1" outlineLevel="1"/>
    <col min="21" max="21" width="8.6640625" style="633" customWidth="1" outlineLevel="1"/>
    <col min="22" max="22" width="2.1640625" style="633" customWidth="1" outlineLevel="1"/>
    <col min="23" max="23" width="8.6640625" style="633" customWidth="1" outlineLevel="1"/>
    <col min="24" max="24" width="1.1640625" style="633" customWidth="1" outlineLevel="1"/>
    <col min="25" max="25" width="8.6640625" style="633" customWidth="1" outlineLevel="1"/>
    <col min="26" max="26" width="1.83203125" style="633" customWidth="1" outlineLevel="1"/>
    <col min="27" max="27" width="8.6640625" style="633" customWidth="1" outlineLevel="1"/>
    <col min="28" max="28" width="1.1640625" style="633" customWidth="1" outlineLevel="1"/>
    <col min="29" max="29" width="9.1640625" style="633" customWidth="1" outlineLevel="1"/>
    <col min="30" max="30" width="1.6640625" style="633" customWidth="1" outlineLevel="1"/>
    <col min="31" max="31" width="9.1640625" style="633" customWidth="1" outlineLevel="1"/>
    <col min="32" max="32" width="1.5" style="633" customWidth="1" outlineLevel="1"/>
    <col min="33" max="33" width="8.6640625" style="633" customWidth="1" outlineLevel="1"/>
    <col min="34" max="34" width="4" style="633" customWidth="1" outlineLevel="1"/>
    <col min="35" max="35" width="8.6640625" style="633" customWidth="1" outlineLevel="1"/>
    <col min="36" max="36" width="1.1640625" style="633" customWidth="1" outlineLevel="1"/>
    <col min="37" max="37" width="8.6640625" style="633" customWidth="1" outlineLevel="1"/>
    <col min="38" max="38" width="1.1640625" style="633" customWidth="1" outlineLevel="1"/>
    <col min="39" max="40" width="8.6640625" style="633" customWidth="1" outlineLevel="1"/>
    <col min="41" max="41" width="10.6640625" bestFit="1" customWidth="1"/>
    <col min="42" max="43" width="10.6640625" customWidth="1"/>
    <col min="44" max="44" width="14.6640625" style="633" customWidth="1"/>
    <col min="45" max="45" width="8.1640625" style="633" customWidth="1"/>
    <col min="46" max="46" width="8.6640625" style="1527"/>
    <col min="47" max="47" width="3.6640625" style="348" customWidth="1"/>
    <col min="48" max="48" width="5.83203125" bestFit="1" customWidth="1"/>
  </cols>
  <sheetData>
    <row r="1" spans="2:48" ht="23" customHeight="1" thickBot="1">
      <c r="E1" s="107"/>
      <c r="F1" s="107"/>
      <c r="G1" s="107"/>
      <c r="H1" s="352"/>
      <c r="I1" s="352"/>
      <c r="K1" s="1598" t="s">
        <v>533</v>
      </c>
      <c r="L1" s="749">
        <v>1</v>
      </c>
      <c r="M1" s="633">
        <v>1</v>
      </c>
      <c r="N1" s="748">
        <v>1</v>
      </c>
      <c r="O1" s="633">
        <v>1</v>
      </c>
      <c r="P1" s="748">
        <v>1</v>
      </c>
      <c r="Q1" s="633">
        <v>1</v>
      </c>
      <c r="R1" s="633">
        <v>1</v>
      </c>
      <c r="S1" s="633">
        <v>1</v>
      </c>
      <c r="T1" s="633">
        <v>0.6</v>
      </c>
    </row>
    <row r="2" spans="2:48" ht="17.5" hidden="1" customHeight="1" thickBot="1">
      <c r="B2" s="1823" t="s">
        <v>75</v>
      </c>
      <c r="C2" s="1804" t="s">
        <v>5</v>
      </c>
      <c r="D2" s="1804" t="s">
        <v>12</v>
      </c>
      <c r="E2" s="1804" t="s">
        <v>62</v>
      </c>
      <c r="F2" s="1804" t="s">
        <v>262</v>
      </c>
      <c r="G2" s="1801" t="s">
        <v>511</v>
      </c>
      <c r="H2" s="1804" t="s">
        <v>330</v>
      </c>
      <c r="I2" s="1804" t="s">
        <v>347</v>
      </c>
      <c r="J2" s="1396" t="s">
        <v>219</v>
      </c>
      <c r="K2" s="1844" t="s">
        <v>0</v>
      </c>
      <c r="L2" s="1845"/>
      <c r="M2" s="1844" t="s">
        <v>1</v>
      </c>
      <c r="N2" s="1845"/>
      <c r="O2" s="1844" t="s">
        <v>2</v>
      </c>
      <c r="P2" s="1845"/>
      <c r="Q2" s="1844" t="s">
        <v>3</v>
      </c>
      <c r="R2" s="1845"/>
      <c r="S2" s="1842" t="s">
        <v>6</v>
      </c>
      <c r="T2" s="1843"/>
      <c r="U2" s="1842" t="s">
        <v>7</v>
      </c>
      <c r="V2" s="1843"/>
      <c r="W2" s="1842" t="s">
        <v>8</v>
      </c>
      <c r="X2" s="1843"/>
      <c r="Y2" s="1842" t="s">
        <v>9</v>
      </c>
      <c r="Z2" s="1843"/>
      <c r="AA2" s="1842" t="s">
        <v>10</v>
      </c>
      <c r="AB2" s="1843"/>
      <c r="AC2" s="1842" t="s">
        <v>11</v>
      </c>
      <c r="AD2" s="1843"/>
      <c r="AE2" s="1842" t="s">
        <v>14</v>
      </c>
      <c r="AF2" s="1843"/>
      <c r="AG2" s="1844" t="s">
        <v>15</v>
      </c>
      <c r="AH2" s="1845"/>
      <c r="AI2" s="1842" t="s">
        <v>26</v>
      </c>
      <c r="AJ2" s="1843"/>
      <c r="AK2" s="1842" t="s">
        <v>27</v>
      </c>
      <c r="AL2" s="1843"/>
      <c r="AM2" s="1842" t="s">
        <v>28</v>
      </c>
      <c r="AN2" s="1843"/>
      <c r="AO2" s="1804" t="s">
        <v>4</v>
      </c>
      <c r="AP2" s="1804"/>
      <c r="AQ2" s="1804"/>
      <c r="AR2" s="1816" t="s">
        <v>103</v>
      </c>
      <c r="AS2" s="411"/>
      <c r="AT2" s="348"/>
    </row>
    <row r="3" spans="2:48" ht="17.5" customHeight="1" thickBot="1">
      <c r="B3" s="1824"/>
      <c r="C3" s="1803"/>
      <c r="D3" s="1803"/>
      <c r="E3" s="1803"/>
      <c r="F3" s="1803"/>
      <c r="G3" s="1802"/>
      <c r="H3" s="1803"/>
      <c r="I3" s="1803" t="s">
        <v>331</v>
      </c>
      <c r="J3" s="1813" t="s">
        <v>646</v>
      </c>
      <c r="K3" s="1814"/>
      <c r="L3" s="1814"/>
      <c r="M3" s="1814"/>
      <c r="N3" s="1814"/>
      <c r="O3" s="1814"/>
      <c r="P3" s="1814"/>
      <c r="Q3" s="1814"/>
      <c r="R3" s="1815"/>
      <c r="S3" s="1803" t="s">
        <v>34</v>
      </c>
      <c r="T3" s="1803"/>
      <c r="U3" s="1803"/>
      <c r="V3" s="1803"/>
      <c r="W3" s="1803"/>
      <c r="X3" s="1803"/>
      <c r="Y3" s="1803"/>
      <c r="Z3" s="1803"/>
      <c r="AA3" s="1803"/>
      <c r="AB3" s="1803"/>
      <c r="AC3" s="1803"/>
      <c r="AD3" s="1803"/>
      <c r="AE3" s="1803" t="s">
        <v>35</v>
      </c>
      <c r="AF3" s="1803"/>
      <c r="AG3" s="1803"/>
      <c r="AH3" s="1803"/>
      <c r="AI3" s="1803"/>
      <c r="AJ3" s="1803"/>
      <c r="AK3" s="1803" t="s">
        <v>64</v>
      </c>
      <c r="AL3" s="1803"/>
      <c r="AM3" s="1803"/>
      <c r="AN3" s="1803"/>
      <c r="AO3" s="1803"/>
      <c r="AP3" s="1803"/>
      <c r="AQ3" s="1803"/>
      <c r="AR3" s="1817"/>
      <c r="AS3" s="348"/>
    </row>
    <row r="4" spans="2:48" ht="17.5" customHeight="1" thickBot="1">
      <c r="B4" s="1824"/>
      <c r="C4" s="1803"/>
      <c r="D4" s="1803"/>
      <c r="E4" s="1803"/>
      <c r="F4" s="1803"/>
      <c r="G4" s="1802"/>
      <c r="H4" s="1803"/>
      <c r="I4" s="1803"/>
      <c r="J4" s="1395"/>
      <c r="K4" s="1803" t="s">
        <v>31</v>
      </c>
      <c r="L4" s="1803"/>
      <c r="M4" s="1803" t="s">
        <v>46</v>
      </c>
      <c r="N4" s="1803"/>
      <c r="O4" s="1803" t="s">
        <v>47</v>
      </c>
      <c r="P4" s="1803"/>
      <c r="Q4" s="1803" t="s">
        <v>48</v>
      </c>
      <c r="R4" s="1803"/>
      <c r="S4" s="1803" t="s">
        <v>49</v>
      </c>
      <c r="T4" s="1803"/>
      <c r="U4" s="1803" t="s">
        <v>50</v>
      </c>
      <c r="V4" s="1803"/>
      <c r="W4" s="1803" t="s">
        <v>51</v>
      </c>
      <c r="X4" s="1803"/>
      <c r="Y4" s="1803" t="s">
        <v>52</v>
      </c>
      <c r="Z4" s="1803"/>
      <c r="AA4" s="1803" t="s">
        <v>53</v>
      </c>
      <c r="AB4" s="1803"/>
      <c r="AC4" s="1803" t="s">
        <v>54</v>
      </c>
      <c r="AD4" s="1803"/>
      <c r="AE4" s="1803" t="s">
        <v>29</v>
      </c>
      <c r="AF4" s="1803"/>
      <c r="AG4" s="1803" t="s">
        <v>30</v>
      </c>
      <c r="AH4" s="1803"/>
      <c r="AI4" s="1803" t="s">
        <v>31</v>
      </c>
      <c r="AJ4" s="1803"/>
      <c r="AK4" s="1803" t="s">
        <v>32</v>
      </c>
      <c r="AL4" s="1803"/>
      <c r="AM4" s="1803" t="s">
        <v>33</v>
      </c>
      <c r="AN4" s="1803"/>
      <c r="AO4" s="1803"/>
      <c r="AP4" s="1803"/>
      <c r="AQ4" s="1803"/>
      <c r="AR4" s="1817"/>
      <c r="AS4" s="348"/>
    </row>
    <row r="5" spans="2:48" ht="18" customHeight="1" thickBot="1">
      <c r="B5" s="1825"/>
      <c r="C5" s="1805"/>
      <c r="D5" s="1805"/>
      <c r="E5" s="1805"/>
      <c r="F5" s="1805"/>
      <c r="G5" s="1802"/>
      <c r="H5" s="1805"/>
      <c r="I5" s="1819"/>
      <c r="J5" s="654" t="s">
        <v>30</v>
      </c>
      <c r="K5" s="654" t="s">
        <v>261</v>
      </c>
      <c r="L5" s="654" t="s">
        <v>503</v>
      </c>
      <c r="M5" s="654" t="s">
        <v>261</v>
      </c>
      <c r="N5" s="654" t="s">
        <v>503</v>
      </c>
      <c r="O5" s="654" t="s">
        <v>261</v>
      </c>
      <c r="P5" s="654" t="s">
        <v>503</v>
      </c>
      <c r="Q5" s="654" t="s">
        <v>261</v>
      </c>
      <c r="R5" s="654" t="s">
        <v>503</v>
      </c>
      <c r="S5" s="654" t="s">
        <v>261</v>
      </c>
      <c r="T5" s="654" t="s">
        <v>503</v>
      </c>
      <c r="U5" s="654" t="s">
        <v>261</v>
      </c>
      <c r="V5" s="654" t="s">
        <v>503</v>
      </c>
      <c r="W5" s="654" t="s">
        <v>261</v>
      </c>
      <c r="X5" s="654" t="s">
        <v>503</v>
      </c>
      <c r="Y5" s="654" t="s">
        <v>261</v>
      </c>
      <c r="Z5" s="654" t="s">
        <v>503</v>
      </c>
      <c r="AA5" s="654" t="s">
        <v>261</v>
      </c>
      <c r="AB5" s="654" t="s">
        <v>503</v>
      </c>
      <c r="AC5" s="654" t="s">
        <v>261</v>
      </c>
      <c r="AD5" s="654" t="s">
        <v>503</v>
      </c>
      <c r="AE5" s="654" t="s">
        <v>261</v>
      </c>
      <c r="AF5" s="654" t="s">
        <v>503</v>
      </c>
      <c r="AG5" s="654" t="s">
        <v>261</v>
      </c>
      <c r="AH5" s="654" t="s">
        <v>503</v>
      </c>
      <c r="AI5" s="654" t="s">
        <v>261</v>
      </c>
      <c r="AJ5" s="654" t="s">
        <v>503</v>
      </c>
      <c r="AK5" s="654" t="s">
        <v>261</v>
      </c>
      <c r="AL5" s="654" t="s">
        <v>503</v>
      </c>
      <c r="AM5" s="654" t="s">
        <v>261</v>
      </c>
      <c r="AN5" s="654" t="s">
        <v>503</v>
      </c>
      <c r="AO5" s="654" t="s">
        <v>261</v>
      </c>
      <c r="AP5" s="654" t="s">
        <v>503</v>
      </c>
      <c r="AQ5" s="654" t="s">
        <v>478</v>
      </c>
      <c r="AR5" s="1818"/>
      <c r="AS5" s="348" t="s">
        <v>863</v>
      </c>
      <c r="AT5" s="1527" t="s">
        <v>864</v>
      </c>
      <c r="AV5" t="s">
        <v>865</v>
      </c>
    </row>
    <row r="6" spans="2:48" s="140" customFormat="1" ht="17" hidden="1" customHeight="1">
      <c r="B6" s="1827" t="s">
        <v>36</v>
      </c>
      <c r="C6" s="527" t="s">
        <v>18</v>
      </c>
      <c r="D6" s="17" t="s">
        <v>13</v>
      </c>
      <c r="E6" s="490" t="s">
        <v>17</v>
      </c>
      <c r="F6" s="946" t="s">
        <v>263</v>
      </c>
      <c r="G6" s="953"/>
      <c r="H6" s="951">
        <v>45692</v>
      </c>
      <c r="I6" s="799">
        <v>46142</v>
      </c>
      <c r="J6" s="366"/>
      <c r="K6" s="53">
        <v>1</v>
      </c>
      <c r="L6" s="53">
        <f>K6*L$1</f>
        <v>1</v>
      </c>
      <c r="M6" s="53">
        <v>1</v>
      </c>
      <c r="N6" s="53">
        <f>M6*N$1</f>
        <v>1</v>
      </c>
      <c r="O6" s="53">
        <v>1</v>
      </c>
      <c r="P6" s="374">
        <f>$P$1*O6</f>
        <v>1</v>
      </c>
      <c r="Q6" s="383">
        <v>1</v>
      </c>
      <c r="R6" s="506">
        <f>$Q$1*Q6</f>
        <v>1</v>
      </c>
      <c r="S6" s="555">
        <v>1</v>
      </c>
      <c r="T6" s="556">
        <f>$T$1*S6</f>
        <v>0.6</v>
      </c>
      <c r="U6" s="556">
        <v>1</v>
      </c>
      <c r="V6" s="556"/>
      <c r="W6" s="556">
        <v>1</v>
      </c>
      <c r="X6" s="556"/>
      <c r="Y6" s="556">
        <v>1</v>
      </c>
      <c r="Z6" s="556"/>
      <c r="AA6" s="556">
        <v>1</v>
      </c>
      <c r="AB6" s="556"/>
      <c r="AC6" s="556">
        <v>1</v>
      </c>
      <c r="AD6" s="557"/>
      <c r="AE6" s="52">
        <v>1</v>
      </c>
      <c r="AF6" s="366"/>
      <c r="AG6" s="53">
        <v>1</v>
      </c>
      <c r="AH6" s="383"/>
      <c r="AI6" s="383">
        <v>1</v>
      </c>
      <c r="AJ6" s="54"/>
      <c r="AK6" s="52">
        <v>1</v>
      </c>
      <c r="AL6" s="53"/>
      <c r="AM6" s="53">
        <v>1</v>
      </c>
      <c r="AN6" s="54"/>
      <c r="AO6" s="719">
        <f>+K6+M6+O6+Q6+S6+U6+W6+Y6+AA6+AC6+AE6+AG6+AI6+AK6+AM6</f>
        <v>15</v>
      </c>
      <c r="AP6" s="524">
        <f>+L6+N6+P6+R6+T6+V6+X6+Z6+AB6+AD6+AF6+AH6+AJ6+AL6+AN6</f>
        <v>4.5999999999999996</v>
      </c>
      <c r="AQ6" s="525">
        <f>AO6-AP6</f>
        <v>10.4</v>
      </c>
      <c r="AR6" s="634" t="s">
        <v>872</v>
      </c>
      <c r="AS6" s="1453"/>
      <c r="AT6" s="427"/>
      <c r="AU6" s="349"/>
    </row>
    <row r="7" spans="2:48" s="140" customFormat="1" ht="17" hidden="1" customHeight="1">
      <c r="B7" s="1828"/>
      <c r="C7" s="246" t="s">
        <v>165</v>
      </c>
      <c r="D7" s="1736" t="s">
        <v>13</v>
      </c>
      <c r="E7" s="1737" t="s">
        <v>17</v>
      </c>
      <c r="F7" s="1738" t="s">
        <v>264</v>
      </c>
      <c r="G7" s="1739" t="s">
        <v>598</v>
      </c>
      <c r="H7" s="1740">
        <v>45677</v>
      </c>
      <c r="I7" s="1741">
        <v>45744</v>
      </c>
      <c r="J7" s="29"/>
      <c r="K7" s="28">
        <v>1</v>
      </c>
      <c r="L7" s="53">
        <f t="shared" ref="L7:L9" si="0">K7*$L$1</f>
        <v>1</v>
      </c>
      <c r="M7" s="28">
        <v>0.5</v>
      </c>
      <c r="N7" s="53">
        <v>0.5</v>
      </c>
      <c r="O7" s="28"/>
      <c r="P7" s="374"/>
      <c r="Q7" s="374"/>
      <c r="R7" s="503"/>
      <c r="S7" s="535"/>
      <c r="T7" s="536"/>
      <c r="U7" s="536"/>
      <c r="V7" s="536"/>
      <c r="W7" s="536"/>
      <c r="X7" s="536"/>
      <c r="Y7" s="1128"/>
      <c r="Z7" s="536"/>
      <c r="AA7" s="1128"/>
      <c r="AB7" s="536"/>
      <c r="AC7" s="1128"/>
      <c r="AD7" s="537"/>
      <c r="AE7" s="1129"/>
      <c r="AF7" s="29"/>
      <c r="AG7" s="1130"/>
      <c r="AH7" s="374"/>
      <c r="AI7" s="1131"/>
      <c r="AJ7" s="25"/>
      <c r="AK7" s="1129"/>
      <c r="AL7" s="28"/>
      <c r="AM7" s="1130"/>
      <c r="AN7" s="25"/>
      <c r="AO7" s="719">
        <f t="shared" ref="AO7:AP19" si="1">+K7+M7+O7+Q7+S7+U7+W7+Y7+AA7+AC7+AE7+AG7+AI7+AK7+AM7</f>
        <v>1.5</v>
      </c>
      <c r="AP7" s="524">
        <f t="shared" si="1"/>
        <v>1.5</v>
      </c>
      <c r="AQ7" s="525">
        <f t="shared" ref="AQ7:AQ19" si="2">AO7-AP7</f>
        <v>0</v>
      </c>
      <c r="AR7" s="635" t="s">
        <v>873</v>
      </c>
      <c r="AS7" s="1453"/>
      <c r="AT7" s="427"/>
      <c r="AU7" s="349"/>
    </row>
    <row r="8" spans="2:48" s="140" customFormat="1" ht="17" hidden="1" customHeight="1">
      <c r="B8" s="1827"/>
      <c r="C8" s="246" t="s">
        <v>165</v>
      </c>
      <c r="D8" s="1" t="s">
        <v>19</v>
      </c>
      <c r="E8" s="350" t="s">
        <v>17</v>
      </c>
      <c r="F8" s="947" t="s">
        <v>578</v>
      </c>
      <c r="G8" s="878"/>
      <c r="H8" s="951">
        <v>45726</v>
      </c>
      <c r="I8" s="800">
        <v>46142</v>
      </c>
      <c r="J8" s="361"/>
      <c r="K8" s="3"/>
      <c r="L8" s="53"/>
      <c r="M8" s="3">
        <v>0.5</v>
      </c>
      <c r="N8" s="53">
        <f t="shared" ref="N8:N17" si="3">M8*N$1</f>
        <v>0.5</v>
      </c>
      <c r="O8" s="28">
        <v>1</v>
      </c>
      <c r="P8" s="374">
        <f t="shared" ref="P8:P17" si="4">$P$1*O8</f>
        <v>1</v>
      </c>
      <c r="Q8" s="374">
        <v>1</v>
      </c>
      <c r="R8" s="506">
        <f t="shared" ref="R8:R12" si="5">$Q$1*Q8</f>
        <v>1</v>
      </c>
      <c r="S8" s="535">
        <v>1</v>
      </c>
      <c r="T8" s="556">
        <f t="shared" ref="T8:T9" si="6">$T$1*S8</f>
        <v>0.6</v>
      </c>
      <c r="U8" s="536">
        <v>1</v>
      </c>
      <c r="V8" s="536"/>
      <c r="W8" s="536">
        <v>1</v>
      </c>
      <c r="X8" s="536"/>
      <c r="Y8" s="1128">
        <v>1</v>
      </c>
      <c r="Z8" s="536"/>
      <c r="AA8" s="1128">
        <v>1</v>
      </c>
      <c r="AB8" s="536"/>
      <c r="AC8" s="1128">
        <v>1</v>
      </c>
      <c r="AD8" s="537"/>
      <c r="AE8" s="1129">
        <v>1</v>
      </c>
      <c r="AF8" s="29"/>
      <c r="AG8" s="1130">
        <v>1</v>
      </c>
      <c r="AH8" s="374"/>
      <c r="AI8" s="1131">
        <v>1</v>
      </c>
      <c r="AJ8" s="25"/>
      <c r="AK8" s="1129">
        <v>1</v>
      </c>
      <c r="AL8" s="28"/>
      <c r="AM8" s="1130">
        <v>1</v>
      </c>
      <c r="AN8" s="25"/>
      <c r="AO8" s="719">
        <f t="shared" si="1"/>
        <v>13.5</v>
      </c>
      <c r="AP8" s="524">
        <f t="shared" si="1"/>
        <v>3.1</v>
      </c>
      <c r="AQ8" s="525">
        <f t="shared" si="2"/>
        <v>10.4</v>
      </c>
      <c r="AR8" s="635" t="s">
        <v>872</v>
      </c>
      <c r="AS8" s="1453"/>
      <c r="AT8" s="427"/>
      <c r="AU8" s="349"/>
    </row>
    <row r="9" spans="2:48" s="140" customFormat="1" ht="17" hidden="1" customHeight="1">
      <c r="B9" s="1827"/>
      <c r="C9" s="246" t="s">
        <v>166</v>
      </c>
      <c r="D9" s="1" t="s">
        <v>22</v>
      </c>
      <c r="E9" s="350" t="s">
        <v>17</v>
      </c>
      <c r="F9" s="947" t="s">
        <v>390</v>
      </c>
      <c r="G9" s="878"/>
      <c r="H9" s="951">
        <v>45692</v>
      </c>
      <c r="I9" s="800">
        <v>45838</v>
      </c>
      <c r="J9" s="361"/>
      <c r="K9" s="3">
        <v>1</v>
      </c>
      <c r="L9" s="53">
        <f t="shared" si="0"/>
        <v>1</v>
      </c>
      <c r="M9" s="3">
        <v>1</v>
      </c>
      <c r="N9" s="53">
        <f t="shared" si="3"/>
        <v>1</v>
      </c>
      <c r="O9" s="28">
        <v>1</v>
      </c>
      <c r="P9" s="374">
        <f t="shared" si="4"/>
        <v>1</v>
      </c>
      <c r="Q9" s="374">
        <v>1</v>
      </c>
      <c r="R9" s="506">
        <f t="shared" si="5"/>
        <v>1</v>
      </c>
      <c r="S9" s="535">
        <v>1</v>
      </c>
      <c r="T9" s="556">
        <f t="shared" si="6"/>
        <v>0.6</v>
      </c>
      <c r="U9" s="536"/>
      <c r="V9" s="536"/>
      <c r="W9" s="536"/>
      <c r="X9" s="536"/>
      <c r="Y9" s="536"/>
      <c r="Z9" s="536"/>
      <c r="AA9" s="536"/>
      <c r="AB9" s="536"/>
      <c r="AC9" s="536"/>
      <c r="AD9" s="537"/>
      <c r="AE9" s="536"/>
      <c r="AF9" s="29"/>
      <c r="AG9" s="536"/>
      <c r="AH9" s="374"/>
      <c r="AI9" s="536"/>
      <c r="AJ9" s="25"/>
      <c r="AK9" s="536"/>
      <c r="AL9" s="28"/>
      <c r="AM9" s="536"/>
      <c r="AN9" s="25"/>
      <c r="AO9" s="719">
        <f t="shared" si="1"/>
        <v>5</v>
      </c>
      <c r="AP9" s="524">
        <f t="shared" si="1"/>
        <v>4.5999999999999996</v>
      </c>
      <c r="AQ9" s="525">
        <f t="shared" si="2"/>
        <v>0.40000000000000036</v>
      </c>
      <c r="AR9" s="635" t="s">
        <v>872</v>
      </c>
      <c r="AS9" s="1453"/>
      <c r="AT9" s="427"/>
      <c r="AU9" s="349"/>
    </row>
    <row r="10" spans="2:48" s="140" customFormat="1" ht="17" hidden="1" customHeight="1">
      <c r="B10" s="1827"/>
      <c r="C10" s="246" t="s">
        <v>166</v>
      </c>
      <c r="D10" s="1" t="s">
        <v>13</v>
      </c>
      <c r="E10" s="350" t="s">
        <v>17</v>
      </c>
      <c r="F10" s="947" t="s">
        <v>1038</v>
      </c>
      <c r="G10" s="878" t="s">
        <v>1039</v>
      </c>
      <c r="H10" s="951">
        <v>45824</v>
      </c>
      <c r="I10" s="800">
        <v>46142</v>
      </c>
      <c r="J10" s="361"/>
      <c r="K10" s="3"/>
      <c r="L10" s="53"/>
      <c r="M10" s="3"/>
      <c r="N10" s="53"/>
      <c r="O10" s="391"/>
      <c r="P10" s="374"/>
      <c r="Q10" s="391"/>
      <c r="R10" s="506"/>
      <c r="S10" s="1725">
        <v>0</v>
      </c>
      <c r="T10" s="1125">
        <f>$T$1</f>
        <v>0.6</v>
      </c>
      <c r="U10" s="536">
        <v>1</v>
      </c>
      <c r="V10" s="536"/>
      <c r="W10" s="536">
        <v>1</v>
      </c>
      <c r="X10" s="536"/>
      <c r="Y10" s="536">
        <v>1</v>
      </c>
      <c r="Z10" s="536"/>
      <c r="AA10" s="536">
        <v>1</v>
      </c>
      <c r="AB10" s="536"/>
      <c r="AC10" s="536">
        <v>1</v>
      </c>
      <c r="AD10" s="537"/>
      <c r="AE10" s="27">
        <v>1</v>
      </c>
      <c r="AF10" s="29"/>
      <c r="AG10" s="28">
        <v>1</v>
      </c>
      <c r="AH10" s="374"/>
      <c r="AI10" s="374">
        <v>1</v>
      </c>
      <c r="AJ10" s="25"/>
      <c r="AK10" s="27">
        <v>1</v>
      </c>
      <c r="AL10" s="28"/>
      <c r="AM10" s="419">
        <v>0</v>
      </c>
      <c r="AN10" s="25"/>
      <c r="AO10" s="719">
        <f t="shared" ref="AO10" si="7">+K10+M10+O10+Q10+S10+U10+W10+Y10+AA10+AC10+AE10+AG10+AI10+AK10+AM10</f>
        <v>9</v>
      </c>
      <c r="AP10" s="524">
        <f t="shared" ref="AP10" si="8">+L10+N10+P10+R10+T10+V10+X10+Z10+AB10+AD10+AF10+AH10+AJ10+AL10+AN10</f>
        <v>0.6</v>
      </c>
      <c r="AQ10" s="525">
        <f t="shared" ref="AQ10" si="9">AO10-AP10</f>
        <v>8.4</v>
      </c>
      <c r="AR10" s="635" t="s">
        <v>867</v>
      </c>
      <c r="AS10" s="1453"/>
      <c r="AT10" s="427"/>
      <c r="AU10" s="349"/>
    </row>
    <row r="11" spans="2:48" s="140" customFormat="1" ht="17" hidden="1" customHeight="1">
      <c r="B11" s="1828"/>
      <c r="C11" s="242" t="s">
        <v>616</v>
      </c>
      <c r="D11" s="1742" t="s">
        <v>13</v>
      </c>
      <c r="E11" s="1737" t="s">
        <v>17</v>
      </c>
      <c r="F11" s="1738" t="s">
        <v>624</v>
      </c>
      <c r="G11" s="1743" t="s">
        <v>654</v>
      </c>
      <c r="H11" s="1740">
        <v>45763</v>
      </c>
      <c r="I11" s="1741">
        <v>45777</v>
      </c>
      <c r="J11" s="29"/>
      <c r="K11" s="28"/>
      <c r="L11" s="53"/>
      <c r="M11" s="28"/>
      <c r="N11" s="53"/>
      <c r="O11" s="841">
        <v>0</v>
      </c>
      <c r="P11" s="495">
        <v>0.25</v>
      </c>
      <c r="Q11" s="1126">
        <v>0</v>
      </c>
      <c r="R11" s="1366">
        <f>R$1*Q1</f>
        <v>1</v>
      </c>
      <c r="S11" s="536"/>
      <c r="T11" s="536"/>
      <c r="U11" s="536"/>
      <c r="V11" s="536"/>
      <c r="W11" s="536"/>
      <c r="X11" s="536"/>
      <c r="Y11" s="536"/>
      <c r="Z11" s="536"/>
      <c r="AA11" s="536"/>
      <c r="AB11" s="536"/>
      <c r="AC11" s="536"/>
      <c r="AD11" s="537"/>
      <c r="AE11" s="536"/>
      <c r="AF11" s="29"/>
      <c r="AG11" s="536"/>
      <c r="AH11" s="374"/>
      <c r="AI11" s="536"/>
      <c r="AJ11" s="25"/>
      <c r="AK11" s="536"/>
      <c r="AL11" s="28"/>
      <c r="AM11" s="536"/>
      <c r="AN11" s="25"/>
      <c r="AO11" s="719">
        <f t="shared" ref="AO11" si="10">+K11+M11+O11+Q11+S11+U11+W11+Y11+AA11+AC11+AE11+AG11+AI11+AK11+AM11</f>
        <v>0</v>
      </c>
      <c r="AP11" s="524">
        <f t="shared" ref="AP11" si="11">+L11+N11+P11+R11+T11+V11+X11+Z11+AB11+AD11+AF11+AH11+AJ11+AL11+AN11</f>
        <v>1.25</v>
      </c>
      <c r="AQ11" s="525">
        <f t="shared" ref="AQ11" si="12">AO11-AP11</f>
        <v>-1.25</v>
      </c>
      <c r="AR11" s="635" t="s">
        <v>886</v>
      </c>
      <c r="AS11" s="1453"/>
      <c r="AT11" s="427"/>
      <c r="AU11" s="349"/>
    </row>
    <row r="12" spans="2:48" s="140" customFormat="1" ht="17" hidden="1" customHeight="1">
      <c r="B12" s="1827"/>
      <c r="C12" s="242" t="s">
        <v>167</v>
      </c>
      <c r="D12" s="44" t="s">
        <v>13</v>
      </c>
      <c r="E12" s="350" t="s">
        <v>17</v>
      </c>
      <c r="F12" s="947" t="s">
        <v>265</v>
      </c>
      <c r="G12" s="878"/>
      <c r="H12" s="951">
        <v>45677</v>
      </c>
      <c r="I12" s="800">
        <v>46112</v>
      </c>
      <c r="J12" s="361"/>
      <c r="K12" s="3">
        <v>1</v>
      </c>
      <c r="L12" s="53">
        <v>1</v>
      </c>
      <c r="M12" s="3">
        <v>1</v>
      </c>
      <c r="N12" s="53">
        <f t="shared" si="3"/>
        <v>1</v>
      </c>
      <c r="O12" s="28">
        <v>1</v>
      </c>
      <c r="P12" s="374">
        <f t="shared" si="4"/>
        <v>1</v>
      </c>
      <c r="Q12" s="374">
        <v>1</v>
      </c>
      <c r="R12" s="506">
        <f t="shared" si="5"/>
        <v>1</v>
      </c>
      <c r="S12" s="535">
        <v>1</v>
      </c>
      <c r="T12" s="556">
        <f>$T$1*S12</f>
        <v>0.6</v>
      </c>
      <c r="U12" s="536">
        <v>1</v>
      </c>
      <c r="V12" s="536"/>
      <c r="W12" s="536">
        <v>1</v>
      </c>
      <c r="X12" s="536"/>
      <c r="Y12" s="536">
        <v>1</v>
      </c>
      <c r="Z12" s="536"/>
      <c r="AA12" s="536">
        <v>1</v>
      </c>
      <c r="AB12" s="536"/>
      <c r="AC12" s="536">
        <v>1</v>
      </c>
      <c r="AD12" s="537"/>
      <c r="AE12" s="27">
        <v>1</v>
      </c>
      <c r="AF12" s="29"/>
      <c r="AG12" s="28">
        <v>1</v>
      </c>
      <c r="AH12" s="374"/>
      <c r="AI12" s="374">
        <v>1</v>
      </c>
      <c r="AJ12" s="25"/>
      <c r="AK12" s="27">
        <v>1</v>
      </c>
      <c r="AL12" s="28"/>
      <c r="AM12" s="28"/>
      <c r="AN12" s="25"/>
      <c r="AO12" s="719">
        <f t="shared" si="1"/>
        <v>14</v>
      </c>
      <c r="AP12" s="524">
        <f t="shared" si="1"/>
        <v>4.5999999999999996</v>
      </c>
      <c r="AQ12" s="525">
        <f t="shared" si="2"/>
        <v>9.4</v>
      </c>
      <c r="AR12" s="635" t="s">
        <v>886</v>
      </c>
      <c r="AS12" s="1453"/>
      <c r="AT12" s="427"/>
      <c r="AU12" s="349"/>
    </row>
    <row r="13" spans="2:48" s="140" customFormat="1" ht="17" hidden="1" customHeight="1">
      <c r="B13" s="1827"/>
      <c r="C13" s="242" t="s">
        <v>497</v>
      </c>
      <c r="D13" s="1" t="s">
        <v>13</v>
      </c>
      <c r="E13" s="350" t="s">
        <v>17</v>
      </c>
      <c r="F13" s="948" t="s">
        <v>266</v>
      </c>
      <c r="G13" s="954" t="s">
        <v>389</v>
      </c>
      <c r="H13" s="951">
        <v>45692</v>
      </c>
      <c r="I13" s="800">
        <v>46112</v>
      </c>
      <c r="J13" s="361"/>
      <c r="K13" s="2"/>
      <c r="L13" s="56">
        <f>2/20</f>
        <v>0.1</v>
      </c>
      <c r="M13" s="56"/>
      <c r="N13" s="53"/>
      <c r="O13" s="56"/>
      <c r="P13" s="374"/>
      <c r="Q13" s="374"/>
      <c r="R13" s="506"/>
      <c r="S13" s="535"/>
      <c r="T13" s="536"/>
      <c r="U13" s="536"/>
      <c r="V13" s="536"/>
      <c r="W13" s="536"/>
      <c r="X13" s="536"/>
      <c r="Y13" s="536"/>
      <c r="Z13" s="536"/>
      <c r="AA13" s="536"/>
      <c r="AB13" s="536"/>
      <c r="AC13" s="536"/>
      <c r="AD13" s="537"/>
      <c r="AE13" s="27"/>
      <c r="AF13" s="29"/>
      <c r="AG13" s="28"/>
      <c r="AH13" s="374"/>
      <c r="AI13" s="374"/>
      <c r="AJ13" s="25"/>
      <c r="AK13" s="27"/>
      <c r="AL13" s="28"/>
      <c r="AM13" s="28"/>
      <c r="AN13" s="25"/>
      <c r="AO13" s="1586">
        <f t="shared" si="1"/>
        <v>0</v>
      </c>
      <c r="AP13" s="524">
        <f t="shared" si="1"/>
        <v>0.1</v>
      </c>
      <c r="AQ13" s="525">
        <f t="shared" si="2"/>
        <v>-0.1</v>
      </c>
      <c r="AR13" s="636" t="s">
        <v>886</v>
      </c>
      <c r="AS13" s="1519"/>
      <c r="AT13" s="427"/>
      <c r="AU13" s="349"/>
    </row>
    <row r="14" spans="2:48" s="140" customFormat="1" ht="17" hidden="1" customHeight="1">
      <c r="B14" s="1827"/>
      <c r="C14" s="242" t="s">
        <v>497</v>
      </c>
      <c r="D14" s="1" t="s">
        <v>13</v>
      </c>
      <c r="E14" s="350" t="s">
        <v>17</v>
      </c>
      <c r="F14" s="948" t="s">
        <v>496</v>
      </c>
      <c r="G14" s="954" t="s">
        <v>389</v>
      </c>
      <c r="H14" s="951">
        <v>45692</v>
      </c>
      <c r="I14" s="800">
        <v>46112</v>
      </c>
      <c r="J14" s="361"/>
      <c r="K14" s="2"/>
      <c r="L14" s="56">
        <v>0.15</v>
      </c>
      <c r="M14" s="56"/>
      <c r="N14" s="53"/>
      <c r="O14" s="56"/>
      <c r="P14" s="374"/>
      <c r="Q14" s="374"/>
      <c r="R14" s="506"/>
      <c r="S14" s="1132"/>
      <c r="T14" s="1133"/>
      <c r="U14" s="1133"/>
      <c r="V14" s="1133"/>
      <c r="W14" s="1133"/>
      <c r="X14" s="1133"/>
      <c r="Y14" s="1133"/>
      <c r="Z14" s="1133"/>
      <c r="AA14" s="536"/>
      <c r="AB14" s="536"/>
      <c r="AC14" s="536"/>
      <c r="AD14" s="537"/>
      <c r="AE14" s="27"/>
      <c r="AF14" s="29"/>
      <c r="AG14" s="28"/>
      <c r="AH14" s="374"/>
      <c r="AI14" s="374"/>
      <c r="AJ14" s="25"/>
      <c r="AK14" s="27"/>
      <c r="AL14" s="28"/>
      <c r="AM14" s="28"/>
      <c r="AN14" s="25"/>
      <c r="AO14" s="1586">
        <f t="shared" si="1"/>
        <v>0</v>
      </c>
      <c r="AP14" s="524">
        <f t="shared" si="1"/>
        <v>0.15</v>
      </c>
      <c r="AQ14" s="525">
        <f t="shared" si="2"/>
        <v>-0.15</v>
      </c>
      <c r="AR14" s="636" t="s">
        <v>886</v>
      </c>
      <c r="AS14" s="1519"/>
      <c r="AT14" s="427"/>
      <c r="AU14" s="349"/>
    </row>
    <row r="15" spans="2:48" s="140" customFormat="1" ht="16" hidden="1" thickBot="1">
      <c r="B15" s="1827"/>
      <c r="C15" s="242" t="s">
        <v>616</v>
      </c>
      <c r="D15" s="95" t="s">
        <v>19</v>
      </c>
      <c r="E15" s="534" t="s">
        <v>17</v>
      </c>
      <c r="F15" s="1079" t="s">
        <v>680</v>
      </c>
      <c r="G15" s="1056"/>
      <c r="H15" s="1080">
        <v>45803</v>
      </c>
      <c r="I15" s="806">
        <v>46142</v>
      </c>
      <c r="J15" s="361"/>
      <c r="K15" s="3"/>
      <c r="L15" s="3"/>
      <c r="M15" s="3"/>
      <c r="N15" s="53"/>
      <c r="O15" s="3"/>
      <c r="P15" s="374"/>
      <c r="Q15" s="374">
        <v>0.2</v>
      </c>
      <c r="R15" s="503">
        <v>0.2</v>
      </c>
      <c r="S15" s="535">
        <v>1</v>
      </c>
      <c r="T15" s="556">
        <f t="shared" ref="T15:T18" si="13">$T$1*S15</f>
        <v>0.6</v>
      </c>
      <c r="U15" s="536">
        <v>1</v>
      </c>
      <c r="V15" s="536"/>
      <c r="W15" s="536">
        <v>1</v>
      </c>
      <c r="X15" s="536"/>
      <c r="Y15" s="536">
        <v>1</v>
      </c>
      <c r="Z15" s="536"/>
      <c r="AA15" s="536">
        <v>1</v>
      </c>
      <c r="AB15" s="536"/>
      <c r="AC15" s="536">
        <v>1</v>
      </c>
      <c r="AD15" s="537"/>
      <c r="AE15" s="27">
        <v>1</v>
      </c>
      <c r="AF15" s="29"/>
      <c r="AG15" s="28">
        <v>1</v>
      </c>
      <c r="AH15" s="374"/>
      <c r="AI15" s="374">
        <v>1</v>
      </c>
      <c r="AJ15" s="25"/>
      <c r="AK15" s="27">
        <v>1</v>
      </c>
      <c r="AL15" s="28"/>
      <c r="AM15" s="536">
        <v>0.8</v>
      </c>
      <c r="AN15" s="25"/>
      <c r="AO15" s="1586">
        <f t="shared" si="1"/>
        <v>11</v>
      </c>
      <c r="AP15" s="524">
        <f t="shared" si="1"/>
        <v>0.8</v>
      </c>
      <c r="AQ15" s="525">
        <f t="shared" si="2"/>
        <v>10.199999999999999</v>
      </c>
      <c r="AR15" s="635"/>
      <c r="AS15" s="1453"/>
      <c r="AT15" s="427"/>
      <c r="AU15" s="349"/>
    </row>
    <row r="16" spans="2:48" s="140" customFormat="1" ht="16" hidden="1" thickBot="1">
      <c r="B16" s="1827"/>
      <c r="C16" s="246" t="s">
        <v>73</v>
      </c>
      <c r="D16" s="44" t="s">
        <v>13</v>
      </c>
      <c r="E16" s="350" t="s">
        <v>17</v>
      </c>
      <c r="F16" s="949" t="s">
        <v>267</v>
      </c>
      <c r="G16" s="955"/>
      <c r="H16" s="951">
        <v>45691</v>
      </c>
      <c r="I16" s="800">
        <v>46112</v>
      </c>
      <c r="J16" s="360"/>
      <c r="K16" s="40">
        <v>1</v>
      </c>
      <c r="L16" s="53">
        <f t="shared" ref="L16:L17" si="14">K16*$L$1</f>
        <v>1</v>
      </c>
      <c r="M16" s="40">
        <v>1</v>
      </c>
      <c r="N16" s="53">
        <f t="shared" si="3"/>
        <v>1</v>
      </c>
      <c r="O16" s="40">
        <v>1</v>
      </c>
      <c r="P16" s="374">
        <f t="shared" si="4"/>
        <v>1</v>
      </c>
      <c r="Q16" s="376">
        <v>1</v>
      </c>
      <c r="R16" s="506">
        <f t="shared" ref="R16:R18" si="15">$Q$1*Q16</f>
        <v>1</v>
      </c>
      <c r="S16" s="538">
        <v>1</v>
      </c>
      <c r="T16" s="556">
        <f t="shared" si="13"/>
        <v>0.6</v>
      </c>
      <c r="U16" s="539">
        <v>1</v>
      </c>
      <c r="V16" s="539"/>
      <c r="W16" s="539">
        <v>1</v>
      </c>
      <c r="X16" s="539"/>
      <c r="Y16" s="539">
        <v>1</v>
      </c>
      <c r="Z16" s="539"/>
      <c r="AA16" s="539">
        <v>1</v>
      </c>
      <c r="AB16" s="539"/>
      <c r="AC16" s="1134">
        <v>1</v>
      </c>
      <c r="AD16" s="1135"/>
      <c r="AE16" s="1136">
        <v>1</v>
      </c>
      <c r="AF16" s="1137"/>
      <c r="AG16" s="1138">
        <v>1</v>
      </c>
      <c r="AH16" s="1139"/>
      <c r="AI16" s="1139">
        <v>1</v>
      </c>
      <c r="AJ16" s="1140"/>
      <c r="AK16" s="1136">
        <v>1</v>
      </c>
      <c r="AL16" s="1138"/>
      <c r="AM16" s="1138">
        <v>1</v>
      </c>
      <c r="AN16" s="122"/>
      <c r="AO16" s="1586">
        <f t="shared" si="1"/>
        <v>15</v>
      </c>
      <c r="AP16" s="524">
        <f t="shared" si="1"/>
        <v>4.5999999999999996</v>
      </c>
      <c r="AQ16" s="525">
        <f t="shared" si="2"/>
        <v>10.4</v>
      </c>
      <c r="AR16" s="635" t="s">
        <v>886</v>
      </c>
      <c r="AS16" s="1453"/>
      <c r="AT16" s="427"/>
      <c r="AU16" s="349"/>
    </row>
    <row r="17" spans="1:47" s="140" customFormat="1" ht="16" hidden="1" thickBot="1">
      <c r="B17" s="1827"/>
      <c r="C17" s="246" t="s">
        <v>71</v>
      </c>
      <c r="D17" s="44" t="s">
        <v>13</v>
      </c>
      <c r="E17" s="350" t="s">
        <v>17</v>
      </c>
      <c r="F17" s="949" t="s">
        <v>268</v>
      </c>
      <c r="G17" s="955"/>
      <c r="H17" s="951">
        <v>45677</v>
      </c>
      <c r="I17" s="800">
        <v>46142</v>
      </c>
      <c r="J17" s="360"/>
      <c r="K17" s="5">
        <v>1</v>
      </c>
      <c r="L17" s="53">
        <f t="shared" si="14"/>
        <v>1</v>
      </c>
      <c r="M17" s="5">
        <v>1</v>
      </c>
      <c r="N17" s="53">
        <f t="shared" si="3"/>
        <v>1</v>
      </c>
      <c r="O17" s="5">
        <v>1</v>
      </c>
      <c r="P17" s="374">
        <f t="shared" si="4"/>
        <v>1</v>
      </c>
      <c r="Q17" s="1139">
        <v>1</v>
      </c>
      <c r="R17" s="506">
        <f t="shared" si="15"/>
        <v>1</v>
      </c>
      <c r="S17" s="1141">
        <v>1</v>
      </c>
      <c r="T17" s="556">
        <f t="shared" si="13"/>
        <v>0.6</v>
      </c>
      <c r="U17" s="1134">
        <v>1</v>
      </c>
      <c r="V17" s="539"/>
      <c r="W17" s="1134">
        <v>1</v>
      </c>
      <c r="X17" s="539"/>
      <c r="Y17" s="1134">
        <v>1</v>
      </c>
      <c r="Z17" s="539"/>
      <c r="AA17" s="1134">
        <v>1</v>
      </c>
      <c r="AB17" s="539"/>
      <c r="AC17" s="1134">
        <v>1</v>
      </c>
      <c r="AD17" s="1135"/>
      <c r="AE17" s="1136">
        <v>1</v>
      </c>
      <c r="AF17" s="1137"/>
      <c r="AG17" s="1138">
        <v>1</v>
      </c>
      <c r="AH17" s="1139"/>
      <c r="AI17" s="1139">
        <v>1</v>
      </c>
      <c r="AJ17" s="1140"/>
      <c r="AK17" s="1136">
        <v>1</v>
      </c>
      <c r="AL17" s="1138"/>
      <c r="AM17" s="1138">
        <v>1</v>
      </c>
      <c r="AN17" s="122"/>
      <c r="AO17" s="1586">
        <f t="shared" si="1"/>
        <v>15</v>
      </c>
      <c r="AP17" s="524">
        <f t="shared" si="1"/>
        <v>4.5999999999999996</v>
      </c>
      <c r="AQ17" s="525">
        <f t="shared" si="2"/>
        <v>10.4</v>
      </c>
      <c r="AR17" s="635" t="s">
        <v>887</v>
      </c>
      <c r="AS17" s="1453"/>
      <c r="AT17" s="427"/>
      <c r="AU17" s="349"/>
    </row>
    <row r="18" spans="1:47" s="140" customFormat="1" ht="16" hidden="1" thickBot="1">
      <c r="B18" s="1827"/>
      <c r="C18" s="724" t="s">
        <v>72</v>
      </c>
      <c r="D18" s="44" t="s">
        <v>13</v>
      </c>
      <c r="E18" s="491" t="s">
        <v>17</v>
      </c>
      <c r="F18" s="949" t="s">
        <v>269</v>
      </c>
      <c r="G18" s="955"/>
      <c r="H18" s="951">
        <v>45677</v>
      </c>
      <c r="I18" s="800">
        <v>46112</v>
      </c>
      <c r="J18" s="360"/>
      <c r="K18" s="40">
        <v>1</v>
      </c>
      <c r="L18" s="53">
        <f t="shared" ref="L18" si="16">K18*$L$1</f>
        <v>1</v>
      </c>
      <c r="M18" s="40">
        <v>1</v>
      </c>
      <c r="N18" s="53">
        <f t="shared" ref="N18" si="17">M18*N$1</f>
        <v>1</v>
      </c>
      <c r="O18" s="40">
        <v>1</v>
      </c>
      <c r="P18" s="374">
        <f t="shared" ref="P18" si="18">$P$1*O18</f>
        <v>1</v>
      </c>
      <c r="Q18" s="376">
        <v>1</v>
      </c>
      <c r="R18" s="506">
        <f t="shared" si="15"/>
        <v>1</v>
      </c>
      <c r="S18" s="538">
        <v>1</v>
      </c>
      <c r="T18" s="556">
        <f t="shared" si="13"/>
        <v>0.6</v>
      </c>
      <c r="U18" s="539">
        <v>1</v>
      </c>
      <c r="V18" s="539"/>
      <c r="W18" s="539">
        <v>1</v>
      </c>
      <c r="X18" s="539"/>
      <c r="Y18" s="539">
        <v>1</v>
      </c>
      <c r="Z18" s="539"/>
      <c r="AA18" s="539">
        <v>1</v>
      </c>
      <c r="AB18" s="539"/>
      <c r="AC18" s="1134">
        <v>1</v>
      </c>
      <c r="AD18" s="1135"/>
      <c r="AE18" s="1136">
        <v>1</v>
      </c>
      <c r="AF18" s="1137"/>
      <c r="AG18" s="1138">
        <v>1</v>
      </c>
      <c r="AH18" s="1139"/>
      <c r="AI18" s="1139">
        <v>1</v>
      </c>
      <c r="AJ18" s="1140"/>
      <c r="AK18" s="1136">
        <v>1</v>
      </c>
      <c r="AL18" s="1138"/>
      <c r="AM18" s="1138">
        <v>1</v>
      </c>
      <c r="AN18" s="122"/>
      <c r="AO18" s="1586">
        <f t="shared" ref="AO18" si="19">+K18+M18+O18+Q18+S18+U18+W18+Y18+AA18+AC18+AE18+AG18+AI18+AK18+AM18</f>
        <v>15</v>
      </c>
      <c r="AP18" s="524">
        <f t="shared" ref="AP18" si="20">+L18+N18+P18+R18+T18+V18+X18+Z18+AB18+AD18+AF18+AH18+AJ18+AL18+AN18</f>
        <v>4.5999999999999996</v>
      </c>
      <c r="AQ18" s="525">
        <f t="shared" ref="AQ18" si="21">AO18-AP18</f>
        <v>10.4</v>
      </c>
      <c r="AR18" s="635" t="s">
        <v>886</v>
      </c>
      <c r="AS18" s="1453"/>
      <c r="AT18" s="427"/>
      <c r="AU18" s="349"/>
    </row>
    <row r="19" spans="1:47" s="140" customFormat="1" ht="16" hidden="1" thickBot="1">
      <c r="B19" s="1827"/>
      <c r="C19" s="724" t="s">
        <v>1042</v>
      </c>
      <c r="D19" s="569" t="s">
        <v>13</v>
      </c>
      <c r="E19" s="1726" t="s">
        <v>1041</v>
      </c>
      <c r="F19" s="1784" t="s">
        <v>1040</v>
      </c>
      <c r="G19" s="1785" t="s">
        <v>557</v>
      </c>
      <c r="H19" s="951">
        <v>45824</v>
      </c>
      <c r="I19" s="800">
        <v>46112</v>
      </c>
      <c r="J19" s="360"/>
      <c r="K19" s="40"/>
      <c r="L19" s="53"/>
      <c r="M19" s="40"/>
      <c r="N19" s="53"/>
      <c r="O19" s="40"/>
      <c r="P19" s="374"/>
      <c r="Q19" s="376"/>
      <c r="R19" s="504"/>
      <c r="S19" s="1725">
        <v>0</v>
      </c>
      <c r="T19" s="1125">
        <f>$T$1</f>
        <v>0.6</v>
      </c>
      <c r="U19" s="539">
        <v>1</v>
      </c>
      <c r="V19" s="539"/>
      <c r="W19" s="539">
        <v>1</v>
      </c>
      <c r="X19" s="539"/>
      <c r="Y19" s="539">
        <v>1</v>
      </c>
      <c r="Z19" s="539"/>
      <c r="AA19" s="539">
        <v>1</v>
      </c>
      <c r="AB19" s="539"/>
      <c r="AC19" s="1134">
        <v>1</v>
      </c>
      <c r="AD19" s="1135"/>
      <c r="AE19" s="1136">
        <v>1</v>
      </c>
      <c r="AF19" s="1137"/>
      <c r="AG19" s="1138">
        <v>1</v>
      </c>
      <c r="AH19" s="1139"/>
      <c r="AI19" s="1139">
        <v>1</v>
      </c>
      <c r="AJ19" s="1140"/>
      <c r="AK19" s="1136">
        <v>1</v>
      </c>
      <c r="AL19" s="1138"/>
      <c r="AM19" s="1138">
        <v>0</v>
      </c>
      <c r="AN19" s="122"/>
      <c r="AO19" s="1586">
        <f t="shared" si="1"/>
        <v>9</v>
      </c>
      <c r="AP19" s="524">
        <f t="shared" si="1"/>
        <v>0.6</v>
      </c>
      <c r="AQ19" s="525">
        <f t="shared" si="2"/>
        <v>8.4</v>
      </c>
      <c r="AR19" s="635"/>
      <c r="AS19" s="1453"/>
      <c r="AT19" s="427"/>
      <c r="AU19" s="349"/>
    </row>
    <row r="20" spans="1:47" s="150" customFormat="1" ht="16" hidden="1" thickBot="1">
      <c r="A20" s="140"/>
      <c r="B20" s="1829"/>
      <c r="C20" s="489" t="s">
        <v>16</v>
      </c>
      <c r="D20" s="157"/>
      <c r="E20" s="437"/>
      <c r="F20" s="602"/>
      <c r="G20" s="877"/>
      <c r="H20" s="603"/>
      <c r="I20" s="356"/>
      <c r="J20" s="159">
        <f t="shared" ref="J20:R20" si="22">SUM(J6:J19)</f>
        <v>0</v>
      </c>
      <c r="K20" s="178">
        <f t="shared" si="22"/>
        <v>7</v>
      </c>
      <c r="L20" s="178">
        <f t="shared" si="22"/>
        <v>7.25</v>
      </c>
      <c r="M20" s="178">
        <f t="shared" si="22"/>
        <v>7</v>
      </c>
      <c r="N20" s="178">
        <f t="shared" si="22"/>
        <v>7</v>
      </c>
      <c r="O20" s="178">
        <f t="shared" si="22"/>
        <v>7</v>
      </c>
      <c r="P20" s="178">
        <f t="shared" si="22"/>
        <v>7.25</v>
      </c>
      <c r="Q20" s="375">
        <f t="shared" si="22"/>
        <v>7.2</v>
      </c>
      <c r="R20" s="375">
        <f t="shared" si="22"/>
        <v>8.1999999999999993</v>
      </c>
      <c r="S20" s="540">
        <f>SUM(S6:S19)</f>
        <v>8</v>
      </c>
      <c r="T20" s="540">
        <f>SUM(T6:T19)</f>
        <v>5.9999999999999991</v>
      </c>
      <c r="U20" s="541">
        <f>SUM(U6:U19)</f>
        <v>9</v>
      </c>
      <c r="V20" s="541"/>
      <c r="W20" s="541">
        <f>SUM(W6:W19)</f>
        <v>9</v>
      </c>
      <c r="X20" s="541"/>
      <c r="Y20" s="541">
        <f>SUM(Y6:Y19)</f>
        <v>9</v>
      </c>
      <c r="Z20" s="541"/>
      <c r="AA20" s="541">
        <f>SUM(AA6:AA19)</f>
        <v>9</v>
      </c>
      <c r="AB20" s="541"/>
      <c r="AC20" s="541">
        <f>SUM(AC6:AC19)</f>
        <v>9</v>
      </c>
      <c r="AD20" s="542"/>
      <c r="AE20" s="161">
        <f>SUM(AE6:AE19)</f>
        <v>9</v>
      </c>
      <c r="AF20" s="159"/>
      <c r="AG20" s="178">
        <f>SUM(AG6:AG19)</f>
        <v>9</v>
      </c>
      <c r="AH20" s="375"/>
      <c r="AI20" s="375">
        <f>SUM(AI6:AI19)</f>
        <v>9</v>
      </c>
      <c r="AJ20" s="185"/>
      <c r="AK20" s="161">
        <f>SUM(AK6:AK19)</f>
        <v>9</v>
      </c>
      <c r="AL20" s="178"/>
      <c r="AM20" s="178">
        <f>SUM(AM6:AM19)</f>
        <v>5.8</v>
      </c>
      <c r="AN20" s="185"/>
      <c r="AO20" s="514">
        <f>SUM(AO6:AO19)</f>
        <v>123</v>
      </c>
      <c r="AP20" s="515">
        <f>SUM(AP6:AP19)</f>
        <v>35.700000000000003</v>
      </c>
      <c r="AQ20" s="516">
        <f>SUM(AQ6:AQ19)</f>
        <v>87.300000000000011</v>
      </c>
      <c r="AR20" s="637">
        <f>SUM(AR6:AR19)</f>
        <v>0</v>
      </c>
      <c r="AS20" s="1520"/>
      <c r="AT20" s="349"/>
      <c r="AU20" s="349"/>
    </row>
    <row r="21" spans="1:47" s="140" customFormat="1" ht="17" hidden="1" customHeight="1">
      <c r="B21" s="1834" t="s">
        <v>581</v>
      </c>
      <c r="C21" s="242" t="s">
        <v>175</v>
      </c>
      <c r="D21" s="1736" t="s">
        <v>13</v>
      </c>
      <c r="E21" s="1737" t="s">
        <v>17</v>
      </c>
      <c r="F21" s="1744" t="s">
        <v>361</v>
      </c>
      <c r="G21" s="1745" t="s">
        <v>628</v>
      </c>
      <c r="H21" s="1746">
        <v>45691</v>
      </c>
      <c r="I21" s="1741">
        <v>45723</v>
      </c>
      <c r="J21" s="360"/>
      <c r="K21" s="56">
        <v>1</v>
      </c>
      <c r="L21" s="53">
        <f t="shared" ref="L21:L26" si="23">K21*$L$1</f>
        <v>1</v>
      </c>
      <c r="M21" s="3">
        <v>0.25</v>
      </c>
      <c r="N21" s="383">
        <f t="shared" ref="N21:N26" si="24">M21*N$1</f>
        <v>0.25</v>
      </c>
      <c r="O21" s="48"/>
      <c r="P21" s="373"/>
      <c r="Q21" s="373"/>
      <c r="R21" s="548"/>
      <c r="S21" s="941"/>
      <c r="T21" s="536"/>
      <c r="U21" s="536"/>
      <c r="V21" s="536"/>
      <c r="W21" s="536"/>
      <c r="X21" s="536"/>
      <c r="Y21" s="536"/>
      <c r="Z21" s="536"/>
      <c r="AA21" s="536"/>
      <c r="AB21" s="536"/>
      <c r="AC21" s="536"/>
      <c r="AD21" s="537"/>
      <c r="AE21" s="27"/>
      <c r="AF21" s="29"/>
      <c r="AG21" s="28"/>
      <c r="AH21" s="374"/>
      <c r="AI21" s="374"/>
      <c r="AJ21" s="25"/>
      <c r="AK21" s="27"/>
      <c r="AL21" s="28"/>
      <c r="AM21" s="1130"/>
      <c r="AN21" s="1142"/>
      <c r="AO21" s="1581">
        <f t="shared" ref="AO21:AP26" si="25">+K21+M21+O21+Q21+S21+U21+W21+Y21+AA21+AC21+AE21+AG21+AI21+AK21+AM21</f>
        <v>1.25</v>
      </c>
      <c r="AP21" s="524">
        <f t="shared" si="25"/>
        <v>1.25</v>
      </c>
      <c r="AQ21" s="525">
        <f t="shared" ref="AQ21:AQ26" si="26">AO21-AP21</f>
        <v>0</v>
      </c>
      <c r="AR21" s="638" t="s">
        <v>886</v>
      </c>
      <c r="AS21" s="1521"/>
      <c r="AT21" s="427"/>
      <c r="AU21" s="349"/>
    </row>
    <row r="22" spans="1:47" s="140" customFormat="1" ht="17" hidden="1" customHeight="1">
      <c r="B22" s="1820"/>
      <c r="C22" s="242" t="s">
        <v>175</v>
      </c>
      <c r="D22" s="1" t="s">
        <v>13</v>
      </c>
      <c r="E22" s="350" t="s">
        <v>17</v>
      </c>
      <c r="F22" s="601" t="s">
        <v>270</v>
      </c>
      <c r="G22" s="949"/>
      <c r="H22" s="834">
        <v>45720</v>
      </c>
      <c r="I22" s="834">
        <v>46112</v>
      </c>
      <c r="J22" s="28"/>
      <c r="K22" s="357"/>
      <c r="L22" s="28"/>
      <c r="M22" s="28">
        <v>1</v>
      </c>
      <c r="N22" s="374">
        <f t="shared" si="24"/>
        <v>1</v>
      </c>
      <c r="O22" s="27">
        <v>1</v>
      </c>
      <c r="P22" s="28">
        <f t="shared" ref="P22:P26" si="27">$P$1*O22</f>
        <v>1</v>
      </c>
      <c r="Q22" s="28">
        <v>1</v>
      </c>
      <c r="R22" s="25">
        <f t="shared" ref="R22:R29" si="28">$Q$1*Q22</f>
        <v>1</v>
      </c>
      <c r="S22" s="29">
        <v>1</v>
      </c>
      <c r="T22" s="556">
        <f>$T$1*S22</f>
        <v>0.6</v>
      </c>
      <c r="U22" s="28">
        <v>1</v>
      </c>
      <c r="V22" s="28"/>
      <c r="W22" s="28">
        <v>1</v>
      </c>
      <c r="X22" s="28"/>
      <c r="Y22" s="28">
        <v>1</v>
      </c>
      <c r="Z22" s="28"/>
      <c r="AA22" s="28">
        <v>1</v>
      </c>
      <c r="AB22" s="28"/>
      <c r="AC22" s="28">
        <v>1</v>
      </c>
      <c r="AD22" s="28"/>
      <c r="AE22" s="28">
        <v>1</v>
      </c>
      <c r="AF22" s="28"/>
      <c r="AG22" s="28">
        <v>1</v>
      </c>
      <c r="AH22" s="28"/>
      <c r="AI22" s="28">
        <v>0.7</v>
      </c>
      <c r="AJ22" s="28"/>
      <c r="AK22" s="676">
        <v>0</v>
      </c>
      <c r="AL22" s="28"/>
      <c r="AM22" s="1130"/>
      <c r="AN22" s="1142"/>
      <c r="AO22" s="1581">
        <f>+K22+M22+O22+Q22+S22+U22+W22+Y22+AA22+AC22+AE22+AG22+AI22+AK22+AM22</f>
        <v>11.7</v>
      </c>
      <c r="AP22" s="524">
        <f t="shared" si="25"/>
        <v>3.6</v>
      </c>
      <c r="AQ22" s="525">
        <f t="shared" si="26"/>
        <v>8.1</v>
      </c>
      <c r="AR22" s="638" t="s">
        <v>886</v>
      </c>
      <c r="AS22" s="1521"/>
      <c r="AT22" s="427"/>
      <c r="AU22" s="349"/>
    </row>
    <row r="23" spans="1:47" s="1424" customFormat="1" ht="17" hidden="1" customHeight="1">
      <c r="B23" s="1820"/>
      <c r="C23" s="242" t="s">
        <v>175</v>
      </c>
      <c r="D23" s="1" t="s">
        <v>13</v>
      </c>
      <c r="E23" s="1443" t="s">
        <v>17</v>
      </c>
      <c r="F23" s="1398" t="s">
        <v>669</v>
      </c>
      <c r="G23" s="1444" t="s">
        <v>697</v>
      </c>
      <c r="H23" s="1445">
        <v>45789</v>
      </c>
      <c r="I23" s="1445">
        <v>45881</v>
      </c>
      <c r="J23" s="1446"/>
      <c r="K23" s="1447"/>
      <c r="L23" s="1446"/>
      <c r="M23" s="1446"/>
      <c r="N23" s="1431"/>
      <c r="O23" s="1448"/>
      <c r="P23" s="1446"/>
      <c r="Q23" s="1009">
        <v>0</v>
      </c>
      <c r="R23" s="1449">
        <v>0.59</v>
      </c>
      <c r="S23" s="29">
        <v>1</v>
      </c>
      <c r="T23" s="556">
        <f>$T$1*S23</f>
        <v>0.6</v>
      </c>
      <c r="U23" s="28">
        <v>1</v>
      </c>
      <c r="V23" s="28"/>
      <c r="W23" s="28">
        <v>1</v>
      </c>
      <c r="X23" s="28"/>
      <c r="Y23" s="1446"/>
      <c r="Z23" s="1446"/>
      <c r="AA23" s="1446"/>
      <c r="AB23" s="1446"/>
      <c r="AC23" s="1446"/>
      <c r="AD23" s="1446"/>
      <c r="AE23" s="1446"/>
      <c r="AF23" s="1446"/>
      <c r="AG23" s="1446"/>
      <c r="AH23" s="1446"/>
      <c r="AI23" s="1446"/>
      <c r="AJ23" s="1446"/>
      <c r="AK23" s="1450"/>
      <c r="AL23" s="1446"/>
      <c r="AM23" s="1446"/>
      <c r="AN23" s="1449"/>
      <c r="AO23" s="1582">
        <f t="shared" si="25"/>
        <v>3</v>
      </c>
      <c r="AP23" s="518">
        <f t="shared" si="25"/>
        <v>1.19</v>
      </c>
      <c r="AQ23" s="519">
        <f t="shared" si="26"/>
        <v>1.81</v>
      </c>
      <c r="AR23" s="638"/>
      <c r="AS23" s="1521"/>
      <c r="AT23" s="427"/>
    </row>
    <row r="24" spans="1:47" s="140" customFormat="1" ht="17" hidden="1" customHeight="1">
      <c r="B24" s="1820"/>
      <c r="C24" s="242" t="s">
        <v>175</v>
      </c>
      <c r="D24" s="1" t="s">
        <v>668</v>
      </c>
      <c r="E24" s="350" t="s">
        <v>17</v>
      </c>
      <c r="F24" s="971" t="s">
        <v>362</v>
      </c>
      <c r="G24" s="989" t="s">
        <v>685</v>
      </c>
      <c r="H24" s="974">
        <v>45691</v>
      </c>
      <c r="I24" s="974">
        <v>45852</v>
      </c>
      <c r="J24" s="28"/>
      <c r="K24" s="419">
        <v>0</v>
      </c>
      <c r="L24" s="419">
        <v>1</v>
      </c>
      <c r="M24" s="419">
        <v>0</v>
      </c>
      <c r="N24" s="495">
        <v>1</v>
      </c>
      <c r="O24" s="1009">
        <v>0</v>
      </c>
      <c r="P24" s="419">
        <f>P1</f>
        <v>1</v>
      </c>
      <c r="Q24" s="1125">
        <v>0</v>
      </c>
      <c r="R24" s="1365">
        <f>R$1*Q1</f>
        <v>1</v>
      </c>
      <c r="S24" s="1360">
        <v>0</v>
      </c>
      <c r="T24" s="1125">
        <f>$T$1</f>
        <v>0.6</v>
      </c>
      <c r="U24" s="1125">
        <v>0</v>
      </c>
      <c r="V24" s="1125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1143"/>
      <c r="AL24" s="28"/>
      <c r="AM24" s="1130"/>
      <c r="AN24" s="1142"/>
      <c r="AO24" s="1581">
        <f t="shared" si="25"/>
        <v>0</v>
      </c>
      <c r="AP24" s="524">
        <f t="shared" si="25"/>
        <v>4.5999999999999996</v>
      </c>
      <c r="AQ24" s="525">
        <f t="shared" si="26"/>
        <v>-4.5999999999999996</v>
      </c>
      <c r="AR24" s="638" t="s">
        <v>888</v>
      </c>
      <c r="AS24" s="1521"/>
      <c r="AT24" s="349"/>
      <c r="AU24" s="349"/>
    </row>
    <row r="25" spans="1:47" s="140" customFormat="1" ht="17" hidden="1" customHeight="1">
      <c r="B25" s="1820"/>
      <c r="C25" s="242" t="s">
        <v>175</v>
      </c>
      <c r="D25" s="1" t="s">
        <v>22</v>
      </c>
      <c r="E25" s="350" t="s">
        <v>17</v>
      </c>
      <c r="F25" s="971" t="s">
        <v>74</v>
      </c>
      <c r="G25" s="989" t="s">
        <v>875</v>
      </c>
      <c r="H25" s="974">
        <v>45833</v>
      </c>
      <c r="I25" s="974">
        <v>46081</v>
      </c>
      <c r="J25" s="28"/>
      <c r="K25" s="28"/>
      <c r="L25" s="28"/>
      <c r="M25" s="28"/>
      <c r="N25" s="374"/>
      <c r="O25" s="27"/>
      <c r="P25" s="28"/>
      <c r="Q25" s="28"/>
      <c r="R25" s="25"/>
      <c r="S25" s="1360">
        <v>0</v>
      </c>
      <c r="T25" s="1125">
        <f>$T$1</f>
        <v>0.6</v>
      </c>
      <c r="U25" s="1125">
        <v>0</v>
      </c>
      <c r="V25" s="1125"/>
      <c r="W25" s="1125">
        <v>0</v>
      </c>
      <c r="X25" s="1125"/>
      <c r="Y25" s="1125">
        <v>0</v>
      </c>
      <c r="Z25" s="1125"/>
      <c r="AA25" s="1125">
        <v>0</v>
      </c>
      <c r="AB25" s="1125"/>
      <c r="AC25" s="1125">
        <v>0</v>
      </c>
      <c r="AD25" s="1125"/>
      <c r="AE25" s="1125">
        <v>0</v>
      </c>
      <c r="AF25" s="1125"/>
      <c r="AG25" s="1125">
        <v>0</v>
      </c>
      <c r="AH25" s="1125"/>
      <c r="AI25" s="1125">
        <v>0</v>
      </c>
      <c r="AJ25" s="1125"/>
      <c r="AK25" s="1143"/>
      <c r="AL25" s="28"/>
      <c r="AM25" s="1130"/>
      <c r="AN25" s="1142"/>
      <c r="AO25" s="1581">
        <f t="shared" ref="AO25" si="29">+K25+M25+O25+Q25+S25+U25+W25+Y25+AA25+AC25+AE25+AG25+AI25+AK25+AM25</f>
        <v>0</v>
      </c>
      <c r="AP25" s="524">
        <f t="shared" si="25"/>
        <v>0.6</v>
      </c>
      <c r="AQ25" s="525">
        <f t="shared" ref="AQ25" si="30">AO25-AP25</f>
        <v>-0.6</v>
      </c>
      <c r="AR25" s="638" t="s">
        <v>886</v>
      </c>
      <c r="AS25" s="1521"/>
      <c r="AT25" s="349"/>
      <c r="AU25" s="349"/>
    </row>
    <row r="26" spans="1:47" s="140" customFormat="1" ht="17" hidden="1" customHeight="1">
      <c r="B26" s="1820"/>
      <c r="C26" s="242" t="s">
        <v>25</v>
      </c>
      <c r="D26" s="1" t="s">
        <v>19</v>
      </c>
      <c r="E26" s="350" t="s">
        <v>17</v>
      </c>
      <c r="F26" s="601" t="s">
        <v>271</v>
      </c>
      <c r="G26" s="599"/>
      <c r="H26" s="600">
        <v>45712</v>
      </c>
      <c r="I26" s="801">
        <v>46053</v>
      </c>
      <c r="J26" s="360"/>
      <c r="K26" s="56">
        <v>0.25</v>
      </c>
      <c r="L26" s="747">
        <f t="shared" si="23"/>
        <v>0.25</v>
      </c>
      <c r="M26" s="3">
        <v>0.25</v>
      </c>
      <c r="N26" s="390">
        <f t="shared" si="24"/>
        <v>0.25</v>
      </c>
      <c r="O26" s="15">
        <v>0.5</v>
      </c>
      <c r="P26" s="378">
        <f t="shared" si="27"/>
        <v>0.5</v>
      </c>
      <c r="Q26" s="1131">
        <v>0.5</v>
      </c>
      <c r="R26" s="557">
        <f t="shared" si="28"/>
        <v>0.5</v>
      </c>
      <c r="S26" s="1144"/>
      <c r="T26" s="536"/>
      <c r="U26" s="1128"/>
      <c r="V26" s="536"/>
      <c r="W26" s="1128"/>
      <c r="X26" s="536"/>
      <c r="Y26" s="1128"/>
      <c r="Z26" s="536"/>
      <c r="AA26" s="1128"/>
      <c r="AB26" s="536"/>
      <c r="AC26" s="1128">
        <v>0.5</v>
      </c>
      <c r="AD26" s="537"/>
      <c r="AE26" s="1129">
        <v>0.5</v>
      </c>
      <c r="AF26" s="29"/>
      <c r="AG26" s="1130">
        <v>0.5</v>
      </c>
      <c r="AH26" s="374"/>
      <c r="AI26" s="1131"/>
      <c r="AJ26" s="25"/>
      <c r="AK26" s="1129"/>
      <c r="AL26" s="28"/>
      <c r="AM26" s="1130"/>
      <c r="AN26" s="1142"/>
      <c r="AO26" s="1581">
        <f t="shared" si="25"/>
        <v>3</v>
      </c>
      <c r="AP26" s="524">
        <f t="shared" si="25"/>
        <v>1.5</v>
      </c>
      <c r="AQ26" s="525">
        <f t="shared" si="26"/>
        <v>1.5</v>
      </c>
      <c r="AR26" s="638" t="s">
        <v>889</v>
      </c>
      <c r="AS26" s="1521"/>
      <c r="AT26" s="427"/>
      <c r="AU26" s="349"/>
    </row>
    <row r="27" spans="1:47" s="140" customFormat="1" ht="17" hidden="1" customHeight="1">
      <c r="B27" s="1820"/>
      <c r="C27" s="242" t="s">
        <v>89</v>
      </c>
      <c r="D27" s="1" t="s">
        <v>19</v>
      </c>
      <c r="E27" s="350" t="s">
        <v>90</v>
      </c>
      <c r="F27" s="599" t="s">
        <v>402</v>
      </c>
      <c r="G27" s="599"/>
      <c r="H27" s="600">
        <v>45740</v>
      </c>
      <c r="I27" s="801">
        <v>46010</v>
      </c>
      <c r="J27" s="360"/>
      <c r="K27" s="56"/>
      <c r="L27" s="747"/>
      <c r="M27" s="56">
        <v>0.25</v>
      </c>
      <c r="N27" s="383">
        <f t="shared" ref="N27:N74" si="31">M27*N$1</f>
        <v>0.25</v>
      </c>
      <c r="O27" s="55"/>
      <c r="P27" s="400"/>
      <c r="Q27" s="400">
        <v>0.75</v>
      </c>
      <c r="R27" s="557">
        <f t="shared" si="28"/>
        <v>0.75</v>
      </c>
      <c r="S27" s="1024"/>
      <c r="T27" s="543"/>
      <c r="U27" s="543"/>
      <c r="V27" s="543"/>
      <c r="W27" s="543"/>
      <c r="X27" s="543"/>
      <c r="Y27" s="543">
        <v>0.25</v>
      </c>
      <c r="Z27" s="543"/>
      <c r="AA27" s="543"/>
      <c r="AB27" s="543"/>
      <c r="AC27" s="543">
        <v>0.25</v>
      </c>
      <c r="AD27" s="544"/>
      <c r="AE27" s="401">
        <v>0.5</v>
      </c>
      <c r="AF27" s="399"/>
      <c r="AG27" s="357"/>
      <c r="AH27" s="400"/>
      <c r="AI27" s="400"/>
      <c r="AJ27" s="208"/>
      <c r="AK27" s="27"/>
      <c r="AL27" s="28"/>
      <c r="AM27" s="1130"/>
      <c r="AN27" s="1142"/>
      <c r="AO27" s="522">
        <f t="shared" ref="AO27:AO29" si="32">+K27+M27+O27+Q27+S27+U27+W27+Y27+AA27+AC27+AE27+AG27+AI27+AK27+AM27</f>
        <v>2</v>
      </c>
      <c r="AP27" s="524">
        <f t="shared" ref="AP27:AP29" si="33">+L27+N27+P27+R27+T27+V27+X27+Z27+AB27+AD27+AF27+AH27+AJ27+AL27+AN27</f>
        <v>1</v>
      </c>
      <c r="AQ27" s="525">
        <f t="shared" ref="AQ27:AQ29" si="34">AO27-AP27</f>
        <v>1</v>
      </c>
      <c r="AR27" s="638" t="s">
        <v>77</v>
      </c>
      <c r="AS27" s="1521"/>
      <c r="AT27" s="349"/>
      <c r="AU27" s="349"/>
    </row>
    <row r="28" spans="1:47" s="140" customFormat="1" ht="17" hidden="1" customHeight="1">
      <c r="B28" s="1820"/>
      <c r="C28" s="242" t="s">
        <v>91</v>
      </c>
      <c r="D28" s="1" t="s">
        <v>21</v>
      </c>
      <c r="E28" s="350" t="s">
        <v>90</v>
      </c>
      <c r="F28" s="599" t="s">
        <v>403</v>
      </c>
      <c r="G28" s="599"/>
      <c r="H28" s="600">
        <v>45733</v>
      </c>
      <c r="I28" s="801">
        <v>46017</v>
      </c>
      <c r="J28" s="360"/>
      <c r="K28" s="357"/>
      <c r="L28" s="357"/>
      <c r="M28" s="357">
        <v>0.25</v>
      </c>
      <c r="N28" s="383">
        <f t="shared" si="31"/>
        <v>0.25</v>
      </c>
      <c r="O28" s="401"/>
      <c r="P28" s="400"/>
      <c r="Q28" s="400"/>
      <c r="R28" s="557">
        <f t="shared" si="28"/>
        <v>0</v>
      </c>
      <c r="S28" s="1024">
        <v>0.5</v>
      </c>
      <c r="T28" s="543"/>
      <c r="U28" s="543"/>
      <c r="V28" s="543"/>
      <c r="W28" s="543"/>
      <c r="X28" s="543"/>
      <c r="Y28" s="543"/>
      <c r="Z28" s="543"/>
      <c r="AA28" s="543"/>
      <c r="AB28" s="543"/>
      <c r="AC28" s="543">
        <v>0.5</v>
      </c>
      <c r="AD28" s="544"/>
      <c r="AE28" s="401">
        <v>1</v>
      </c>
      <c r="AF28" s="399"/>
      <c r="AG28" s="357"/>
      <c r="AH28" s="400"/>
      <c r="AI28" s="400"/>
      <c r="AJ28" s="208"/>
      <c r="AK28" s="27"/>
      <c r="AL28" s="28"/>
      <c r="AM28" s="1130"/>
      <c r="AN28" s="1142"/>
      <c r="AO28" s="522">
        <f t="shared" si="32"/>
        <v>2.25</v>
      </c>
      <c r="AP28" s="524">
        <f t="shared" si="33"/>
        <v>0.25</v>
      </c>
      <c r="AQ28" s="525">
        <f t="shared" si="34"/>
        <v>2</v>
      </c>
      <c r="AR28" s="638" t="s">
        <v>42</v>
      </c>
      <c r="AS28" s="1521"/>
      <c r="AT28" s="349"/>
      <c r="AU28" s="349"/>
    </row>
    <row r="29" spans="1:47" s="140" customFormat="1" ht="17" hidden="1" customHeight="1" thickBot="1">
      <c r="B29" s="1820"/>
      <c r="C29" s="258" t="s">
        <v>122</v>
      </c>
      <c r="D29" s="44" t="s">
        <v>21</v>
      </c>
      <c r="E29" s="491" t="s">
        <v>90</v>
      </c>
      <c r="F29" s="601" t="s">
        <v>404</v>
      </c>
      <c r="G29" s="599"/>
      <c r="H29" s="605">
        <v>45761</v>
      </c>
      <c r="I29" s="801">
        <v>46017</v>
      </c>
      <c r="J29" s="360"/>
      <c r="K29" s="402"/>
      <c r="L29" s="402"/>
      <c r="M29" s="402"/>
      <c r="N29" s="383"/>
      <c r="O29" s="959">
        <v>0.5</v>
      </c>
      <c r="P29" s="827">
        <f t="shared" ref="P29:P36" si="35">$P$1*O29</f>
        <v>0.5</v>
      </c>
      <c r="Q29" s="1026"/>
      <c r="R29" s="1027">
        <f t="shared" si="28"/>
        <v>0</v>
      </c>
      <c r="S29" s="1025"/>
      <c r="T29" s="545"/>
      <c r="U29" s="545"/>
      <c r="V29" s="545"/>
      <c r="W29" s="545"/>
      <c r="X29" s="545"/>
      <c r="Y29" s="545">
        <v>0.5</v>
      </c>
      <c r="Z29" s="545"/>
      <c r="AA29" s="545"/>
      <c r="AB29" s="545"/>
      <c r="AC29" s="545">
        <v>1</v>
      </c>
      <c r="AD29" s="546"/>
      <c r="AE29" s="405">
        <v>1</v>
      </c>
      <c r="AF29" s="403"/>
      <c r="AG29" s="402"/>
      <c r="AH29" s="404"/>
      <c r="AI29" s="404"/>
      <c r="AJ29" s="209"/>
      <c r="AK29" s="39"/>
      <c r="AL29" s="40"/>
      <c r="AM29" s="1138"/>
      <c r="AN29" s="1140"/>
      <c r="AO29" s="522">
        <f t="shared" si="32"/>
        <v>3</v>
      </c>
      <c r="AP29" s="524">
        <f t="shared" si="33"/>
        <v>0.5</v>
      </c>
      <c r="AQ29" s="525">
        <f t="shared" si="34"/>
        <v>2.5</v>
      </c>
      <c r="AR29" s="639" t="s">
        <v>283</v>
      </c>
      <c r="AS29" s="1521"/>
      <c r="AT29" s="349"/>
      <c r="AU29" s="349"/>
    </row>
    <row r="30" spans="1:47" s="150" customFormat="1" ht="17" hidden="1" customHeight="1" thickBot="1">
      <c r="A30" s="140"/>
      <c r="B30" s="1837"/>
      <c r="C30" s="489" t="s">
        <v>16</v>
      </c>
      <c r="D30" s="157"/>
      <c r="E30" s="437"/>
      <c r="F30" s="602"/>
      <c r="G30" s="602"/>
      <c r="H30" s="603"/>
      <c r="I30" s="356"/>
      <c r="J30" s="159">
        <f t="shared" ref="J30:R30" si="36">SUM(J21:J29)</f>
        <v>0</v>
      </c>
      <c r="K30" s="178">
        <f t="shared" si="36"/>
        <v>1.25</v>
      </c>
      <c r="L30" s="178">
        <f t="shared" si="36"/>
        <v>2.25</v>
      </c>
      <c r="M30" s="178">
        <f t="shared" si="36"/>
        <v>2</v>
      </c>
      <c r="N30" s="178">
        <f t="shared" si="36"/>
        <v>3</v>
      </c>
      <c r="O30" s="178">
        <f t="shared" si="36"/>
        <v>2</v>
      </c>
      <c r="P30" s="178">
        <f t="shared" si="36"/>
        <v>3</v>
      </c>
      <c r="Q30" s="377">
        <f t="shared" si="36"/>
        <v>2.25</v>
      </c>
      <c r="R30" s="377">
        <f t="shared" si="36"/>
        <v>3.84</v>
      </c>
      <c r="S30" s="540">
        <f>SUM(S21:S29)</f>
        <v>2.5</v>
      </c>
      <c r="T30" s="540">
        <f>SUM(T21:T29)</f>
        <v>2.4</v>
      </c>
      <c r="U30" s="541">
        <f>SUM(U21:U29)</f>
        <v>2</v>
      </c>
      <c r="V30" s="541"/>
      <c r="W30" s="541">
        <f>SUM(W21:W29)</f>
        <v>2</v>
      </c>
      <c r="X30" s="541"/>
      <c r="Y30" s="541">
        <f>SUM(Y21:Y29)</f>
        <v>1.75</v>
      </c>
      <c r="Z30" s="541"/>
      <c r="AA30" s="541">
        <f>SUM(AA21:AA29)</f>
        <v>1</v>
      </c>
      <c r="AB30" s="541"/>
      <c r="AC30" s="541">
        <f>SUM(AC21:AC29)</f>
        <v>3.25</v>
      </c>
      <c r="AD30" s="542"/>
      <c r="AE30" s="161">
        <f>SUM(AE21:AE29)</f>
        <v>4</v>
      </c>
      <c r="AF30" s="159"/>
      <c r="AG30" s="178">
        <f>SUM(AG21:AG29)</f>
        <v>1.5</v>
      </c>
      <c r="AH30" s="377"/>
      <c r="AI30" s="377">
        <f>SUM(AI21:AI29)</f>
        <v>0.7</v>
      </c>
      <c r="AJ30" s="185"/>
      <c r="AK30" s="161">
        <f>SUM(AK21:AK29)</f>
        <v>0</v>
      </c>
      <c r="AL30" s="178"/>
      <c r="AM30" s="178">
        <f>SUM(AM21:AM29)</f>
        <v>0</v>
      </c>
      <c r="AN30" s="185"/>
      <c r="AO30" s="514">
        <f>+SUM(AO21:AO29)</f>
        <v>26.2</v>
      </c>
      <c r="AP30" s="515">
        <f>+SUM(AP21:AP29)</f>
        <v>14.489999999999998</v>
      </c>
      <c r="AQ30" s="516">
        <f>+SUM(AQ21:AQ29)</f>
        <v>11.71</v>
      </c>
      <c r="AR30" s="637"/>
      <c r="AS30" s="1520"/>
      <c r="AT30" s="349"/>
      <c r="AU30" s="349"/>
    </row>
    <row r="31" spans="1:47" s="140" customFormat="1" ht="17" hidden="1" customHeight="1" thickBot="1">
      <c r="B31" s="1826" t="s">
        <v>349</v>
      </c>
      <c r="C31" s="174" t="s">
        <v>148</v>
      </c>
      <c r="D31" s="93" t="s">
        <v>77</v>
      </c>
      <c r="E31" s="493" t="s">
        <v>101</v>
      </c>
      <c r="F31" s="1662" t="s">
        <v>272</v>
      </c>
      <c r="G31" s="1662"/>
      <c r="H31" s="1663">
        <v>45691</v>
      </c>
      <c r="I31" s="1664">
        <v>45869</v>
      </c>
      <c r="J31" s="359"/>
      <c r="K31" s="7">
        <v>1</v>
      </c>
      <c r="L31" s="4">
        <f t="shared" ref="L31:L34" si="37">K31*$L$1</f>
        <v>1</v>
      </c>
      <c r="M31" s="7">
        <v>1</v>
      </c>
      <c r="N31" s="390">
        <f t="shared" ref="N31:N34" si="38">M31*N$1</f>
        <v>1</v>
      </c>
      <c r="O31" s="957">
        <v>1</v>
      </c>
      <c r="P31" s="701">
        <f t="shared" si="35"/>
        <v>1</v>
      </c>
      <c r="Q31" s="1145">
        <v>1</v>
      </c>
      <c r="R31" s="502">
        <f t="shared" ref="R31:R36" si="39">$Q$1*Q31</f>
        <v>1</v>
      </c>
      <c r="S31" s="1146">
        <v>1</v>
      </c>
      <c r="T31" s="556">
        <f>$T$1*S31</f>
        <v>0.6</v>
      </c>
      <c r="U31" s="1147">
        <v>1</v>
      </c>
      <c r="V31" s="547"/>
      <c r="W31" s="1147">
        <v>1</v>
      </c>
      <c r="X31" s="547"/>
      <c r="Y31" s="1147">
        <v>1</v>
      </c>
      <c r="Z31" s="547"/>
      <c r="AA31" s="1147">
        <v>1</v>
      </c>
      <c r="AB31" s="547"/>
      <c r="AC31" s="1147">
        <v>1</v>
      </c>
      <c r="AD31" s="548"/>
      <c r="AE31" s="1148">
        <v>1</v>
      </c>
      <c r="AF31" s="359"/>
      <c r="AG31" s="1149">
        <v>1</v>
      </c>
      <c r="AH31" s="373"/>
      <c r="AI31" s="1145">
        <v>1</v>
      </c>
      <c r="AJ31" s="50"/>
      <c r="AK31" s="1148">
        <v>1</v>
      </c>
      <c r="AL31" s="49"/>
      <c r="AM31" s="1149">
        <v>1</v>
      </c>
      <c r="AN31" s="50"/>
      <c r="AO31" s="1586">
        <f t="shared" ref="AO31:AP35" si="40">+K31+M31+O31+Q31+S31+U31+W31+Y31+AA31+AC31+AE31+AG31+AI31+AK31+AM31</f>
        <v>15</v>
      </c>
      <c r="AP31" s="524">
        <f t="shared" si="40"/>
        <v>4.5999999999999996</v>
      </c>
      <c r="AQ31" s="525">
        <f t="shared" ref="AQ31:AQ37" si="41">AO31-AP31</f>
        <v>10.4</v>
      </c>
      <c r="AR31" s="640" t="s">
        <v>890</v>
      </c>
      <c r="AS31" s="1521"/>
      <c r="AT31" s="427"/>
      <c r="AU31" s="349"/>
    </row>
    <row r="32" spans="1:47" s="140" customFormat="1" ht="17" hidden="1" customHeight="1">
      <c r="B32" s="1820"/>
      <c r="C32" s="174" t="s">
        <v>148</v>
      </c>
      <c r="D32" s="93" t="s">
        <v>77</v>
      </c>
      <c r="E32" s="1701" t="s">
        <v>1020</v>
      </c>
      <c r="F32" s="1749" t="s">
        <v>1021</v>
      </c>
      <c r="G32" s="1749" t="s">
        <v>598</v>
      </c>
      <c r="H32" s="1390">
        <v>45817</v>
      </c>
      <c r="I32" s="1702">
        <v>45826</v>
      </c>
      <c r="J32" s="366"/>
      <c r="K32" s="4"/>
      <c r="L32" s="4"/>
      <c r="M32" s="4"/>
      <c r="N32" s="390"/>
      <c r="O32" s="214"/>
      <c r="P32" s="390"/>
      <c r="Q32" s="1179"/>
      <c r="R32" s="506"/>
      <c r="S32" s="1782">
        <v>0</v>
      </c>
      <c r="T32" s="1783">
        <f>$T$1</f>
        <v>0.6</v>
      </c>
      <c r="U32" s="1357"/>
      <c r="V32" s="556"/>
      <c r="W32" s="1357"/>
      <c r="X32" s="556"/>
      <c r="Y32" s="1357"/>
      <c r="Z32" s="556"/>
      <c r="AA32" s="1357"/>
      <c r="AB32" s="556"/>
      <c r="AC32" s="1357"/>
      <c r="AD32" s="557"/>
      <c r="AE32" s="1359"/>
      <c r="AF32" s="366"/>
      <c r="AG32" s="1182"/>
      <c r="AH32" s="383"/>
      <c r="AI32" s="1179"/>
      <c r="AJ32" s="54"/>
      <c r="AK32" s="1359"/>
      <c r="AL32" s="53"/>
      <c r="AM32" s="1182"/>
      <c r="AN32" s="54"/>
      <c r="AO32" s="1586">
        <f t="shared" si="40"/>
        <v>0</v>
      </c>
      <c r="AP32" s="524">
        <f t="shared" si="40"/>
        <v>0.6</v>
      </c>
      <c r="AQ32" s="525">
        <f t="shared" si="41"/>
        <v>-0.6</v>
      </c>
      <c r="AR32" s="643" t="s">
        <v>889</v>
      </c>
      <c r="AS32" s="1521"/>
      <c r="AT32" s="427"/>
      <c r="AU32" s="349"/>
    </row>
    <row r="33" spans="1:47" s="140" customFormat="1" ht="17" hidden="1" customHeight="1">
      <c r="B33" s="1820"/>
      <c r="C33" s="242" t="s">
        <v>201</v>
      </c>
      <c r="D33" s="95" t="s">
        <v>13</v>
      </c>
      <c r="E33" s="350" t="s">
        <v>101</v>
      </c>
      <c r="F33" s="599" t="s">
        <v>273</v>
      </c>
      <c r="G33" s="599"/>
      <c r="H33" s="600">
        <v>45691</v>
      </c>
      <c r="I33" s="800">
        <v>46112</v>
      </c>
      <c r="J33" s="29"/>
      <c r="K33" s="3">
        <v>1</v>
      </c>
      <c r="L33" s="4">
        <f t="shared" si="37"/>
        <v>1</v>
      </c>
      <c r="M33" s="3">
        <v>1</v>
      </c>
      <c r="N33" s="390">
        <f t="shared" si="38"/>
        <v>1</v>
      </c>
      <c r="O33" s="211">
        <v>1</v>
      </c>
      <c r="P33" s="378">
        <f t="shared" si="35"/>
        <v>1</v>
      </c>
      <c r="Q33" s="1131">
        <v>1</v>
      </c>
      <c r="R33" s="506">
        <f t="shared" si="39"/>
        <v>1</v>
      </c>
      <c r="S33" s="1150">
        <v>1</v>
      </c>
      <c r="T33" s="556">
        <f t="shared" ref="T33:T34" si="42">$T$1*S33</f>
        <v>0.6</v>
      </c>
      <c r="U33" s="1128">
        <v>1</v>
      </c>
      <c r="V33" s="536"/>
      <c r="W33" s="1128">
        <v>1</v>
      </c>
      <c r="X33" s="536"/>
      <c r="Y33" s="1128">
        <v>1</v>
      </c>
      <c r="Z33" s="536"/>
      <c r="AA33" s="1128">
        <v>1</v>
      </c>
      <c r="AB33" s="536"/>
      <c r="AC33" s="1128">
        <v>1</v>
      </c>
      <c r="AD33" s="537"/>
      <c r="AE33" s="1129">
        <v>1</v>
      </c>
      <c r="AF33" s="29"/>
      <c r="AG33" s="1130">
        <v>1</v>
      </c>
      <c r="AH33" s="374"/>
      <c r="AI33" s="1131">
        <v>1</v>
      </c>
      <c r="AJ33" s="25"/>
      <c r="AK33" s="1129">
        <v>1</v>
      </c>
      <c r="AL33" s="28"/>
      <c r="AM33" s="1130"/>
      <c r="AN33" s="25"/>
      <c r="AO33" s="1586">
        <f t="shared" si="40"/>
        <v>14</v>
      </c>
      <c r="AP33" s="524">
        <f t="shared" si="40"/>
        <v>4.5999999999999996</v>
      </c>
      <c r="AQ33" s="525">
        <f t="shared" si="41"/>
        <v>9.4</v>
      </c>
      <c r="AR33" s="638" t="s">
        <v>886</v>
      </c>
      <c r="AS33" s="1521"/>
      <c r="AT33" s="427"/>
      <c r="AU33" s="349"/>
    </row>
    <row r="34" spans="1:47" s="140" customFormat="1" ht="17" hidden="1" customHeight="1">
      <c r="B34" s="1827"/>
      <c r="C34" s="242" t="s">
        <v>617</v>
      </c>
      <c r="D34" s="95" t="s">
        <v>21</v>
      </c>
      <c r="E34" s="350" t="s">
        <v>101</v>
      </c>
      <c r="F34" s="599" t="s">
        <v>363</v>
      </c>
      <c r="G34" s="599"/>
      <c r="H34" s="600">
        <v>45705</v>
      </c>
      <c r="I34" s="800">
        <v>46142</v>
      </c>
      <c r="J34" s="361"/>
      <c r="K34" s="3">
        <v>0.5</v>
      </c>
      <c r="L34" s="4">
        <f t="shared" si="37"/>
        <v>0.5</v>
      </c>
      <c r="M34" s="3">
        <v>1</v>
      </c>
      <c r="N34" s="390">
        <f t="shared" si="38"/>
        <v>1</v>
      </c>
      <c r="O34" s="211">
        <v>1</v>
      </c>
      <c r="P34" s="378">
        <f t="shared" si="35"/>
        <v>1</v>
      </c>
      <c r="Q34" s="1131">
        <v>1</v>
      </c>
      <c r="R34" s="506">
        <f t="shared" si="39"/>
        <v>1</v>
      </c>
      <c r="S34" s="1150">
        <v>1</v>
      </c>
      <c r="T34" s="556">
        <f t="shared" si="42"/>
        <v>0.6</v>
      </c>
      <c r="U34" s="1128">
        <v>1</v>
      </c>
      <c r="V34" s="536"/>
      <c r="W34" s="1128">
        <v>1</v>
      </c>
      <c r="X34" s="536"/>
      <c r="Y34" s="1128">
        <v>1</v>
      </c>
      <c r="Z34" s="536"/>
      <c r="AA34" s="1128">
        <v>1</v>
      </c>
      <c r="AB34" s="536"/>
      <c r="AC34" s="1128">
        <v>1</v>
      </c>
      <c r="AD34" s="537"/>
      <c r="AE34" s="675">
        <v>0.5</v>
      </c>
      <c r="AF34" s="676"/>
      <c r="AG34" s="674">
        <v>0</v>
      </c>
      <c r="AH34" s="495"/>
      <c r="AI34" s="674">
        <v>0</v>
      </c>
      <c r="AJ34" s="677"/>
      <c r="AK34" s="674">
        <v>0</v>
      </c>
      <c r="AL34" s="419"/>
      <c r="AM34" s="674">
        <v>0</v>
      </c>
      <c r="AN34" s="677"/>
      <c r="AO34" s="1586">
        <f t="shared" si="40"/>
        <v>10</v>
      </c>
      <c r="AP34" s="524">
        <f>+L34+N34+P34+R33+T34+V34+X34+Z34+AB34+AD34+AF34+AH34+AJ34+AL34+AN34</f>
        <v>4.0999999999999996</v>
      </c>
      <c r="AQ34" s="525">
        <f t="shared" si="41"/>
        <v>5.9</v>
      </c>
      <c r="AR34" s="638" t="s">
        <v>886</v>
      </c>
      <c r="AS34" s="1521"/>
      <c r="AT34" s="427"/>
      <c r="AU34" s="349"/>
    </row>
    <row r="35" spans="1:47" s="140" customFormat="1" ht="17" hidden="1" customHeight="1">
      <c r="B35" s="1827"/>
      <c r="C35" s="242" t="s">
        <v>174</v>
      </c>
      <c r="D35" s="95" t="s">
        <v>22</v>
      </c>
      <c r="E35" s="350" t="s">
        <v>101</v>
      </c>
      <c r="F35" s="833" t="s">
        <v>364</v>
      </c>
      <c r="G35" s="831" t="s">
        <v>650</v>
      </c>
      <c r="H35" s="917">
        <v>45705</v>
      </c>
      <c r="I35" s="918">
        <v>46142</v>
      </c>
      <c r="J35" s="361"/>
      <c r="K35" s="419">
        <v>0</v>
      </c>
      <c r="L35" s="673">
        <v>1</v>
      </c>
      <c r="M35" s="419">
        <v>0</v>
      </c>
      <c r="N35" s="765">
        <v>1</v>
      </c>
      <c r="O35" s="958">
        <v>0</v>
      </c>
      <c r="P35" s="495">
        <f>P1</f>
        <v>1</v>
      </c>
      <c r="Q35" s="1126">
        <v>0</v>
      </c>
      <c r="R35" s="1366">
        <f>R$1*Q1</f>
        <v>1</v>
      </c>
      <c r="S35" s="1126">
        <v>0</v>
      </c>
      <c r="T35" s="1125">
        <f>$T$1</f>
        <v>0.6</v>
      </c>
      <c r="U35" s="1126">
        <v>0</v>
      </c>
      <c r="V35" s="1126"/>
      <c r="W35" s="1126">
        <v>0</v>
      </c>
      <c r="X35" s="1126"/>
      <c r="Y35" s="1126">
        <v>0</v>
      </c>
      <c r="Z35" s="1126"/>
      <c r="AA35" s="1126">
        <v>0</v>
      </c>
      <c r="AB35" s="1126"/>
      <c r="AC35" s="1126">
        <v>0</v>
      </c>
      <c r="AD35" s="1367"/>
      <c r="AE35" s="1126">
        <v>0</v>
      </c>
      <c r="AF35" s="1360"/>
      <c r="AG35" s="1126">
        <v>0</v>
      </c>
      <c r="AH35" s="1374"/>
      <c r="AI35" s="1126">
        <v>0</v>
      </c>
      <c r="AJ35" s="1365"/>
      <c r="AK35" s="1126">
        <v>0</v>
      </c>
      <c r="AL35" s="1125"/>
      <c r="AM35" s="1126">
        <v>0</v>
      </c>
      <c r="AN35" s="1365"/>
      <c r="AO35" s="1586">
        <f t="shared" si="40"/>
        <v>0</v>
      </c>
      <c r="AP35" s="524">
        <f t="shared" si="40"/>
        <v>4.5999999999999996</v>
      </c>
      <c r="AQ35" s="525">
        <f t="shared" si="41"/>
        <v>-4.5999999999999996</v>
      </c>
      <c r="AR35" s="638" t="s">
        <v>895</v>
      </c>
      <c r="AS35" s="1521"/>
      <c r="AT35" s="349"/>
      <c r="AU35" s="349"/>
    </row>
    <row r="36" spans="1:47" s="140" customFormat="1" ht="17" hidden="1" customHeight="1">
      <c r="B36" s="1828"/>
      <c r="C36" s="258" t="s">
        <v>586</v>
      </c>
      <c r="D36" s="1742" t="s">
        <v>19</v>
      </c>
      <c r="E36" s="1737" t="s">
        <v>101</v>
      </c>
      <c r="F36" s="1744" t="s">
        <v>585</v>
      </c>
      <c r="G36" s="1747" t="s">
        <v>877</v>
      </c>
      <c r="H36" s="1746">
        <v>45748</v>
      </c>
      <c r="I36" s="1741">
        <v>45807</v>
      </c>
      <c r="J36" s="363"/>
      <c r="K36" s="3"/>
      <c r="L36" s="3"/>
      <c r="M36" s="3"/>
      <c r="N36" s="3"/>
      <c r="O36" s="145">
        <v>1</v>
      </c>
      <c r="P36" s="3">
        <f t="shared" si="35"/>
        <v>1</v>
      </c>
      <c r="Q36" s="1130">
        <v>1</v>
      </c>
      <c r="R36" s="28">
        <f t="shared" si="39"/>
        <v>1</v>
      </c>
      <c r="S36" s="1130"/>
      <c r="T36" s="1130"/>
      <c r="U36" s="1130"/>
      <c r="V36" s="1130"/>
      <c r="W36" s="1130"/>
      <c r="X36" s="1130"/>
      <c r="Y36" s="1130"/>
      <c r="Z36" s="1130"/>
      <c r="AA36" s="1130"/>
      <c r="AB36" s="1130"/>
      <c r="AC36" s="1130"/>
      <c r="AD36" s="1130"/>
      <c r="AE36" s="1130"/>
      <c r="AF36" s="1130"/>
      <c r="AG36" s="1130"/>
      <c r="AH36" s="1130"/>
      <c r="AI36" s="1130"/>
      <c r="AJ36" s="1130"/>
      <c r="AK36" s="1130"/>
      <c r="AL36" s="1130"/>
      <c r="AM36" s="1130"/>
      <c r="AN36" s="1130"/>
      <c r="AO36" s="1596">
        <f t="shared" ref="AO36:AP37" si="43">+K36+M36+O36+Q36+S36+U36+W36+Y36+AA36+AC36+AE36+AG36+AI36+AK36+AM36</f>
        <v>2</v>
      </c>
      <c r="AP36" s="524">
        <f t="shared" si="43"/>
        <v>2</v>
      </c>
      <c r="AQ36" s="525">
        <f t="shared" si="41"/>
        <v>0</v>
      </c>
      <c r="AR36" s="639"/>
      <c r="AS36" s="1521"/>
      <c r="AT36" s="427"/>
      <c r="AU36" s="349"/>
    </row>
    <row r="37" spans="1:47" s="140" customFormat="1" ht="17" hidden="1" customHeight="1" thickBot="1">
      <c r="B37" s="1829"/>
      <c r="C37" s="849" t="s">
        <v>174</v>
      </c>
      <c r="D37" s="850" t="s">
        <v>21</v>
      </c>
      <c r="E37" s="851" t="s">
        <v>101</v>
      </c>
      <c r="F37" s="852" t="s">
        <v>365</v>
      </c>
      <c r="G37" s="848" t="s">
        <v>636</v>
      </c>
      <c r="H37" s="853">
        <v>45839</v>
      </c>
      <c r="I37" s="854">
        <v>46142</v>
      </c>
      <c r="J37" s="363"/>
      <c r="K37" s="8"/>
      <c r="L37" s="5"/>
      <c r="M37" s="5"/>
      <c r="N37" s="827"/>
      <c r="O37" s="959"/>
      <c r="P37" s="8"/>
      <c r="Q37" s="1151"/>
      <c r="R37" s="1152"/>
      <c r="S37" s="1151"/>
      <c r="T37" s="1151"/>
      <c r="U37" s="596">
        <v>1</v>
      </c>
      <c r="V37" s="596"/>
      <c r="W37" s="596">
        <v>1</v>
      </c>
      <c r="X37" s="596"/>
      <c r="Y37" s="596">
        <v>1</v>
      </c>
      <c r="Z37" s="596"/>
      <c r="AA37" s="596">
        <v>1</v>
      </c>
      <c r="AB37" s="596"/>
      <c r="AC37" s="596">
        <v>1</v>
      </c>
      <c r="AD37" s="1595"/>
      <c r="AE37" s="536">
        <v>1</v>
      </c>
      <c r="AF37" s="360"/>
      <c r="AG37" s="536">
        <v>1</v>
      </c>
      <c r="AH37" s="376"/>
      <c r="AI37" s="536">
        <v>1</v>
      </c>
      <c r="AJ37" s="122"/>
      <c r="AK37" s="536">
        <v>1</v>
      </c>
      <c r="AL37" s="40"/>
      <c r="AM37" s="536">
        <v>1</v>
      </c>
      <c r="AN37" s="122"/>
      <c r="AO37" s="1597">
        <f t="shared" si="43"/>
        <v>10</v>
      </c>
      <c r="AP37" s="626">
        <f t="shared" si="43"/>
        <v>0</v>
      </c>
      <c r="AQ37" s="625">
        <f t="shared" si="41"/>
        <v>10</v>
      </c>
      <c r="AR37" s="639"/>
      <c r="AS37" s="1521"/>
      <c r="AT37" s="427"/>
      <c r="AU37" s="349"/>
    </row>
    <row r="38" spans="1:47" s="140" customFormat="1" ht="17" hidden="1" customHeight="1">
      <c r="B38" s="1826"/>
      <c r="C38" s="422" t="s">
        <v>240</v>
      </c>
      <c r="D38" s="570" t="s">
        <v>42</v>
      </c>
      <c r="E38" s="598" t="s">
        <v>40</v>
      </c>
      <c r="F38" s="933" t="s">
        <v>572</v>
      </c>
      <c r="G38" s="927"/>
      <c r="H38" s="609">
        <v>45733</v>
      </c>
      <c r="I38" s="803">
        <v>46096</v>
      </c>
      <c r="J38" s="586"/>
      <c r="K38" s="584"/>
      <c r="L38" s="585"/>
      <c r="M38" s="585">
        <v>0.5</v>
      </c>
      <c r="N38" s="53">
        <f t="shared" si="31"/>
        <v>0.5</v>
      </c>
      <c r="O38" s="212">
        <v>1</v>
      </c>
      <c r="P38" s="383">
        <f t="shared" ref="P38:P43" si="44">$P$1*O38</f>
        <v>1</v>
      </c>
      <c r="Q38" s="1153">
        <v>1</v>
      </c>
      <c r="R38" s="506">
        <f t="shared" ref="R38:R41" si="45">$Q$1*Q38</f>
        <v>1</v>
      </c>
      <c r="S38" s="1154">
        <v>1</v>
      </c>
      <c r="T38" s="556">
        <f t="shared" ref="T38:T42" si="46">$T$1*S38</f>
        <v>0.6</v>
      </c>
      <c r="U38" s="1155">
        <v>1</v>
      </c>
      <c r="V38" s="1155"/>
      <c r="W38" s="1155">
        <v>1</v>
      </c>
      <c r="X38" s="1155"/>
      <c r="Y38" s="1155">
        <v>1</v>
      </c>
      <c r="Z38" s="1155"/>
      <c r="AA38" s="1155">
        <v>1</v>
      </c>
      <c r="AB38" s="1155"/>
      <c r="AC38" s="1155">
        <v>1</v>
      </c>
      <c r="AD38" s="1156"/>
      <c r="AE38" s="1157">
        <v>1</v>
      </c>
      <c r="AF38" s="1158"/>
      <c r="AG38" s="1159">
        <v>1</v>
      </c>
      <c r="AH38" s="1160"/>
      <c r="AI38" s="1160">
        <v>1</v>
      </c>
      <c r="AJ38" s="1161"/>
      <c r="AK38" s="731">
        <v>0.5</v>
      </c>
      <c r="AL38" s="49"/>
      <c r="AM38" s="49"/>
      <c r="AN38" s="50"/>
      <c r="AO38" s="1586">
        <f t="shared" ref="AO38:AO45" si="47">+K38+M38+O38+Q38+S38+U38+W38+Y38+AA38+AC38+AE38+AG38+AI38+AK38+AM38</f>
        <v>12</v>
      </c>
      <c r="AP38" s="524">
        <f t="shared" ref="AP38:AP45" si="48">+L38+N38+P38+R38+T38+V38+X38+Z38+AB38+AD38+AF38+AH38+AJ38+AL38+AN38</f>
        <v>3.1</v>
      </c>
      <c r="AQ38" s="525">
        <f t="shared" ref="AQ38:AQ45" si="49">AO38-AP38</f>
        <v>8.9</v>
      </c>
      <c r="AR38" s="641"/>
      <c r="AS38" s="1453"/>
      <c r="AT38" s="349"/>
      <c r="AU38" s="349"/>
    </row>
    <row r="39" spans="1:47" s="140" customFormat="1" ht="17" hidden="1" customHeight="1">
      <c r="B39" s="1820"/>
      <c r="C39" s="177" t="s">
        <v>248</v>
      </c>
      <c r="D39" s="217" t="s">
        <v>42</v>
      </c>
      <c r="E39" s="533" t="s">
        <v>40</v>
      </c>
      <c r="F39" s="934" t="s">
        <v>350</v>
      </c>
      <c r="G39" s="928"/>
      <c r="H39" s="611">
        <v>45698</v>
      </c>
      <c r="I39" s="804">
        <v>45877</v>
      </c>
      <c r="J39" s="589"/>
      <c r="K39" s="829">
        <v>0.75</v>
      </c>
      <c r="L39" s="725">
        <f t="shared" ref="L39" si="50">K39*$L$1</f>
        <v>0.75</v>
      </c>
      <c r="M39" s="583">
        <v>1</v>
      </c>
      <c r="N39" s="53">
        <f t="shared" si="31"/>
        <v>1</v>
      </c>
      <c r="O39" s="145">
        <v>1</v>
      </c>
      <c r="P39" s="374">
        <f t="shared" si="44"/>
        <v>1</v>
      </c>
      <c r="Q39" s="1162">
        <v>1</v>
      </c>
      <c r="R39" s="506">
        <f t="shared" si="45"/>
        <v>1</v>
      </c>
      <c r="S39" s="1163">
        <v>1</v>
      </c>
      <c r="T39" s="556">
        <f t="shared" si="46"/>
        <v>0.6</v>
      </c>
      <c r="U39" s="1164">
        <v>1</v>
      </c>
      <c r="V39" s="1164"/>
      <c r="W39" s="549">
        <v>0.25</v>
      </c>
      <c r="X39" s="549"/>
      <c r="Y39" s="549"/>
      <c r="Z39" s="549"/>
      <c r="AA39" s="549"/>
      <c r="AB39" s="549"/>
      <c r="AC39" s="549"/>
      <c r="AD39" s="550"/>
      <c r="AE39" s="283"/>
      <c r="AF39" s="362"/>
      <c r="AG39" s="219"/>
      <c r="AH39" s="379"/>
      <c r="AI39" s="379"/>
      <c r="AJ39" s="284"/>
      <c r="AK39" s="27"/>
      <c r="AL39" s="28"/>
      <c r="AM39" s="28"/>
      <c r="AN39" s="25"/>
      <c r="AO39" s="719">
        <f t="shared" si="47"/>
        <v>6</v>
      </c>
      <c r="AP39" s="524">
        <f t="shared" si="48"/>
        <v>4.3499999999999996</v>
      </c>
      <c r="AQ39" s="525">
        <f t="shared" si="49"/>
        <v>1.6500000000000004</v>
      </c>
      <c r="AR39" s="635"/>
      <c r="AS39" s="1453"/>
      <c r="AT39" s="349"/>
      <c r="AU39" s="349"/>
    </row>
    <row r="40" spans="1:47" s="140" customFormat="1" ht="17" hidden="1" customHeight="1">
      <c r="B40" s="1820"/>
      <c r="C40" s="177" t="s">
        <v>249</v>
      </c>
      <c r="D40" s="217" t="s">
        <v>42</v>
      </c>
      <c r="E40" s="533" t="s">
        <v>40</v>
      </c>
      <c r="F40" s="934" t="s">
        <v>351</v>
      </c>
      <c r="G40" s="928"/>
      <c r="H40" s="611">
        <v>45740</v>
      </c>
      <c r="I40" s="804">
        <v>45892</v>
      </c>
      <c r="J40" s="589"/>
      <c r="K40" s="588"/>
      <c r="L40" s="583"/>
      <c r="M40" s="759">
        <v>0.25</v>
      </c>
      <c r="N40" s="53">
        <f t="shared" si="31"/>
        <v>0.25</v>
      </c>
      <c r="O40" s="145">
        <v>1</v>
      </c>
      <c r="P40" s="374">
        <f t="shared" si="44"/>
        <v>1</v>
      </c>
      <c r="Q40" s="1162">
        <v>1</v>
      </c>
      <c r="R40" s="506">
        <f t="shared" si="45"/>
        <v>1</v>
      </c>
      <c r="S40" s="1163">
        <v>1</v>
      </c>
      <c r="T40" s="556">
        <f t="shared" si="46"/>
        <v>0.6</v>
      </c>
      <c r="U40" s="1164">
        <v>1</v>
      </c>
      <c r="V40" s="1164"/>
      <c r="W40" s="549">
        <v>0.75</v>
      </c>
      <c r="X40" s="549"/>
      <c r="Y40" s="549"/>
      <c r="Z40" s="549"/>
      <c r="AA40" s="549"/>
      <c r="AB40" s="549"/>
      <c r="AC40" s="549"/>
      <c r="AD40" s="550"/>
      <c r="AE40" s="283"/>
      <c r="AF40" s="362"/>
      <c r="AG40" s="219"/>
      <c r="AH40" s="379"/>
      <c r="AI40" s="379"/>
      <c r="AJ40" s="284"/>
      <c r="AK40" s="27"/>
      <c r="AL40" s="28"/>
      <c r="AM40" s="28"/>
      <c r="AN40" s="25"/>
      <c r="AO40" s="719">
        <f t="shared" si="47"/>
        <v>5</v>
      </c>
      <c r="AP40" s="524">
        <f t="shared" si="48"/>
        <v>2.85</v>
      </c>
      <c r="AQ40" s="525">
        <f t="shared" si="49"/>
        <v>2.15</v>
      </c>
      <c r="AR40" s="635"/>
      <c r="AS40" s="1453"/>
      <c r="AT40" s="349"/>
      <c r="AU40" s="349"/>
    </row>
    <row r="41" spans="1:47" s="140" customFormat="1" ht="17" hidden="1" customHeight="1">
      <c r="B41" s="1820"/>
      <c r="C41" s="177" t="s">
        <v>250</v>
      </c>
      <c r="D41" s="217" t="s">
        <v>42</v>
      </c>
      <c r="E41" s="533" t="s">
        <v>40</v>
      </c>
      <c r="F41" s="934" t="s">
        <v>610</v>
      </c>
      <c r="G41" s="928"/>
      <c r="H41" s="611">
        <v>45761</v>
      </c>
      <c r="I41" s="804">
        <v>46035</v>
      </c>
      <c r="J41" s="362"/>
      <c r="K41" s="219"/>
      <c r="L41" s="734"/>
      <c r="M41" s="734"/>
      <c r="N41" s="53"/>
      <c r="O41" s="145">
        <v>0.5</v>
      </c>
      <c r="P41" s="374">
        <f t="shared" si="44"/>
        <v>0.5</v>
      </c>
      <c r="Q41" s="1162">
        <v>1</v>
      </c>
      <c r="R41" s="506">
        <f t="shared" si="45"/>
        <v>1</v>
      </c>
      <c r="S41" s="1163">
        <v>1</v>
      </c>
      <c r="T41" s="556">
        <f t="shared" si="46"/>
        <v>0.6</v>
      </c>
      <c r="U41" s="1165">
        <v>1</v>
      </c>
      <c r="V41" s="1165"/>
      <c r="W41" s="1165">
        <v>1</v>
      </c>
      <c r="X41" s="1165"/>
      <c r="Y41" s="1165">
        <v>1</v>
      </c>
      <c r="Z41" s="1165"/>
      <c r="AA41" s="549">
        <v>1</v>
      </c>
      <c r="AB41" s="549"/>
      <c r="AC41" s="549">
        <v>1</v>
      </c>
      <c r="AD41" s="550"/>
      <c r="AE41" s="1166">
        <v>1</v>
      </c>
      <c r="AF41" s="1167"/>
      <c r="AG41" s="1164">
        <v>0.5</v>
      </c>
      <c r="AH41" s="1168"/>
      <c r="AI41" s="379"/>
      <c r="AJ41" s="284"/>
      <c r="AK41" s="27"/>
      <c r="AL41" s="28"/>
      <c r="AM41" s="28"/>
      <c r="AN41" s="25"/>
      <c r="AO41" s="719">
        <f t="shared" si="47"/>
        <v>9</v>
      </c>
      <c r="AP41" s="524">
        <f t="shared" si="48"/>
        <v>2.1</v>
      </c>
      <c r="AQ41" s="525">
        <f t="shared" si="49"/>
        <v>6.9</v>
      </c>
      <c r="AR41" s="635"/>
      <c r="AS41" s="1453"/>
      <c r="AT41" s="349"/>
      <c r="AU41" s="349"/>
    </row>
    <row r="42" spans="1:47" s="140" customFormat="1" ht="17" hidden="1" customHeight="1">
      <c r="B42" s="1820"/>
      <c r="C42" s="904" t="s">
        <v>241</v>
      </c>
      <c r="D42" s="905" t="s">
        <v>42</v>
      </c>
      <c r="E42" s="533" t="s">
        <v>40</v>
      </c>
      <c r="F42" s="934" t="s">
        <v>665</v>
      </c>
      <c r="G42" s="929"/>
      <c r="H42" s="611">
        <v>45796</v>
      </c>
      <c r="I42" s="804">
        <v>45918</v>
      </c>
      <c r="J42" s="362"/>
      <c r="K42" s="219"/>
      <c r="L42" s="734"/>
      <c r="M42" s="734"/>
      <c r="N42" s="53"/>
      <c r="O42" s="145"/>
      <c r="P42" s="587"/>
      <c r="Q42" s="1162">
        <v>0.5</v>
      </c>
      <c r="R42" s="1169">
        <v>0.5</v>
      </c>
      <c r="S42" s="1163">
        <v>1</v>
      </c>
      <c r="T42" s="556">
        <f t="shared" si="46"/>
        <v>0.6</v>
      </c>
      <c r="U42" s="1164">
        <v>1</v>
      </c>
      <c r="V42" s="1164"/>
      <c r="W42" s="1164">
        <v>1</v>
      </c>
      <c r="X42" s="1599"/>
      <c r="Y42" s="1164">
        <v>0.5</v>
      </c>
      <c r="Z42" s="1164"/>
      <c r="AA42" s="1164"/>
      <c r="AB42" s="1164"/>
      <c r="AC42" s="549"/>
      <c r="AD42" s="550"/>
      <c r="AE42" s="283"/>
      <c r="AF42" s="362"/>
      <c r="AG42" s="219"/>
      <c r="AH42" s="379"/>
      <c r="AI42" s="379"/>
      <c r="AJ42" s="284"/>
      <c r="AK42" s="27"/>
      <c r="AL42" s="28"/>
      <c r="AM42" s="28"/>
      <c r="AN42" s="25"/>
      <c r="AO42" s="719">
        <f t="shared" si="47"/>
        <v>4</v>
      </c>
      <c r="AP42" s="524">
        <f t="shared" si="48"/>
        <v>1.1000000000000001</v>
      </c>
      <c r="AQ42" s="525">
        <f t="shared" si="49"/>
        <v>2.9</v>
      </c>
      <c r="AR42" s="635"/>
      <c r="AS42" s="1453"/>
      <c r="AT42" s="349"/>
      <c r="AU42" s="349"/>
    </row>
    <row r="43" spans="1:47" s="140" customFormat="1" ht="17" hidden="1" customHeight="1">
      <c r="B43" s="1820"/>
      <c r="C43" s="858" t="s">
        <v>242</v>
      </c>
      <c r="D43" s="905" t="s">
        <v>42</v>
      </c>
      <c r="E43" s="533" t="s">
        <v>40</v>
      </c>
      <c r="F43" s="934" t="s">
        <v>611</v>
      </c>
      <c r="G43" s="928"/>
      <c r="H43" s="611">
        <v>45761</v>
      </c>
      <c r="I43" s="804">
        <v>45821</v>
      </c>
      <c r="J43" s="362"/>
      <c r="K43" s="219"/>
      <c r="L43" s="734"/>
      <c r="M43" s="583"/>
      <c r="N43" s="53"/>
      <c r="O43" s="145">
        <v>0.5</v>
      </c>
      <c r="P43" s="374">
        <f t="shared" si="44"/>
        <v>0.5</v>
      </c>
      <c r="Q43" s="1162">
        <v>1</v>
      </c>
      <c r="R43" s="506">
        <f>$Q$1*Q43</f>
        <v>1</v>
      </c>
      <c r="S43" s="1163">
        <v>0.5</v>
      </c>
      <c r="T43" s="1164"/>
      <c r="U43" s="1164"/>
      <c r="V43" s="1164"/>
      <c r="W43" s="1164"/>
      <c r="X43" s="1164"/>
      <c r="Y43" s="1164"/>
      <c r="Z43" s="1164"/>
      <c r="AA43" s="549"/>
      <c r="AB43" s="549"/>
      <c r="AC43" s="549"/>
      <c r="AD43" s="550"/>
      <c r="AE43" s="283"/>
      <c r="AF43" s="362"/>
      <c r="AG43" s="219"/>
      <c r="AH43" s="379"/>
      <c r="AI43" s="379"/>
      <c r="AJ43" s="284"/>
      <c r="AK43" s="27"/>
      <c r="AL43" s="28"/>
      <c r="AM43" s="28"/>
      <c r="AN43" s="25"/>
      <c r="AO43" s="719">
        <f t="shared" si="47"/>
        <v>2</v>
      </c>
      <c r="AP43" s="524">
        <f t="shared" si="48"/>
        <v>1.5</v>
      </c>
      <c r="AQ43" s="525">
        <f t="shared" si="49"/>
        <v>0.5</v>
      </c>
      <c r="AR43" s="635"/>
      <c r="AS43" s="1453"/>
      <c r="AT43" s="349"/>
      <c r="AU43" s="349"/>
    </row>
    <row r="44" spans="1:47" s="140" customFormat="1" ht="17" hidden="1" customHeight="1">
      <c r="B44" s="1820"/>
      <c r="C44" s="858" t="s">
        <v>667</v>
      </c>
      <c r="D44" s="905" t="s">
        <v>42</v>
      </c>
      <c r="E44" s="533" t="s">
        <v>40</v>
      </c>
      <c r="F44" s="934" t="s">
        <v>666</v>
      </c>
      <c r="G44" s="929"/>
      <c r="H44" s="611">
        <v>45785</v>
      </c>
      <c r="I44" s="804">
        <v>45906</v>
      </c>
      <c r="J44" s="362"/>
      <c r="K44" s="219"/>
      <c r="L44" s="734"/>
      <c r="M44" s="734"/>
      <c r="N44" s="53"/>
      <c r="O44" s="145"/>
      <c r="P44" s="587"/>
      <c r="Q44" s="1162">
        <v>0.8</v>
      </c>
      <c r="R44" s="1169">
        <v>0.8</v>
      </c>
      <c r="S44" s="1163">
        <v>1</v>
      </c>
      <c r="T44" s="556">
        <f t="shared" ref="T44:T45" si="51">$T$1*S44</f>
        <v>0.6</v>
      </c>
      <c r="U44" s="1164">
        <v>1</v>
      </c>
      <c r="V44" s="1164"/>
      <c r="W44" s="1164">
        <v>1</v>
      </c>
      <c r="X44" s="1164"/>
      <c r="Y44" s="1164">
        <v>0.2</v>
      </c>
      <c r="Z44" s="1164"/>
      <c r="AA44" s="549"/>
      <c r="AB44" s="549"/>
      <c r="AC44" s="549"/>
      <c r="AD44" s="550"/>
      <c r="AE44" s="283"/>
      <c r="AF44" s="362"/>
      <c r="AG44" s="219"/>
      <c r="AH44" s="379"/>
      <c r="AI44" s="379"/>
      <c r="AJ44" s="284"/>
      <c r="AK44" s="27"/>
      <c r="AL44" s="28"/>
      <c r="AM44" s="28"/>
      <c r="AN44" s="25"/>
      <c r="AO44" s="719">
        <f t="shared" si="47"/>
        <v>4</v>
      </c>
      <c r="AP44" s="524">
        <f t="shared" si="48"/>
        <v>1.4</v>
      </c>
      <c r="AQ44" s="525">
        <f t="shared" si="49"/>
        <v>2.6</v>
      </c>
      <c r="AR44" s="635"/>
      <c r="AS44" s="1453"/>
      <c r="AT44" s="349"/>
      <c r="AU44" s="349"/>
    </row>
    <row r="45" spans="1:47" s="140" customFormat="1" ht="17" hidden="1" customHeight="1" thickBot="1">
      <c r="B45" s="1829"/>
      <c r="C45" s="694" t="s">
        <v>245</v>
      </c>
      <c r="D45" s="935" t="s">
        <v>43</v>
      </c>
      <c r="E45" s="860" t="s">
        <v>40</v>
      </c>
      <c r="F45" s="783" t="s">
        <v>612</v>
      </c>
      <c r="G45" s="928"/>
      <c r="H45" s="611">
        <v>45785</v>
      </c>
      <c r="I45" s="804">
        <v>45906</v>
      </c>
      <c r="J45" s="362"/>
      <c r="K45" s="219"/>
      <c r="L45" s="219"/>
      <c r="M45" s="219"/>
      <c r="N45" s="53"/>
      <c r="O45" s="145"/>
      <c r="P45" s="587"/>
      <c r="Q45" s="1162">
        <v>0.75</v>
      </c>
      <c r="R45" s="1169">
        <v>0.8</v>
      </c>
      <c r="S45" s="1163">
        <v>1</v>
      </c>
      <c r="T45" s="556">
        <f t="shared" si="51"/>
        <v>0.6</v>
      </c>
      <c r="U45" s="1164">
        <v>1</v>
      </c>
      <c r="V45" s="1164"/>
      <c r="W45" s="1164">
        <v>1</v>
      </c>
      <c r="X45" s="1164"/>
      <c r="Y45" s="1164">
        <v>0.25</v>
      </c>
      <c r="Z45" s="1164"/>
      <c r="AA45" s="549"/>
      <c r="AB45" s="549"/>
      <c r="AC45" s="549"/>
      <c r="AD45" s="550"/>
      <c r="AE45" s="283"/>
      <c r="AF45" s="362"/>
      <c r="AG45" s="219"/>
      <c r="AH45" s="379"/>
      <c r="AI45" s="379"/>
      <c r="AJ45" s="284"/>
      <c r="AK45" s="27"/>
      <c r="AL45" s="28"/>
      <c r="AM45" s="28"/>
      <c r="AN45" s="25"/>
      <c r="AO45" s="719">
        <f t="shared" si="47"/>
        <v>4</v>
      </c>
      <c r="AP45" s="524">
        <f t="shared" si="48"/>
        <v>1.4</v>
      </c>
      <c r="AQ45" s="525">
        <f t="shared" si="49"/>
        <v>2.6</v>
      </c>
      <c r="AR45" s="635"/>
      <c r="AS45" s="1453"/>
      <c r="AT45" s="727"/>
      <c r="AU45" s="727"/>
    </row>
    <row r="46" spans="1:47" s="150" customFormat="1" ht="17" hidden="1" customHeight="1" thickBot="1">
      <c r="A46" s="140"/>
      <c r="B46" s="1829"/>
      <c r="C46" s="930" t="s">
        <v>16</v>
      </c>
      <c r="D46" s="931"/>
      <c r="E46" s="932"/>
      <c r="F46" s="877"/>
      <c r="G46" s="602"/>
      <c r="H46" s="603"/>
      <c r="I46" s="356"/>
      <c r="J46" s="159">
        <f t="shared" ref="J46:R46" si="52">SUM(J31:J45)</f>
        <v>0</v>
      </c>
      <c r="K46" s="178">
        <f t="shared" si="52"/>
        <v>3.25</v>
      </c>
      <c r="L46" s="178">
        <f t="shared" si="52"/>
        <v>4.25</v>
      </c>
      <c r="M46" s="178">
        <f t="shared" si="52"/>
        <v>4.75</v>
      </c>
      <c r="N46" s="178">
        <f t="shared" si="52"/>
        <v>5.75</v>
      </c>
      <c r="O46" s="178">
        <f t="shared" si="52"/>
        <v>8</v>
      </c>
      <c r="P46" s="178">
        <f t="shared" si="52"/>
        <v>9</v>
      </c>
      <c r="Q46" s="377">
        <f t="shared" si="52"/>
        <v>11.05</v>
      </c>
      <c r="R46" s="377">
        <f t="shared" si="52"/>
        <v>12.100000000000001</v>
      </c>
      <c r="S46" s="540">
        <f>SUM(S31:S45)</f>
        <v>10.5</v>
      </c>
      <c r="T46" s="540">
        <f>SUM(T31:T45)</f>
        <v>7.1999999999999984</v>
      </c>
      <c r="U46" s="541">
        <f>SUM(U31:U45)</f>
        <v>11</v>
      </c>
      <c r="V46" s="541"/>
      <c r="W46" s="541">
        <f>SUM(W31:W45)</f>
        <v>10</v>
      </c>
      <c r="X46" s="541"/>
      <c r="Y46" s="541">
        <f>SUM(Y31:Y45)</f>
        <v>6.95</v>
      </c>
      <c r="Z46" s="541"/>
      <c r="AA46" s="541">
        <f>SUM(AA31:AA45)</f>
        <v>6</v>
      </c>
      <c r="AB46" s="541"/>
      <c r="AC46" s="541">
        <f>SUM(AC31:AC45)</f>
        <v>6</v>
      </c>
      <c r="AD46" s="542"/>
      <c r="AE46" s="161">
        <f>SUM(AE31:AE45)</f>
        <v>5.5</v>
      </c>
      <c r="AF46" s="159"/>
      <c r="AG46" s="178">
        <f>SUM(AG31:AG45)</f>
        <v>4.5</v>
      </c>
      <c r="AH46" s="377"/>
      <c r="AI46" s="377">
        <f>SUM(AI31:AI45)</f>
        <v>4</v>
      </c>
      <c r="AJ46" s="185"/>
      <c r="AK46" s="161">
        <f>SUM(AK31:AK45)</f>
        <v>3.5</v>
      </c>
      <c r="AL46" s="178"/>
      <c r="AM46" s="178">
        <f>SUM(AM31:AM45)</f>
        <v>2</v>
      </c>
      <c r="AN46" s="185"/>
      <c r="AO46" s="514">
        <f>SUM(AO31:AO45)</f>
        <v>97</v>
      </c>
      <c r="AP46" s="515">
        <f>SUM(AP31:AP45)</f>
        <v>38.300000000000004</v>
      </c>
      <c r="AQ46" s="516">
        <f>SUM(AQ31:AQ45)</f>
        <v>58.699999999999996</v>
      </c>
      <c r="AR46" s="637"/>
      <c r="AS46" s="1520"/>
      <c r="AT46" s="349"/>
      <c r="AU46" s="349"/>
    </row>
    <row r="47" spans="1:47" s="140" customFormat="1" ht="17" hidden="1" customHeight="1" thickBot="1">
      <c r="B47" s="1830" t="s">
        <v>39</v>
      </c>
      <c r="C47" s="153" t="s">
        <v>146</v>
      </c>
      <c r="D47" s="628" t="s">
        <v>13</v>
      </c>
      <c r="E47" s="629" t="s">
        <v>101</v>
      </c>
      <c r="F47" s="630" t="s">
        <v>274</v>
      </c>
      <c r="G47" s="630"/>
      <c r="H47" s="632">
        <v>45705</v>
      </c>
      <c r="I47" s="805">
        <v>46068</v>
      </c>
      <c r="J47" s="693"/>
      <c r="K47" s="154"/>
      <c r="L47" s="154">
        <v>1</v>
      </c>
      <c r="M47" s="154">
        <v>1</v>
      </c>
      <c r="N47" s="990">
        <f t="shared" ref="N47" si="53">M47*N$1</f>
        <v>1</v>
      </c>
      <c r="O47" s="991">
        <v>1</v>
      </c>
      <c r="P47" s="154">
        <f t="shared" ref="P47" si="54">$P$1*O47</f>
        <v>1</v>
      </c>
      <c r="Q47" s="1171">
        <v>1</v>
      </c>
      <c r="R47" s="692">
        <f>$Q$1*Q47</f>
        <v>1</v>
      </c>
      <c r="S47" s="1172">
        <v>1</v>
      </c>
      <c r="T47" s="556">
        <f t="shared" ref="T47:T48" si="55">$T$1*S47</f>
        <v>0.6</v>
      </c>
      <c r="U47" s="1173">
        <v>1</v>
      </c>
      <c r="V47" s="1173"/>
      <c r="W47" s="1173">
        <v>1</v>
      </c>
      <c r="X47" s="1173"/>
      <c r="Y47" s="1173">
        <v>1</v>
      </c>
      <c r="Z47" s="1173"/>
      <c r="AA47" s="1173">
        <v>1</v>
      </c>
      <c r="AB47" s="1173"/>
      <c r="AC47" s="1173">
        <v>1</v>
      </c>
      <c r="AD47" s="1174"/>
      <c r="AE47" s="1175">
        <v>1</v>
      </c>
      <c r="AF47" s="1176"/>
      <c r="AG47" s="1177">
        <v>1</v>
      </c>
      <c r="AH47" s="1171"/>
      <c r="AI47" s="1171">
        <v>1</v>
      </c>
      <c r="AJ47" s="510"/>
      <c r="AK47" s="1175">
        <v>0.5</v>
      </c>
      <c r="AL47" s="1177"/>
      <c r="AM47" s="1177"/>
      <c r="AN47" s="1178"/>
      <c r="AO47" s="1581">
        <f t="shared" ref="AO47:AP47" si="56">+K47+M47+O47+Q47+S47+U47+W47+Y47+AA47+AC47+AE47+AG47+AI47+AK47+AM47</f>
        <v>12.5</v>
      </c>
      <c r="AP47" s="524">
        <f t="shared" si="56"/>
        <v>4.5999999999999996</v>
      </c>
      <c r="AQ47" s="525">
        <f t="shared" ref="AQ47" si="57">AO47-AP47</f>
        <v>7.9</v>
      </c>
      <c r="AR47" s="639" t="s">
        <v>886</v>
      </c>
      <c r="AS47" s="1521"/>
      <c r="AT47" s="427"/>
      <c r="AU47" s="349"/>
    </row>
    <row r="48" spans="1:47" s="140" customFormat="1" ht="17" hidden="1" customHeight="1">
      <c r="B48" s="1831"/>
      <c r="C48" s="170" t="s">
        <v>92</v>
      </c>
      <c r="D48" s="17" t="s">
        <v>13</v>
      </c>
      <c r="E48" s="490" t="s">
        <v>93</v>
      </c>
      <c r="F48" s="1389" t="s">
        <v>874</v>
      </c>
      <c r="G48" s="1389"/>
      <c r="H48" s="1390">
        <v>45796</v>
      </c>
      <c r="I48" s="803">
        <v>46112</v>
      </c>
      <c r="J48" s="580"/>
      <c r="K48" s="4"/>
      <c r="L48" s="4"/>
      <c r="M48" s="4"/>
      <c r="N48" s="53"/>
      <c r="O48" s="212"/>
      <c r="P48" s="390"/>
      <c r="Q48" s="1179">
        <v>0.25</v>
      </c>
      <c r="R48" s="1180">
        <v>0.3</v>
      </c>
      <c r="S48" s="1150">
        <v>1</v>
      </c>
      <c r="T48" s="556">
        <f t="shared" si="55"/>
        <v>0.6</v>
      </c>
      <c r="U48" s="1128">
        <v>1</v>
      </c>
      <c r="V48" s="1128"/>
      <c r="W48" s="1128">
        <v>1</v>
      </c>
      <c r="X48" s="1128"/>
      <c r="Y48" s="1128">
        <v>1</v>
      </c>
      <c r="Z48" s="1128"/>
      <c r="AA48" s="1128">
        <v>1</v>
      </c>
      <c r="AB48" s="1128"/>
      <c r="AC48" s="1128">
        <v>1</v>
      </c>
      <c r="AD48" s="1181"/>
      <c r="AE48" s="1129">
        <v>1</v>
      </c>
      <c r="AF48" s="1143"/>
      <c r="AG48" s="1130">
        <v>1</v>
      </c>
      <c r="AH48" s="1131"/>
      <c r="AI48" s="1131">
        <v>1</v>
      </c>
      <c r="AJ48" s="1142"/>
      <c r="AK48" s="1129">
        <v>1</v>
      </c>
      <c r="AL48" s="1182"/>
      <c r="AM48" s="1182">
        <v>0.75</v>
      </c>
      <c r="AN48" s="1183"/>
      <c r="AO48" s="522">
        <f t="shared" ref="AO48:AO55" si="58">+K48+M48+O48+Q48+S48+U48+W48+Y48+AA48+AC48+AE48+AG48+AI48+AK48+AM48</f>
        <v>11</v>
      </c>
      <c r="AP48" s="524">
        <f t="shared" ref="AP48:AP55" si="59">+L48+N48+P48+R48+T48+V48+X48+Z48+AB48+AD48+AF48+AH48+AJ48+AL48+AN48</f>
        <v>0.89999999999999991</v>
      </c>
      <c r="AQ48" s="525">
        <f t="shared" ref="AQ48:AQ55" si="60">AO48-AP48</f>
        <v>10.1</v>
      </c>
      <c r="AR48" s="639"/>
      <c r="AS48" s="1521"/>
      <c r="AT48" s="349"/>
      <c r="AU48" s="349"/>
    </row>
    <row r="49" spans="1:47" s="140" customFormat="1" ht="17" hidden="1" customHeight="1">
      <c r="B49" s="1831"/>
      <c r="C49" s="171" t="s">
        <v>94</v>
      </c>
      <c r="D49" s="1" t="s">
        <v>13</v>
      </c>
      <c r="E49" s="350" t="s">
        <v>93</v>
      </c>
      <c r="F49" s="599" t="s">
        <v>677</v>
      </c>
      <c r="G49" s="613"/>
      <c r="H49" s="614">
        <v>45946</v>
      </c>
      <c r="I49" s="806">
        <v>46096</v>
      </c>
      <c r="J49" s="361"/>
      <c r="K49" s="3"/>
      <c r="L49" s="3"/>
      <c r="M49" s="3"/>
      <c r="N49" s="53"/>
      <c r="O49" s="145"/>
      <c r="P49" s="378"/>
      <c r="Q49" s="1131"/>
      <c r="R49" s="1184"/>
      <c r="S49" s="1150"/>
      <c r="T49" s="1128"/>
      <c r="U49" s="1128"/>
      <c r="V49" s="1128"/>
      <c r="W49" s="1128"/>
      <c r="X49" s="1128"/>
      <c r="Y49" s="1128"/>
      <c r="Z49" s="1128"/>
      <c r="AA49" s="1128">
        <v>0.5</v>
      </c>
      <c r="AB49" s="1128"/>
      <c r="AC49" s="1128">
        <v>1</v>
      </c>
      <c r="AD49" s="1181"/>
      <c r="AE49" s="1129">
        <v>1</v>
      </c>
      <c r="AF49" s="1143"/>
      <c r="AG49" s="1130">
        <v>1</v>
      </c>
      <c r="AH49" s="1131"/>
      <c r="AI49" s="1131">
        <v>1</v>
      </c>
      <c r="AJ49" s="1142"/>
      <c r="AK49" s="1129">
        <v>0.5</v>
      </c>
      <c r="AL49" s="1130"/>
      <c r="AM49" s="1130"/>
      <c r="AN49" s="1142"/>
      <c r="AO49" s="522">
        <f t="shared" si="58"/>
        <v>5</v>
      </c>
      <c r="AP49" s="524">
        <f t="shared" si="59"/>
        <v>0</v>
      </c>
      <c r="AQ49" s="525">
        <f t="shared" si="60"/>
        <v>5</v>
      </c>
      <c r="AR49" s="639"/>
      <c r="AS49" s="1521"/>
      <c r="AT49" s="349"/>
      <c r="AU49" s="349"/>
    </row>
    <row r="50" spans="1:47" s="140" customFormat="1" ht="17" hidden="1" customHeight="1">
      <c r="B50" s="1831"/>
      <c r="C50" s="1806" t="s">
        <v>539</v>
      </c>
      <c r="D50" s="1" t="s">
        <v>13</v>
      </c>
      <c r="E50" s="350" t="s">
        <v>93</v>
      </c>
      <c r="F50" s="613" t="s">
        <v>405</v>
      </c>
      <c r="G50" s="1389"/>
      <c r="H50" s="1390">
        <v>45779</v>
      </c>
      <c r="I50" s="800">
        <v>46096</v>
      </c>
      <c r="J50" s="361"/>
      <c r="K50" s="3"/>
      <c r="L50" s="3"/>
      <c r="M50" s="3"/>
      <c r="N50" s="53"/>
      <c r="O50" s="145"/>
      <c r="P50" s="378"/>
      <c r="Q50" s="1131">
        <v>1</v>
      </c>
      <c r="R50" s="506">
        <f>$Q$1*Q50</f>
        <v>1</v>
      </c>
      <c r="S50" s="1150">
        <v>1</v>
      </c>
      <c r="T50" s="556">
        <f t="shared" ref="T50:T54" si="61">$T$1*S50</f>
        <v>0.6</v>
      </c>
      <c r="U50" s="1128">
        <v>1</v>
      </c>
      <c r="V50" s="1128"/>
      <c r="W50" s="1128">
        <v>1</v>
      </c>
      <c r="X50" s="1128"/>
      <c r="Y50" s="1128">
        <v>1</v>
      </c>
      <c r="Z50" s="1128"/>
      <c r="AA50" s="1128">
        <v>1</v>
      </c>
      <c r="AB50" s="1128"/>
      <c r="AC50" s="1128">
        <v>1</v>
      </c>
      <c r="AD50" s="1181"/>
      <c r="AE50" s="1129">
        <v>1</v>
      </c>
      <c r="AF50" s="1143"/>
      <c r="AG50" s="1130">
        <v>1</v>
      </c>
      <c r="AH50" s="1131"/>
      <c r="AI50" s="1131">
        <v>1</v>
      </c>
      <c r="AJ50" s="1142"/>
      <c r="AK50" s="1129">
        <v>0.5</v>
      </c>
      <c r="AL50" s="1130"/>
      <c r="AM50" s="1130"/>
      <c r="AN50" s="1142"/>
      <c r="AO50" s="522">
        <f t="shared" si="58"/>
        <v>10.5</v>
      </c>
      <c r="AP50" s="524">
        <f t="shared" si="59"/>
        <v>1.6</v>
      </c>
      <c r="AQ50" s="525">
        <f t="shared" si="60"/>
        <v>8.9</v>
      </c>
      <c r="AR50" s="638"/>
      <c r="AS50" s="1521"/>
      <c r="AT50" s="349"/>
      <c r="AU50" s="349"/>
    </row>
    <row r="51" spans="1:47" s="140" customFormat="1" ht="17" hidden="1" customHeight="1">
      <c r="B51" s="1831"/>
      <c r="C51" s="1807"/>
      <c r="D51" s="1" t="s">
        <v>13</v>
      </c>
      <c r="E51" s="350" t="s">
        <v>93</v>
      </c>
      <c r="F51" s="613" t="s">
        <v>956</v>
      </c>
      <c r="G51" s="613"/>
      <c r="H51" s="614">
        <v>45810</v>
      </c>
      <c r="I51" s="800">
        <v>46096</v>
      </c>
      <c r="J51" s="361"/>
      <c r="K51" s="3"/>
      <c r="L51" s="3"/>
      <c r="M51" s="3"/>
      <c r="N51" s="53"/>
      <c r="O51" s="145"/>
      <c r="P51" s="378"/>
      <c r="Q51" s="1131"/>
      <c r="R51" s="1184"/>
      <c r="S51" s="1150">
        <v>1</v>
      </c>
      <c r="T51" s="556">
        <f t="shared" si="61"/>
        <v>0.6</v>
      </c>
      <c r="U51" s="1128">
        <v>1</v>
      </c>
      <c r="V51" s="1128"/>
      <c r="W51" s="1128">
        <v>1</v>
      </c>
      <c r="X51" s="1128"/>
      <c r="Y51" s="1128">
        <v>1</v>
      </c>
      <c r="Z51" s="1128"/>
      <c r="AA51" s="1128">
        <v>1</v>
      </c>
      <c r="AB51" s="1128"/>
      <c r="AC51" s="1128">
        <v>1</v>
      </c>
      <c r="AD51" s="1181"/>
      <c r="AE51" s="1129">
        <v>1</v>
      </c>
      <c r="AF51" s="1143"/>
      <c r="AG51" s="1130">
        <v>1</v>
      </c>
      <c r="AH51" s="1131"/>
      <c r="AI51" s="1131">
        <v>1</v>
      </c>
      <c r="AJ51" s="1142"/>
      <c r="AK51" s="1129">
        <v>0.5</v>
      </c>
      <c r="AL51" s="1130"/>
      <c r="AM51" s="1130"/>
      <c r="AN51" s="1142"/>
      <c r="AO51" s="522">
        <f t="shared" si="58"/>
        <v>9.5</v>
      </c>
      <c r="AP51" s="524">
        <f t="shared" si="59"/>
        <v>0.6</v>
      </c>
      <c r="AQ51" s="525">
        <f t="shared" si="60"/>
        <v>8.9</v>
      </c>
      <c r="AR51" s="638"/>
      <c r="AS51" s="1521"/>
      <c r="AT51" s="349"/>
      <c r="AU51" s="349"/>
    </row>
    <row r="52" spans="1:47" s="140" customFormat="1" ht="17" hidden="1" customHeight="1">
      <c r="B52" s="1831"/>
      <c r="C52" s="1807"/>
      <c r="D52" s="1" t="s">
        <v>19</v>
      </c>
      <c r="E52" s="350" t="s">
        <v>93</v>
      </c>
      <c r="F52" s="613" t="s">
        <v>302</v>
      </c>
      <c r="G52" s="613"/>
      <c r="H52" s="614">
        <v>45839</v>
      </c>
      <c r="I52" s="800">
        <v>46096</v>
      </c>
      <c r="J52" s="361"/>
      <c r="K52" s="3"/>
      <c r="L52" s="3"/>
      <c r="M52" s="3"/>
      <c r="N52" s="53"/>
      <c r="O52" s="145"/>
      <c r="P52" s="378"/>
      <c r="Q52" s="1131"/>
      <c r="R52" s="1184"/>
      <c r="S52" s="1150"/>
      <c r="T52" s="556"/>
      <c r="U52" s="1128">
        <v>1</v>
      </c>
      <c r="V52" s="1128"/>
      <c r="W52" s="1128">
        <v>1</v>
      </c>
      <c r="X52" s="1128"/>
      <c r="Y52" s="1128">
        <v>1</v>
      </c>
      <c r="Z52" s="1128"/>
      <c r="AA52" s="1128">
        <v>1</v>
      </c>
      <c r="AB52" s="1128"/>
      <c r="AC52" s="1128">
        <v>1</v>
      </c>
      <c r="AD52" s="1181"/>
      <c r="AE52" s="1129">
        <v>1</v>
      </c>
      <c r="AF52" s="1143"/>
      <c r="AG52" s="1130">
        <v>1</v>
      </c>
      <c r="AH52" s="1131"/>
      <c r="AI52" s="1131">
        <v>1</v>
      </c>
      <c r="AJ52" s="1142"/>
      <c r="AK52" s="1131">
        <v>1</v>
      </c>
      <c r="AL52" s="1142"/>
      <c r="AM52" s="1129">
        <v>0.5</v>
      </c>
      <c r="AN52" s="1142"/>
      <c r="AO52" s="522">
        <f t="shared" si="58"/>
        <v>9.5</v>
      </c>
      <c r="AP52" s="524">
        <f t="shared" si="59"/>
        <v>0</v>
      </c>
      <c r="AQ52" s="525">
        <f t="shared" si="60"/>
        <v>9.5</v>
      </c>
      <c r="AR52" s="638"/>
      <c r="AS52" s="1521"/>
      <c r="AT52" s="349"/>
      <c r="AU52" s="349"/>
    </row>
    <row r="53" spans="1:47" s="140" customFormat="1" ht="17" hidden="1" customHeight="1">
      <c r="B53" s="1831"/>
      <c r="C53" s="1807"/>
      <c r="D53" s="1" t="s">
        <v>21</v>
      </c>
      <c r="E53" s="350" t="s">
        <v>93</v>
      </c>
      <c r="F53" s="613" t="s">
        <v>957</v>
      </c>
      <c r="G53" s="613"/>
      <c r="H53" s="614">
        <v>45810</v>
      </c>
      <c r="I53" s="800">
        <v>46096</v>
      </c>
      <c r="J53" s="361"/>
      <c r="K53" s="3"/>
      <c r="L53" s="3"/>
      <c r="M53" s="3"/>
      <c r="N53" s="53"/>
      <c r="O53" s="145"/>
      <c r="P53" s="378"/>
      <c r="Q53" s="1131"/>
      <c r="R53" s="1184"/>
      <c r="S53" s="1150">
        <v>1</v>
      </c>
      <c r="T53" s="556">
        <f t="shared" si="61"/>
        <v>0.6</v>
      </c>
      <c r="U53" s="1128">
        <v>1</v>
      </c>
      <c r="V53" s="1128"/>
      <c r="W53" s="1128">
        <v>1</v>
      </c>
      <c r="X53" s="1128"/>
      <c r="Y53" s="1128">
        <v>1</v>
      </c>
      <c r="Z53" s="1128"/>
      <c r="AA53" s="1128">
        <v>1</v>
      </c>
      <c r="AB53" s="1128"/>
      <c r="AC53" s="1128">
        <v>1</v>
      </c>
      <c r="AD53" s="1181"/>
      <c r="AE53" s="1129">
        <v>1</v>
      </c>
      <c r="AF53" s="1143"/>
      <c r="AG53" s="1130">
        <v>1</v>
      </c>
      <c r="AH53" s="1131"/>
      <c r="AI53" s="1131">
        <v>1</v>
      </c>
      <c r="AJ53" s="1142"/>
      <c r="AK53" s="1129">
        <v>0.5</v>
      </c>
      <c r="AL53" s="1130"/>
      <c r="AM53" s="1130"/>
      <c r="AN53" s="1142"/>
      <c r="AO53" s="522">
        <f t="shared" si="58"/>
        <v>9.5</v>
      </c>
      <c r="AP53" s="524">
        <f t="shared" si="59"/>
        <v>0.6</v>
      </c>
      <c r="AQ53" s="525">
        <f t="shared" si="60"/>
        <v>8.9</v>
      </c>
      <c r="AR53" s="638"/>
      <c r="AS53" s="1521"/>
      <c r="AT53" s="349"/>
      <c r="AU53" s="349"/>
    </row>
    <row r="54" spans="1:47" s="140" customFormat="1" ht="17" hidden="1" customHeight="1">
      <c r="B54" s="1831"/>
      <c r="C54" s="1808"/>
      <c r="D54" s="44" t="s">
        <v>259</v>
      </c>
      <c r="E54" s="350" t="s">
        <v>93</v>
      </c>
      <c r="F54" s="601" t="s">
        <v>958</v>
      </c>
      <c r="G54" s="601"/>
      <c r="H54" s="600">
        <v>45810</v>
      </c>
      <c r="I54" s="800">
        <v>46096</v>
      </c>
      <c r="J54" s="363"/>
      <c r="K54" s="5"/>
      <c r="L54" s="5"/>
      <c r="M54" s="5"/>
      <c r="N54" s="53"/>
      <c r="O54" s="145"/>
      <c r="P54" s="380"/>
      <c r="Q54" s="1139"/>
      <c r="R54" s="1185"/>
      <c r="S54" s="1150">
        <v>1</v>
      </c>
      <c r="T54" s="556">
        <f t="shared" si="61"/>
        <v>0.6</v>
      </c>
      <c r="U54" s="1128">
        <v>1</v>
      </c>
      <c r="V54" s="1128"/>
      <c r="W54" s="1128">
        <v>1</v>
      </c>
      <c r="X54" s="1128"/>
      <c r="Y54" s="1128">
        <v>1</v>
      </c>
      <c r="Z54" s="1128"/>
      <c r="AA54" s="1128">
        <v>1</v>
      </c>
      <c r="AB54" s="1128"/>
      <c r="AC54" s="1128">
        <v>1</v>
      </c>
      <c r="AD54" s="1181"/>
      <c r="AE54" s="1129">
        <v>1</v>
      </c>
      <c r="AF54" s="1143"/>
      <c r="AG54" s="1130">
        <v>1</v>
      </c>
      <c r="AH54" s="1131"/>
      <c r="AI54" s="1131">
        <v>1</v>
      </c>
      <c r="AJ54" s="1142"/>
      <c r="AK54" s="1129">
        <v>0.5</v>
      </c>
      <c r="AL54" s="1138"/>
      <c r="AM54" s="1138"/>
      <c r="AN54" s="1140"/>
      <c r="AO54" s="522">
        <f t="shared" si="58"/>
        <v>9.5</v>
      </c>
      <c r="AP54" s="524">
        <f t="shared" si="59"/>
        <v>0.6</v>
      </c>
      <c r="AQ54" s="525">
        <f t="shared" si="60"/>
        <v>8.9</v>
      </c>
      <c r="AR54" s="638"/>
      <c r="AS54" s="1521"/>
      <c r="AT54" s="349"/>
      <c r="AU54" s="349"/>
    </row>
    <row r="55" spans="1:47" s="140" customFormat="1" ht="17" hidden="1" customHeight="1" thickBot="1">
      <c r="B55" s="1831"/>
      <c r="C55" s="572" t="s">
        <v>538</v>
      </c>
      <c r="D55" s="44" t="s">
        <v>19</v>
      </c>
      <c r="E55" s="491" t="s">
        <v>93</v>
      </c>
      <c r="F55" s="601" t="s">
        <v>1024</v>
      </c>
      <c r="G55" s="604"/>
      <c r="H55" s="615">
        <v>45839</v>
      </c>
      <c r="I55" s="807">
        <v>45976</v>
      </c>
      <c r="J55" s="363"/>
      <c r="K55" s="5"/>
      <c r="L55" s="5"/>
      <c r="M55" s="5"/>
      <c r="N55" s="53"/>
      <c r="O55" s="145"/>
      <c r="P55" s="380"/>
      <c r="Q55" s="1139"/>
      <c r="R55" s="1185"/>
      <c r="S55" s="1141"/>
      <c r="T55" s="1134"/>
      <c r="U55" s="1134">
        <v>1</v>
      </c>
      <c r="V55" s="1134"/>
      <c r="W55" s="1134">
        <v>1</v>
      </c>
      <c r="X55" s="1134"/>
      <c r="Y55" s="1134">
        <v>1</v>
      </c>
      <c r="Z55" s="1134"/>
      <c r="AA55" s="1134">
        <v>1</v>
      </c>
      <c r="AB55" s="1134"/>
      <c r="AC55" s="1134">
        <v>1</v>
      </c>
      <c r="AD55" s="1135"/>
      <c r="AE55" s="1134">
        <v>0.5</v>
      </c>
      <c r="AF55" s="1137"/>
      <c r="AG55" s="1138"/>
      <c r="AH55" s="1139"/>
      <c r="AI55" s="1139"/>
      <c r="AJ55" s="1140"/>
      <c r="AK55" s="1136"/>
      <c r="AL55" s="1138"/>
      <c r="AM55" s="1138"/>
      <c r="AN55" s="1140"/>
      <c r="AO55" s="522">
        <f t="shared" si="58"/>
        <v>5.5</v>
      </c>
      <c r="AP55" s="524">
        <f t="shared" si="59"/>
        <v>0</v>
      </c>
      <c r="AQ55" s="525">
        <f t="shared" si="60"/>
        <v>5.5</v>
      </c>
      <c r="AR55" s="639"/>
      <c r="AS55" s="1521"/>
      <c r="AT55" s="349"/>
      <c r="AU55" s="349"/>
    </row>
    <row r="56" spans="1:47" s="150" customFormat="1" ht="17" hidden="1" customHeight="1" thickBot="1">
      <c r="A56" s="140"/>
      <c r="B56" s="1832"/>
      <c r="C56" s="489" t="s">
        <v>16</v>
      </c>
      <c r="D56" s="157"/>
      <c r="E56" s="437"/>
      <c r="F56" s="602"/>
      <c r="G56" s="602"/>
      <c r="H56" s="603"/>
      <c r="I56" s="356"/>
      <c r="J56" s="159">
        <f t="shared" ref="J56" si="62">SUM(J48:J55)</f>
        <v>0</v>
      </c>
      <c r="K56" s="159">
        <f>SUM(K47:K55)</f>
        <v>0</v>
      </c>
      <c r="L56" s="159">
        <f>SUM(L47:L55)</f>
        <v>1</v>
      </c>
      <c r="M56" s="178">
        <f t="shared" ref="M56:AG56" si="63">SUM(M47:M55)</f>
        <v>1</v>
      </c>
      <c r="N56" s="178">
        <f t="shared" si="63"/>
        <v>1</v>
      </c>
      <c r="O56" s="198">
        <f t="shared" si="63"/>
        <v>1</v>
      </c>
      <c r="P56" s="198">
        <f t="shared" si="63"/>
        <v>1</v>
      </c>
      <c r="Q56" s="699">
        <f t="shared" si="63"/>
        <v>2.25</v>
      </c>
      <c r="R56" s="699">
        <f t="shared" si="63"/>
        <v>2.2999999999999998</v>
      </c>
      <c r="S56" s="540">
        <f t="shared" si="63"/>
        <v>6</v>
      </c>
      <c r="T56" s="540">
        <f t="shared" si="63"/>
        <v>3.6</v>
      </c>
      <c r="U56" s="541">
        <f t="shared" si="63"/>
        <v>8</v>
      </c>
      <c r="V56" s="541"/>
      <c r="W56" s="541">
        <f t="shared" si="63"/>
        <v>8</v>
      </c>
      <c r="X56" s="541"/>
      <c r="Y56" s="541">
        <f t="shared" si="63"/>
        <v>8</v>
      </c>
      <c r="Z56" s="541"/>
      <c r="AA56" s="541">
        <f t="shared" si="63"/>
        <v>8.5</v>
      </c>
      <c r="AB56" s="541"/>
      <c r="AC56" s="541">
        <f t="shared" si="63"/>
        <v>9</v>
      </c>
      <c r="AD56" s="542"/>
      <c r="AE56" s="161">
        <f t="shared" si="63"/>
        <v>8.5</v>
      </c>
      <c r="AF56" s="159"/>
      <c r="AG56" s="159">
        <f t="shared" si="63"/>
        <v>8</v>
      </c>
      <c r="AH56" s="377"/>
      <c r="AI56" s="377">
        <f t="shared" ref="AI56" si="64">SUM(AI47:AI55)</f>
        <v>8</v>
      </c>
      <c r="AJ56" s="185"/>
      <c r="AK56" s="161">
        <f t="shared" ref="AK56" si="65">SUM(AK47:AK55)</f>
        <v>5</v>
      </c>
      <c r="AL56" s="178"/>
      <c r="AM56" s="178">
        <f t="shared" ref="AM56" si="66">SUM(AM47:AM55)</f>
        <v>1.25</v>
      </c>
      <c r="AN56" s="185"/>
      <c r="AO56" s="161">
        <f>+SUM(AO47:AO55)</f>
        <v>82.5</v>
      </c>
      <c r="AP56" s="178">
        <f t="shared" ref="AP56:AQ56" si="67">+SUM(AP47:AP55)</f>
        <v>8.8999999999999986</v>
      </c>
      <c r="AQ56" s="185">
        <f t="shared" si="67"/>
        <v>73.599999999999994</v>
      </c>
      <c r="AR56" s="637"/>
      <c r="AS56" s="1520"/>
      <c r="AT56" s="349"/>
      <c r="AU56" s="349"/>
    </row>
    <row r="57" spans="1:47" s="140" customFormat="1" ht="17" hidden="1" customHeight="1">
      <c r="B57" s="1799" t="s">
        <v>203</v>
      </c>
      <c r="C57" s="167" t="s">
        <v>504</v>
      </c>
      <c r="D57" s="1748" t="s">
        <v>13</v>
      </c>
      <c r="E57" s="1724" t="s">
        <v>101</v>
      </c>
      <c r="F57" s="1749" t="s">
        <v>275</v>
      </c>
      <c r="G57" s="1749" t="s">
        <v>876</v>
      </c>
      <c r="H57" s="1750">
        <v>45691</v>
      </c>
      <c r="I57" s="1751">
        <v>45807</v>
      </c>
      <c r="J57" s="364"/>
      <c r="K57" s="821">
        <v>1</v>
      </c>
      <c r="L57" s="4">
        <f t="shared" ref="L57" si="68">K57*$L$1</f>
        <v>1</v>
      </c>
      <c r="M57" s="821">
        <v>1</v>
      </c>
      <c r="N57" s="390">
        <f t="shared" ref="N57" si="69">M57*N$1</f>
        <v>1</v>
      </c>
      <c r="O57" s="957">
        <v>1</v>
      </c>
      <c r="P57" s="7">
        <f t="shared" ref="P57" si="70">$P$1*O57</f>
        <v>1</v>
      </c>
      <c r="Q57" s="1186"/>
      <c r="R57" s="50">
        <f t="shared" ref="R57:R62" si="71">$Q$1*Q57</f>
        <v>0</v>
      </c>
      <c r="S57" s="1187"/>
      <c r="T57" s="551"/>
      <c r="U57" s="1188"/>
      <c r="V57" s="551"/>
      <c r="W57" s="1188"/>
      <c r="X57" s="551"/>
      <c r="Y57" s="1188"/>
      <c r="Z57" s="551"/>
      <c r="AA57" s="1188"/>
      <c r="AB57" s="551"/>
      <c r="AC57" s="1188"/>
      <c r="AD57" s="552"/>
      <c r="AE57" s="1189"/>
      <c r="AF57" s="364"/>
      <c r="AG57" s="1190"/>
      <c r="AH57" s="381"/>
      <c r="AI57" s="1191"/>
      <c r="AJ57" s="213"/>
      <c r="AK57" s="1189"/>
      <c r="AL57" s="212"/>
      <c r="AM57" s="1190"/>
      <c r="AN57" s="213"/>
      <c r="AO57" s="1581">
        <f t="shared" ref="AO57:AP57" si="72">+K57+M57+O57+Q57+S57+U57+W57+Y57+AA57+AC57+AE57+AG57+AI57+AK57+AM57</f>
        <v>3</v>
      </c>
      <c r="AP57" s="524">
        <f t="shared" si="72"/>
        <v>3</v>
      </c>
      <c r="AQ57" s="525">
        <f t="shared" ref="AQ57" si="73">AO57-AP57</f>
        <v>0</v>
      </c>
      <c r="AR57" s="638" t="s">
        <v>886</v>
      </c>
      <c r="AS57" s="1521"/>
      <c r="AT57" s="427"/>
      <c r="AU57" s="349"/>
    </row>
    <row r="58" spans="1:47" s="140" customFormat="1" ht="17" hidden="1" customHeight="1">
      <c r="B58" s="1827"/>
      <c r="C58" s="169" t="s">
        <v>210</v>
      </c>
      <c r="D58" s="142" t="s">
        <v>13</v>
      </c>
      <c r="E58" s="350" t="s">
        <v>102</v>
      </c>
      <c r="F58" s="599" t="s">
        <v>204</v>
      </c>
      <c r="G58" s="599"/>
      <c r="H58" s="600">
        <v>45691</v>
      </c>
      <c r="I58" s="803">
        <v>46142</v>
      </c>
      <c r="J58" s="365"/>
      <c r="K58" s="145">
        <v>1</v>
      </c>
      <c r="L58" s="53">
        <f t="shared" ref="L58" si="74">K58*$L$1</f>
        <v>1</v>
      </c>
      <c r="M58" s="145">
        <v>1</v>
      </c>
      <c r="N58" s="383">
        <f t="shared" si="31"/>
        <v>1</v>
      </c>
      <c r="O58" s="211">
        <v>1</v>
      </c>
      <c r="P58" s="28">
        <f t="shared" ref="P58:P62" si="75">$P$1*O58</f>
        <v>1</v>
      </c>
      <c r="Q58" s="145">
        <v>1</v>
      </c>
      <c r="R58" s="25">
        <f t="shared" si="71"/>
        <v>1</v>
      </c>
      <c r="S58" s="960">
        <v>1</v>
      </c>
      <c r="T58" s="556">
        <f t="shared" ref="T58:T62" si="76">$T$1*S58</f>
        <v>0.6</v>
      </c>
      <c r="U58" s="553">
        <v>1</v>
      </c>
      <c r="V58" s="553"/>
      <c r="W58" s="553">
        <v>1</v>
      </c>
      <c r="X58" s="553"/>
      <c r="Y58" s="553">
        <v>1</v>
      </c>
      <c r="Z58" s="553"/>
      <c r="AA58" s="553">
        <v>1</v>
      </c>
      <c r="AB58" s="553"/>
      <c r="AC58" s="553">
        <v>1</v>
      </c>
      <c r="AD58" s="554"/>
      <c r="AE58" s="211">
        <v>1</v>
      </c>
      <c r="AF58" s="365"/>
      <c r="AG58" s="145">
        <v>1</v>
      </c>
      <c r="AH58" s="382"/>
      <c r="AI58" s="382">
        <v>1</v>
      </c>
      <c r="AJ58" s="144"/>
      <c r="AK58" s="211">
        <v>1</v>
      </c>
      <c r="AL58" s="145"/>
      <c r="AM58" s="145">
        <v>1</v>
      </c>
      <c r="AN58" s="144"/>
      <c r="AO58" s="522">
        <f t="shared" ref="AO58:AO65" si="77">+K58+M58+O58+Q58+S58+U58+W58+Y58+AA58+AC58+AE58+AG58+AI58+AK58+AM58</f>
        <v>15</v>
      </c>
      <c r="AP58" s="524">
        <f t="shared" ref="AP58:AP65" si="78">+L58+N58+P58+R58+T58+V58+X58+Z58+AB58+AD58+AF58+AH58+AJ58+AL58+AN58</f>
        <v>4.5999999999999996</v>
      </c>
      <c r="AQ58" s="525">
        <f t="shared" ref="AQ58:AQ65" si="79">AO58-AP58</f>
        <v>10.4</v>
      </c>
      <c r="AR58" s="638"/>
      <c r="AS58" s="1521"/>
      <c r="AT58" s="349"/>
      <c r="AU58" s="349"/>
    </row>
    <row r="59" spans="1:47" s="140" customFormat="1" ht="17" hidden="1" customHeight="1">
      <c r="B59" s="1827"/>
      <c r="C59" s="169" t="s">
        <v>212</v>
      </c>
      <c r="D59" s="142" t="s">
        <v>21</v>
      </c>
      <c r="E59" s="350" t="s">
        <v>102</v>
      </c>
      <c r="F59" s="599" t="s">
        <v>582</v>
      </c>
      <c r="G59" s="599"/>
      <c r="H59" s="614">
        <v>45748</v>
      </c>
      <c r="I59" s="806">
        <v>45989</v>
      </c>
      <c r="J59" s="365"/>
      <c r="K59" s="145"/>
      <c r="L59" s="145"/>
      <c r="M59" s="145"/>
      <c r="N59" s="374"/>
      <c r="O59" s="211">
        <v>1</v>
      </c>
      <c r="P59" s="28">
        <f t="shared" si="75"/>
        <v>1</v>
      </c>
      <c r="Q59" s="145">
        <v>1</v>
      </c>
      <c r="R59" s="25">
        <f t="shared" si="71"/>
        <v>1</v>
      </c>
      <c r="S59" s="960">
        <v>1</v>
      </c>
      <c r="T59" s="556">
        <f t="shared" si="76"/>
        <v>0.6</v>
      </c>
      <c r="U59" s="553">
        <v>1</v>
      </c>
      <c r="V59" s="553"/>
      <c r="W59" s="553">
        <v>1</v>
      </c>
      <c r="X59" s="553"/>
      <c r="Y59" s="553">
        <v>1</v>
      </c>
      <c r="Z59" s="553"/>
      <c r="AA59" s="553">
        <v>1</v>
      </c>
      <c r="AB59" s="553"/>
      <c r="AC59" s="553">
        <v>1</v>
      </c>
      <c r="AD59" s="554"/>
      <c r="AE59" s="211"/>
      <c r="AF59" s="365"/>
      <c r="AG59" s="145"/>
      <c r="AH59" s="382"/>
      <c r="AI59" s="382"/>
      <c r="AJ59" s="144"/>
      <c r="AK59" s="211"/>
      <c r="AL59" s="145"/>
      <c r="AM59" s="145"/>
      <c r="AN59" s="144"/>
      <c r="AO59" s="522">
        <f t="shared" si="77"/>
        <v>8</v>
      </c>
      <c r="AP59" s="524">
        <f t="shared" si="78"/>
        <v>2.6</v>
      </c>
      <c r="AQ59" s="525">
        <f t="shared" si="79"/>
        <v>5.4</v>
      </c>
      <c r="AR59" s="638"/>
      <c r="AS59" s="1521"/>
      <c r="AT59" s="349"/>
      <c r="AU59" s="349"/>
    </row>
    <row r="60" spans="1:47" s="140" customFormat="1" ht="17" hidden="1" customHeight="1">
      <c r="B60" s="1827"/>
      <c r="C60" s="207" t="s">
        <v>213</v>
      </c>
      <c r="D60" s="142" t="s">
        <v>13</v>
      </c>
      <c r="E60" s="350" t="s">
        <v>102</v>
      </c>
      <c r="F60" s="896" t="s">
        <v>206</v>
      </c>
      <c r="G60" s="896" t="s">
        <v>389</v>
      </c>
      <c r="H60" s="614">
        <v>45748</v>
      </c>
      <c r="I60" s="806">
        <v>45869</v>
      </c>
      <c r="J60" s="365"/>
      <c r="K60" s="145"/>
      <c r="L60" s="145"/>
      <c r="M60" s="145"/>
      <c r="N60" s="383"/>
      <c r="O60" s="211">
        <v>1</v>
      </c>
      <c r="P60" s="28">
        <f t="shared" si="75"/>
        <v>1</v>
      </c>
      <c r="Q60" s="145">
        <v>1</v>
      </c>
      <c r="R60" s="25">
        <f t="shared" si="71"/>
        <v>1</v>
      </c>
      <c r="S60" s="960">
        <v>1</v>
      </c>
      <c r="T60" s="556">
        <f t="shared" si="76"/>
        <v>0.6</v>
      </c>
      <c r="U60" s="553">
        <v>1</v>
      </c>
      <c r="V60" s="553"/>
      <c r="W60" s="553"/>
      <c r="X60" s="553"/>
      <c r="Y60" s="553"/>
      <c r="Z60" s="553"/>
      <c r="AA60" s="553"/>
      <c r="AB60" s="553"/>
      <c r="AC60" s="553"/>
      <c r="AD60" s="554"/>
      <c r="AE60" s="211"/>
      <c r="AF60" s="365"/>
      <c r="AG60" s="145"/>
      <c r="AH60" s="382"/>
      <c r="AI60" s="382"/>
      <c r="AJ60" s="144"/>
      <c r="AK60" s="211"/>
      <c r="AL60" s="145"/>
      <c r="AM60" s="145"/>
      <c r="AN60" s="144"/>
      <c r="AO60" s="522">
        <f t="shared" si="77"/>
        <v>4</v>
      </c>
      <c r="AP60" s="524">
        <f t="shared" si="78"/>
        <v>2.6</v>
      </c>
      <c r="AQ60" s="525">
        <f t="shared" si="79"/>
        <v>1.4</v>
      </c>
      <c r="AR60" s="638"/>
      <c r="AS60" s="1521"/>
      <c r="AT60" s="349"/>
      <c r="AU60" s="349"/>
    </row>
    <row r="61" spans="1:47" s="140" customFormat="1" ht="17" hidden="1" customHeight="1">
      <c r="B61" s="1827"/>
      <c r="C61" s="207" t="s">
        <v>214</v>
      </c>
      <c r="D61" s="142" t="s">
        <v>21</v>
      </c>
      <c r="E61" s="350" t="s">
        <v>102</v>
      </c>
      <c r="F61" s="599" t="s">
        <v>207</v>
      </c>
      <c r="G61" s="599"/>
      <c r="H61" s="600">
        <v>45691</v>
      </c>
      <c r="I61" s="800">
        <v>46142</v>
      </c>
      <c r="J61" s="365"/>
      <c r="K61" s="145">
        <v>1</v>
      </c>
      <c r="L61" s="53">
        <f t="shared" ref="L61" si="80">K61*$L$1</f>
        <v>1</v>
      </c>
      <c r="M61" s="145">
        <v>1</v>
      </c>
      <c r="N61" s="383">
        <f t="shared" si="31"/>
        <v>1</v>
      </c>
      <c r="O61" s="211">
        <v>1</v>
      </c>
      <c r="P61" s="28">
        <f t="shared" si="75"/>
        <v>1</v>
      </c>
      <c r="Q61" s="145">
        <v>1</v>
      </c>
      <c r="R61" s="25">
        <f t="shared" si="71"/>
        <v>1</v>
      </c>
      <c r="S61" s="960">
        <v>1</v>
      </c>
      <c r="T61" s="556">
        <f t="shared" si="76"/>
        <v>0.6</v>
      </c>
      <c r="U61" s="553">
        <v>1</v>
      </c>
      <c r="V61" s="553"/>
      <c r="W61" s="553">
        <v>1</v>
      </c>
      <c r="X61" s="553"/>
      <c r="Y61" s="553">
        <v>1</v>
      </c>
      <c r="Z61" s="553"/>
      <c r="AA61" s="553">
        <v>1</v>
      </c>
      <c r="AB61" s="553"/>
      <c r="AC61" s="553">
        <v>1</v>
      </c>
      <c r="AD61" s="554"/>
      <c r="AE61" s="211">
        <v>1</v>
      </c>
      <c r="AF61" s="365"/>
      <c r="AG61" s="145">
        <v>1</v>
      </c>
      <c r="AH61" s="382"/>
      <c r="AI61" s="382">
        <v>1</v>
      </c>
      <c r="AJ61" s="144"/>
      <c r="AK61" s="211">
        <v>1</v>
      </c>
      <c r="AL61" s="145"/>
      <c r="AM61" s="145">
        <v>1</v>
      </c>
      <c r="AN61" s="144"/>
      <c r="AO61" s="522">
        <f t="shared" si="77"/>
        <v>15</v>
      </c>
      <c r="AP61" s="524">
        <f t="shared" si="78"/>
        <v>4.5999999999999996</v>
      </c>
      <c r="AQ61" s="525">
        <f t="shared" si="79"/>
        <v>10.4</v>
      </c>
      <c r="AR61" s="638"/>
      <c r="AS61" s="1521"/>
      <c r="AT61" s="349"/>
      <c r="AU61" s="349"/>
    </row>
    <row r="62" spans="1:47" s="140" customFormat="1" ht="17" hidden="1" customHeight="1">
      <c r="B62" s="1827"/>
      <c r="C62" s="169" t="s">
        <v>215</v>
      </c>
      <c r="D62" s="142" t="s">
        <v>13</v>
      </c>
      <c r="E62" s="350" t="s">
        <v>102</v>
      </c>
      <c r="F62" s="896" t="s">
        <v>208</v>
      </c>
      <c r="G62" s="896" t="s">
        <v>389</v>
      </c>
      <c r="H62" s="600">
        <v>45748</v>
      </c>
      <c r="I62" s="800">
        <v>45898</v>
      </c>
      <c r="J62" s="365"/>
      <c r="K62" s="145"/>
      <c r="L62" s="145"/>
      <c r="M62" s="145"/>
      <c r="N62" s="383"/>
      <c r="O62" s="211">
        <v>1</v>
      </c>
      <c r="P62" s="28">
        <f t="shared" si="75"/>
        <v>1</v>
      </c>
      <c r="Q62" s="145">
        <v>1</v>
      </c>
      <c r="R62" s="25">
        <f t="shared" si="71"/>
        <v>1</v>
      </c>
      <c r="S62" s="960">
        <v>1</v>
      </c>
      <c r="T62" s="556">
        <f t="shared" si="76"/>
        <v>0.6</v>
      </c>
      <c r="U62" s="553">
        <v>1</v>
      </c>
      <c r="V62" s="553"/>
      <c r="W62" s="553">
        <v>1</v>
      </c>
      <c r="X62" s="553"/>
      <c r="Y62" s="553"/>
      <c r="Z62" s="553"/>
      <c r="AA62" s="553"/>
      <c r="AB62" s="553"/>
      <c r="AC62" s="553"/>
      <c r="AD62" s="554"/>
      <c r="AE62" s="211"/>
      <c r="AF62" s="365"/>
      <c r="AG62" s="145"/>
      <c r="AH62" s="382"/>
      <c r="AI62" s="382"/>
      <c r="AJ62" s="144"/>
      <c r="AK62" s="211"/>
      <c r="AL62" s="145"/>
      <c r="AM62" s="145"/>
      <c r="AN62" s="144"/>
      <c r="AO62" s="522">
        <f t="shared" si="77"/>
        <v>5</v>
      </c>
      <c r="AP62" s="524">
        <f t="shared" si="78"/>
        <v>2.6</v>
      </c>
      <c r="AQ62" s="525">
        <f t="shared" si="79"/>
        <v>2.4</v>
      </c>
      <c r="AR62" s="638"/>
      <c r="AS62" s="1521"/>
      <c r="AT62" s="349"/>
      <c r="AU62" s="349"/>
    </row>
    <row r="63" spans="1:47" s="140" customFormat="1" ht="17" hidden="1" customHeight="1">
      <c r="B63" s="1827"/>
      <c r="C63" s="169" t="s">
        <v>216</v>
      </c>
      <c r="D63" s="142" t="s">
        <v>22</v>
      </c>
      <c r="E63" s="350" t="s">
        <v>102</v>
      </c>
      <c r="F63" s="896" t="s">
        <v>209</v>
      </c>
      <c r="G63" s="896" t="s">
        <v>389</v>
      </c>
      <c r="H63" s="614">
        <v>45839</v>
      </c>
      <c r="I63" s="806">
        <v>45898</v>
      </c>
      <c r="J63" s="365"/>
      <c r="K63" s="145"/>
      <c r="L63" s="145"/>
      <c r="M63" s="145"/>
      <c r="N63" s="383"/>
      <c r="O63" s="211"/>
      <c r="P63" s="145"/>
      <c r="Q63" s="145"/>
      <c r="R63" s="144"/>
      <c r="S63" s="960"/>
      <c r="T63" s="553"/>
      <c r="U63" s="1126">
        <v>0</v>
      </c>
      <c r="V63" s="1384"/>
      <c r="W63" s="1126">
        <v>0</v>
      </c>
      <c r="X63" s="1384"/>
      <c r="Y63" s="553"/>
      <c r="Z63" s="553"/>
      <c r="AA63" s="553"/>
      <c r="AB63" s="553"/>
      <c r="AC63" s="553"/>
      <c r="AD63" s="554"/>
      <c r="AE63" s="211"/>
      <c r="AF63" s="365"/>
      <c r="AG63" s="145"/>
      <c r="AH63" s="382"/>
      <c r="AI63" s="382"/>
      <c r="AJ63" s="144"/>
      <c r="AK63" s="211"/>
      <c r="AL63" s="145"/>
      <c r="AM63" s="145"/>
      <c r="AN63" s="144"/>
      <c r="AO63" s="522">
        <f t="shared" si="77"/>
        <v>0</v>
      </c>
      <c r="AP63" s="524">
        <f t="shared" si="78"/>
        <v>0</v>
      </c>
      <c r="AQ63" s="525">
        <f t="shared" si="79"/>
        <v>0</v>
      </c>
      <c r="AR63" s="638"/>
      <c r="AS63" s="1521"/>
      <c r="AT63" s="349"/>
      <c r="AU63" s="349"/>
    </row>
    <row r="64" spans="1:47" s="140" customFormat="1" ht="17" hidden="1" customHeight="1">
      <c r="B64" s="1827"/>
      <c r="C64" s="169" t="s">
        <v>217</v>
      </c>
      <c r="D64" s="142" t="s">
        <v>21</v>
      </c>
      <c r="E64" s="350" t="s">
        <v>101</v>
      </c>
      <c r="F64" s="896" t="s">
        <v>276</v>
      </c>
      <c r="G64" s="896" t="s">
        <v>389</v>
      </c>
      <c r="H64" s="600">
        <v>45720</v>
      </c>
      <c r="I64" s="800">
        <v>46356</v>
      </c>
      <c r="J64" s="1600"/>
      <c r="K64" s="822"/>
      <c r="L64" s="822"/>
      <c r="M64" s="822">
        <v>1</v>
      </c>
      <c r="N64" s="390">
        <v>1</v>
      </c>
      <c r="O64" s="15">
        <v>1</v>
      </c>
      <c r="P64" s="3">
        <f>P1</f>
        <v>1</v>
      </c>
      <c r="Q64" s="1130">
        <v>1</v>
      </c>
      <c r="R64" s="25">
        <f>$Q$1*Q64</f>
        <v>1</v>
      </c>
      <c r="S64" s="1192">
        <v>1</v>
      </c>
      <c r="T64" s="556">
        <f>$T$1*S64</f>
        <v>0.6</v>
      </c>
      <c r="U64" s="1193">
        <v>1</v>
      </c>
      <c r="V64" s="1193"/>
      <c r="W64" s="1193">
        <v>1</v>
      </c>
      <c r="X64" s="1193"/>
      <c r="Y64" s="1193">
        <v>1</v>
      </c>
      <c r="Z64" s="1193"/>
      <c r="AA64" s="1193">
        <v>1</v>
      </c>
      <c r="AB64" s="1193"/>
      <c r="AC64" s="674">
        <v>0</v>
      </c>
      <c r="AD64" s="1194"/>
      <c r="AE64" s="1601"/>
      <c r="AF64" s="1602"/>
      <c r="AG64" s="1603"/>
      <c r="AH64" s="1604"/>
      <c r="AI64" s="1604"/>
      <c r="AJ64" s="1605"/>
      <c r="AK64" s="1601"/>
      <c r="AL64" s="1603"/>
      <c r="AM64" s="1200"/>
      <c r="AN64" s="1201"/>
      <c r="AO64" s="1581">
        <f t="shared" si="77"/>
        <v>8</v>
      </c>
      <c r="AP64" s="524">
        <f t="shared" si="78"/>
        <v>3.6</v>
      </c>
      <c r="AQ64" s="525">
        <f t="shared" si="79"/>
        <v>4.4000000000000004</v>
      </c>
      <c r="AR64" s="638" t="s">
        <v>886</v>
      </c>
      <c r="AS64" s="1521"/>
      <c r="AT64" s="427"/>
      <c r="AU64" s="349"/>
    </row>
    <row r="65" spans="1:47" s="140" customFormat="1" ht="17" hidden="1" customHeight="1" thickBot="1">
      <c r="B65" s="1827"/>
      <c r="C65" s="855" t="s">
        <v>670</v>
      </c>
      <c r="D65" s="856" t="s">
        <v>21</v>
      </c>
      <c r="E65" s="851" t="s">
        <v>101</v>
      </c>
      <c r="F65" s="852" t="s">
        <v>277</v>
      </c>
      <c r="G65" s="848" t="s">
        <v>636</v>
      </c>
      <c r="H65" s="853">
        <v>45839</v>
      </c>
      <c r="I65" s="857">
        <v>46081</v>
      </c>
      <c r="J65" s="577"/>
      <c r="K65" s="823"/>
      <c r="L65" s="823"/>
      <c r="M65" s="823"/>
      <c r="N65" s="827"/>
      <c r="O65" s="961"/>
      <c r="P65" s="8"/>
      <c r="Q65" s="1202"/>
      <c r="R65" s="962"/>
      <c r="S65" s="1203"/>
      <c r="T65" s="575"/>
      <c r="U65" s="1204">
        <v>1</v>
      </c>
      <c r="V65" s="575"/>
      <c r="W65" s="1204">
        <v>1</v>
      </c>
      <c r="X65" s="575"/>
      <c r="Y65" s="1204">
        <v>1</v>
      </c>
      <c r="Z65" s="575"/>
      <c r="AA65" s="1204">
        <v>1</v>
      </c>
      <c r="AB65" s="575"/>
      <c r="AC65" s="1204">
        <v>1</v>
      </c>
      <c r="AD65" s="576"/>
      <c r="AE65" s="1205">
        <v>1</v>
      </c>
      <c r="AF65" s="577"/>
      <c r="AG65" s="1206">
        <v>1</v>
      </c>
      <c r="AH65" s="574"/>
      <c r="AI65" s="1207">
        <v>1</v>
      </c>
      <c r="AJ65" s="578"/>
      <c r="AK65" s="1205">
        <v>1</v>
      </c>
      <c r="AL65" s="573"/>
      <c r="AM65" s="1206">
        <v>1</v>
      </c>
      <c r="AN65" s="578"/>
      <c r="AO65" s="1581">
        <f t="shared" si="77"/>
        <v>10</v>
      </c>
      <c r="AP65" s="524">
        <f t="shared" si="78"/>
        <v>0</v>
      </c>
      <c r="AQ65" s="525">
        <f t="shared" si="79"/>
        <v>10</v>
      </c>
      <c r="AR65" s="639" t="s">
        <v>886</v>
      </c>
      <c r="AS65" s="1521"/>
      <c r="AT65" s="427"/>
      <c r="AU65" s="349"/>
    </row>
    <row r="66" spans="1:47" s="150" customFormat="1" ht="17" hidden="1" customHeight="1" thickBot="1">
      <c r="A66" s="140"/>
      <c r="B66" s="1827"/>
      <c r="C66" s="678" t="s">
        <v>16</v>
      </c>
      <c r="D66" s="698"/>
      <c r="E66" s="680"/>
      <c r="F66" s="681"/>
      <c r="G66" s="681"/>
      <c r="H66" s="682"/>
      <c r="I66" s="808"/>
      <c r="J66" s="368">
        <f t="shared" ref="J66:AM66" si="81">SUM(J57:J65)</f>
        <v>0</v>
      </c>
      <c r="K66" s="198">
        <f t="shared" si="81"/>
        <v>3</v>
      </c>
      <c r="L66" s="198">
        <f t="shared" si="81"/>
        <v>3</v>
      </c>
      <c r="M66" s="198">
        <f t="shared" si="81"/>
        <v>4</v>
      </c>
      <c r="N66" s="384">
        <f t="shared" si="81"/>
        <v>4</v>
      </c>
      <c r="O66" s="161">
        <f t="shared" si="81"/>
        <v>7</v>
      </c>
      <c r="P66" s="178">
        <f t="shared" si="81"/>
        <v>7</v>
      </c>
      <c r="Q66" s="377">
        <f t="shared" si="81"/>
        <v>6</v>
      </c>
      <c r="R66" s="377">
        <f t="shared" si="81"/>
        <v>6</v>
      </c>
      <c r="S66" s="963">
        <f t="shared" si="81"/>
        <v>6</v>
      </c>
      <c r="T66" s="963">
        <f t="shared" si="81"/>
        <v>3.6</v>
      </c>
      <c r="U66" s="560">
        <f t="shared" si="81"/>
        <v>7</v>
      </c>
      <c r="V66" s="560"/>
      <c r="W66" s="560">
        <f t="shared" si="81"/>
        <v>6</v>
      </c>
      <c r="X66" s="560"/>
      <c r="Y66" s="560">
        <f t="shared" si="81"/>
        <v>5</v>
      </c>
      <c r="Z66" s="560"/>
      <c r="AA66" s="560">
        <f t="shared" si="81"/>
        <v>5</v>
      </c>
      <c r="AB66" s="560"/>
      <c r="AC66" s="560">
        <f t="shared" si="81"/>
        <v>4</v>
      </c>
      <c r="AD66" s="561"/>
      <c r="AE66" s="389">
        <f t="shared" si="81"/>
        <v>3</v>
      </c>
      <c r="AF66" s="368"/>
      <c r="AG66" s="198">
        <f t="shared" si="81"/>
        <v>3</v>
      </c>
      <c r="AH66" s="699"/>
      <c r="AI66" s="699">
        <f t="shared" si="81"/>
        <v>3</v>
      </c>
      <c r="AJ66" s="372"/>
      <c r="AK66" s="389">
        <f t="shared" si="81"/>
        <v>3</v>
      </c>
      <c r="AL66" s="198"/>
      <c r="AM66" s="198">
        <f t="shared" si="81"/>
        <v>3</v>
      </c>
      <c r="AN66" s="372"/>
      <c r="AO66" s="683">
        <f>+SUM(AO57:AO65)</f>
        <v>68</v>
      </c>
      <c r="AP66" s="684">
        <f t="shared" ref="AP66:AQ66" si="82">+SUM(AP57:AP65)</f>
        <v>23.6</v>
      </c>
      <c r="AQ66" s="685">
        <f t="shared" si="82"/>
        <v>44.4</v>
      </c>
      <c r="AR66" s="648"/>
      <c r="AS66" s="1520"/>
      <c r="AT66" s="349"/>
      <c r="AU66" s="349"/>
    </row>
    <row r="67" spans="1:47" s="140" customFormat="1" ht="17" customHeight="1" thickBot="1">
      <c r="B67" s="1833" t="s">
        <v>20</v>
      </c>
      <c r="C67" s="174" t="s">
        <v>505</v>
      </c>
      <c r="D67" s="93" t="s">
        <v>13</v>
      </c>
      <c r="E67" s="9" t="s">
        <v>56</v>
      </c>
      <c r="F67" s="9" t="s">
        <v>329</v>
      </c>
      <c r="G67" s="9"/>
      <c r="H67" s="1694">
        <v>45691</v>
      </c>
      <c r="I67" s="976">
        <v>46127</v>
      </c>
      <c r="J67" s="359"/>
      <c r="K67" s="7">
        <v>1</v>
      </c>
      <c r="L67" s="49">
        <f t="shared" ref="L67:L71" si="83">K67*$L$1</f>
        <v>1</v>
      </c>
      <c r="M67" s="7">
        <v>1</v>
      </c>
      <c r="N67" s="373">
        <f t="shared" si="31"/>
        <v>1</v>
      </c>
      <c r="O67" s="13">
        <v>1</v>
      </c>
      <c r="P67" s="373">
        <f t="shared" ref="P67:P77" si="84">$P$1*O67</f>
        <v>1</v>
      </c>
      <c r="Q67" s="1145">
        <v>1</v>
      </c>
      <c r="R67" s="548">
        <f t="shared" ref="R67:R98" si="85">$Q$1*Q67</f>
        <v>1</v>
      </c>
      <c r="S67" s="1208">
        <v>1</v>
      </c>
      <c r="T67" s="556">
        <f t="shared" ref="T67:T77" si="86">$T$1*S67</f>
        <v>0.6</v>
      </c>
      <c r="U67" s="1147">
        <v>1</v>
      </c>
      <c r="V67" s="1147"/>
      <c r="W67" s="1147">
        <v>1</v>
      </c>
      <c r="X67" s="1147"/>
      <c r="Y67" s="1147">
        <v>1</v>
      </c>
      <c r="Z67" s="1147"/>
      <c r="AA67" s="1147">
        <v>1</v>
      </c>
      <c r="AB67" s="1147"/>
      <c r="AC67" s="1147">
        <v>1</v>
      </c>
      <c r="AD67" s="1209"/>
      <c r="AE67" s="1148">
        <v>1</v>
      </c>
      <c r="AF67" s="1210"/>
      <c r="AG67" s="1149">
        <v>1</v>
      </c>
      <c r="AH67" s="1145"/>
      <c r="AI67" s="1145">
        <v>1</v>
      </c>
      <c r="AJ67" s="1211"/>
      <c r="AK67" s="1148">
        <v>1</v>
      </c>
      <c r="AL67" s="1149"/>
      <c r="AM67" s="1149">
        <v>0.5</v>
      </c>
      <c r="AN67" s="1211"/>
      <c r="AO67" s="511">
        <f t="shared" ref="AO67:AO93" si="87">+K67+M67+O67+Q67+S67+U67+W67+Y67+AA67+AC67+AE67+AG67+AI67+AK67+AM67</f>
        <v>14.5</v>
      </c>
      <c r="AP67" s="512">
        <f t="shared" ref="AP67:AP93" si="88">+L67+N67+P67+R67+T67+V67+X67+Z67+AB67+AD67+AF67+AH67+AJ67+AL67+AN67</f>
        <v>4.5999999999999996</v>
      </c>
      <c r="AQ67" s="513">
        <f t="shared" ref="AQ67:AQ93" si="89">AO67-AP67</f>
        <v>9.9</v>
      </c>
      <c r="AR67" s="640" t="s">
        <v>77</v>
      </c>
      <c r="AS67" s="1521"/>
      <c r="AT67" s="349"/>
      <c r="AU67" s="349"/>
    </row>
    <row r="68" spans="1:47" s="140" customFormat="1" ht="17" customHeight="1">
      <c r="B68" s="1834"/>
      <c r="C68" s="242" t="s">
        <v>1025</v>
      </c>
      <c r="D68" s="95" t="s">
        <v>13</v>
      </c>
      <c r="E68" s="1" t="s">
        <v>56</v>
      </c>
      <c r="F68" s="1686" t="s">
        <v>1026</v>
      </c>
      <c r="G68" s="1686" t="s">
        <v>1027</v>
      </c>
      <c r="H68" s="974">
        <v>45824</v>
      </c>
      <c r="I68" s="980">
        <v>46127</v>
      </c>
      <c r="J68" s="366"/>
      <c r="K68" s="4"/>
      <c r="L68" s="53"/>
      <c r="M68" s="4"/>
      <c r="N68" s="383"/>
      <c r="O68" s="19"/>
      <c r="P68" s="383"/>
      <c r="Q68" s="1179"/>
      <c r="R68" s="557"/>
      <c r="S68" s="1361">
        <v>0</v>
      </c>
      <c r="T68" s="1125">
        <f t="shared" ref="T68" si="90">$T$1</f>
        <v>0.6</v>
      </c>
      <c r="U68" s="1126">
        <v>0</v>
      </c>
      <c r="V68" s="1369"/>
      <c r="W68" s="1126">
        <v>0</v>
      </c>
      <c r="X68" s="1369"/>
      <c r="Y68" s="1126">
        <v>0</v>
      </c>
      <c r="Z68" s="1369"/>
      <c r="AA68" s="1126">
        <v>0</v>
      </c>
      <c r="AB68" s="1369"/>
      <c r="AC68" s="1126">
        <v>0</v>
      </c>
      <c r="AD68" s="1369"/>
      <c r="AE68" s="1126">
        <v>0</v>
      </c>
      <c r="AF68" s="1369"/>
      <c r="AG68" s="1126">
        <v>0</v>
      </c>
      <c r="AH68" s="1369"/>
      <c r="AI68" s="1126">
        <v>0</v>
      </c>
      <c r="AJ68" s="1369"/>
      <c r="AK68" s="1126">
        <v>0</v>
      </c>
      <c r="AL68" s="1368"/>
      <c r="AM68" s="1361">
        <v>0</v>
      </c>
      <c r="AN68" s="1370"/>
      <c r="AO68" s="511">
        <f t="shared" ref="AO68" si="91">+K68+M68+O68+Q68+S68+U68+W68+Y68+AA68+AC68+AE68+AG68+AI68+AK68+AM68</f>
        <v>0</v>
      </c>
      <c r="AP68" s="512">
        <f t="shared" ref="AP68" si="92">+L68+N68+P68+R68+T68+V68+X68+Z68+AB68+AD68+AF68+AH68+AJ68+AL68+AN68</f>
        <v>0.6</v>
      </c>
      <c r="AQ68" s="513">
        <f t="shared" ref="AQ68" si="93">AO68-AP68</f>
        <v>-0.6</v>
      </c>
      <c r="AR68" s="640" t="s">
        <v>77</v>
      </c>
      <c r="AS68" s="1521"/>
      <c r="AT68" s="349"/>
      <c r="AU68" s="349"/>
    </row>
    <row r="69" spans="1:47" s="140" customFormat="1" ht="17" customHeight="1" thickBot="1">
      <c r="B69" s="1834"/>
      <c r="C69" s="1697" t="s">
        <v>332</v>
      </c>
      <c r="D69" s="175" t="s">
        <v>19</v>
      </c>
      <c r="E69" s="103" t="s">
        <v>56</v>
      </c>
      <c r="F69" s="103" t="s">
        <v>333</v>
      </c>
      <c r="G69" s="103"/>
      <c r="H69" s="1698">
        <v>45705</v>
      </c>
      <c r="I69" s="1699">
        <v>46127</v>
      </c>
      <c r="J69" s="29"/>
      <c r="K69" s="353">
        <v>0.5</v>
      </c>
      <c r="L69" s="28">
        <f t="shared" si="83"/>
        <v>0.5</v>
      </c>
      <c r="M69" s="3">
        <v>1</v>
      </c>
      <c r="N69" s="383">
        <f t="shared" si="31"/>
        <v>1</v>
      </c>
      <c r="O69" s="15">
        <v>1</v>
      </c>
      <c r="P69" s="374">
        <f t="shared" si="84"/>
        <v>1</v>
      </c>
      <c r="Q69" s="1131">
        <v>1</v>
      </c>
      <c r="R69" s="557">
        <f t="shared" si="85"/>
        <v>1</v>
      </c>
      <c r="S69" s="1212">
        <v>1</v>
      </c>
      <c r="T69" s="556">
        <f t="shared" si="86"/>
        <v>0.6</v>
      </c>
      <c r="U69" s="1128">
        <v>1</v>
      </c>
      <c r="V69" s="1128"/>
      <c r="W69" s="1128">
        <v>1</v>
      </c>
      <c r="X69" s="1128"/>
      <c r="Y69" s="1128">
        <v>1</v>
      </c>
      <c r="Z69" s="1128"/>
      <c r="AA69" s="1128">
        <v>1</v>
      </c>
      <c r="AB69" s="1128"/>
      <c r="AC69" s="1128">
        <v>1</v>
      </c>
      <c r="AD69" s="1181"/>
      <c r="AE69" s="1129">
        <v>1</v>
      </c>
      <c r="AF69" s="1143"/>
      <c r="AG69" s="1130">
        <v>1</v>
      </c>
      <c r="AH69" s="1131"/>
      <c r="AI69" s="1131">
        <v>1</v>
      </c>
      <c r="AJ69" s="1142"/>
      <c r="AK69" s="1129">
        <v>1</v>
      </c>
      <c r="AL69" s="1130"/>
      <c r="AM69" s="1130">
        <v>0.5</v>
      </c>
      <c r="AN69" s="1142"/>
      <c r="AO69" s="522">
        <f t="shared" si="87"/>
        <v>14</v>
      </c>
      <c r="AP69" s="524">
        <f t="shared" si="88"/>
        <v>4.0999999999999996</v>
      </c>
      <c r="AQ69" s="525">
        <f t="shared" si="89"/>
        <v>9.9</v>
      </c>
      <c r="AR69" s="644" t="s">
        <v>77</v>
      </c>
      <c r="AS69" s="1522"/>
      <c r="AT69" s="349"/>
      <c r="AU69" s="349"/>
    </row>
    <row r="70" spans="1:47" s="140" customFormat="1" ht="17" customHeight="1">
      <c r="B70" s="1834"/>
      <c r="C70" s="1809" t="s">
        <v>540</v>
      </c>
      <c r="D70" s="9" t="s">
        <v>19</v>
      </c>
      <c r="E70" s="9" t="s">
        <v>56</v>
      </c>
      <c r="F70" s="9" t="s">
        <v>334</v>
      </c>
      <c r="G70" s="9"/>
      <c r="H70" s="1694">
        <v>45691</v>
      </c>
      <c r="I70" s="976">
        <v>46096</v>
      </c>
      <c r="J70" s="29"/>
      <c r="K70" s="3">
        <v>1</v>
      </c>
      <c r="L70" s="28">
        <f t="shared" si="83"/>
        <v>1</v>
      </c>
      <c r="M70" s="3">
        <v>1</v>
      </c>
      <c r="N70" s="383">
        <f t="shared" si="31"/>
        <v>1</v>
      </c>
      <c r="O70" s="15">
        <v>1</v>
      </c>
      <c r="P70" s="374">
        <f t="shared" si="84"/>
        <v>1</v>
      </c>
      <c r="Q70" s="1131">
        <v>1</v>
      </c>
      <c r="R70" s="557">
        <f t="shared" si="85"/>
        <v>1</v>
      </c>
      <c r="S70" s="1212">
        <v>1</v>
      </c>
      <c r="T70" s="556">
        <f t="shared" si="86"/>
        <v>0.6</v>
      </c>
      <c r="U70" s="1128">
        <v>1</v>
      </c>
      <c r="V70" s="1128"/>
      <c r="W70" s="1128">
        <v>1</v>
      </c>
      <c r="X70" s="1128"/>
      <c r="Y70" s="1128">
        <v>1</v>
      </c>
      <c r="Z70" s="1128"/>
      <c r="AA70" s="1128">
        <v>1</v>
      </c>
      <c r="AB70" s="1128"/>
      <c r="AC70" s="1128">
        <v>1</v>
      </c>
      <c r="AD70" s="1181"/>
      <c r="AE70" s="1129">
        <v>0.5</v>
      </c>
      <c r="AF70" s="1143"/>
      <c r="AG70" s="1130"/>
      <c r="AH70" s="1131"/>
      <c r="AI70" s="1131"/>
      <c r="AJ70" s="1142"/>
      <c r="AK70" s="1129"/>
      <c r="AL70" s="1130"/>
      <c r="AM70" s="1130"/>
      <c r="AN70" s="1142"/>
      <c r="AO70" s="721">
        <f t="shared" si="87"/>
        <v>10.5</v>
      </c>
      <c r="AP70" s="722">
        <f t="shared" si="88"/>
        <v>4.5999999999999996</v>
      </c>
      <c r="AQ70" s="723">
        <f t="shared" si="89"/>
        <v>5.9</v>
      </c>
      <c r="AR70" s="638" t="s">
        <v>77</v>
      </c>
      <c r="AS70" s="1521"/>
      <c r="AT70" s="349"/>
      <c r="AU70" s="349"/>
    </row>
    <row r="71" spans="1:47" s="140" customFormat="1" ht="17" customHeight="1" thickBot="1">
      <c r="B71" s="1835"/>
      <c r="C71" s="1810"/>
      <c r="D71" s="1" t="s">
        <v>19</v>
      </c>
      <c r="E71" s="1" t="s">
        <v>56</v>
      </c>
      <c r="F71" s="1" t="s">
        <v>335</v>
      </c>
      <c r="G71" s="1"/>
      <c r="H71" s="834">
        <v>45691</v>
      </c>
      <c r="I71" s="978">
        <v>46081</v>
      </c>
      <c r="J71" s="29"/>
      <c r="K71" s="3">
        <v>1</v>
      </c>
      <c r="L71" s="28">
        <f t="shared" si="83"/>
        <v>1</v>
      </c>
      <c r="M71" s="3">
        <v>1</v>
      </c>
      <c r="N71" s="383">
        <f t="shared" si="31"/>
        <v>1</v>
      </c>
      <c r="O71" s="15">
        <v>1</v>
      </c>
      <c r="P71" s="374">
        <f t="shared" si="84"/>
        <v>1</v>
      </c>
      <c r="Q71" s="1131">
        <v>1</v>
      </c>
      <c r="R71" s="557">
        <f t="shared" si="85"/>
        <v>1</v>
      </c>
      <c r="S71" s="1212">
        <v>1</v>
      </c>
      <c r="T71" s="556">
        <f t="shared" si="86"/>
        <v>0.6</v>
      </c>
      <c r="U71" s="1128">
        <v>1</v>
      </c>
      <c r="V71" s="1128"/>
      <c r="W71" s="1128">
        <v>1</v>
      </c>
      <c r="X71" s="1128"/>
      <c r="Y71" s="1128">
        <v>1</v>
      </c>
      <c r="Z71" s="1128"/>
      <c r="AA71" s="1128">
        <v>1</v>
      </c>
      <c r="AB71" s="1128"/>
      <c r="AC71" s="1128">
        <v>1</v>
      </c>
      <c r="AD71" s="1181"/>
      <c r="AE71" s="1129"/>
      <c r="AF71" s="1143"/>
      <c r="AG71" s="1130"/>
      <c r="AH71" s="1131"/>
      <c r="AI71" s="1213"/>
      <c r="AJ71" s="1214"/>
      <c r="AK71" s="1129"/>
      <c r="AL71" s="1130"/>
      <c r="AM71" s="1130"/>
      <c r="AN71" s="1142"/>
      <c r="AO71" s="721">
        <f t="shared" si="87"/>
        <v>10</v>
      </c>
      <c r="AP71" s="722">
        <f t="shared" si="88"/>
        <v>4.5999999999999996</v>
      </c>
      <c r="AQ71" s="723">
        <f t="shared" si="89"/>
        <v>5.4</v>
      </c>
      <c r="AR71" s="638" t="s">
        <v>77</v>
      </c>
      <c r="AS71" s="1521"/>
      <c r="AT71" s="349"/>
      <c r="AU71" s="349"/>
    </row>
    <row r="72" spans="1:47" s="140" customFormat="1" ht="17" customHeight="1" thickBot="1">
      <c r="B72" s="1828"/>
      <c r="C72" s="1810"/>
      <c r="D72" s="1" t="s">
        <v>21</v>
      </c>
      <c r="E72" s="1" t="s">
        <v>56</v>
      </c>
      <c r="F72" s="1" t="s">
        <v>580</v>
      </c>
      <c r="G72" s="1"/>
      <c r="H72" s="834">
        <v>45733</v>
      </c>
      <c r="I72" s="978">
        <v>46096</v>
      </c>
      <c r="J72" s="29"/>
      <c r="K72" s="353"/>
      <c r="L72" s="353"/>
      <c r="M72" s="353">
        <v>0.5</v>
      </c>
      <c r="N72" s="383">
        <f t="shared" si="31"/>
        <v>0.5</v>
      </c>
      <c r="O72" s="15">
        <v>1</v>
      </c>
      <c r="P72" s="374">
        <f t="shared" si="84"/>
        <v>1</v>
      </c>
      <c r="Q72" s="1131">
        <v>1</v>
      </c>
      <c r="R72" s="557">
        <f t="shared" si="85"/>
        <v>1</v>
      </c>
      <c r="S72" s="1212">
        <v>1</v>
      </c>
      <c r="T72" s="556">
        <f t="shared" si="86"/>
        <v>0.6</v>
      </c>
      <c r="U72" s="1128">
        <v>1</v>
      </c>
      <c r="V72" s="1128"/>
      <c r="W72" s="1128">
        <v>1</v>
      </c>
      <c r="X72" s="1128"/>
      <c r="Y72" s="1215">
        <v>0.5</v>
      </c>
      <c r="Z72" s="1128"/>
      <c r="AA72" s="1128"/>
      <c r="AB72" s="1128"/>
      <c r="AC72" s="1128"/>
      <c r="AD72" s="1181"/>
      <c r="AE72" s="1129"/>
      <c r="AF72" s="1143"/>
      <c r="AG72" s="1130"/>
      <c r="AH72" s="1131"/>
      <c r="AI72" s="1131"/>
      <c r="AJ72" s="1142"/>
      <c r="AK72" s="1129"/>
      <c r="AL72" s="1130"/>
      <c r="AM72" s="1130"/>
      <c r="AN72" s="1142"/>
      <c r="AO72" s="721">
        <f t="shared" si="87"/>
        <v>6</v>
      </c>
      <c r="AP72" s="722">
        <f t="shared" si="88"/>
        <v>3.1</v>
      </c>
      <c r="AQ72" s="723">
        <f t="shared" si="89"/>
        <v>2.9</v>
      </c>
      <c r="AR72" s="644" t="s">
        <v>42</v>
      </c>
      <c r="AS72" s="1522"/>
      <c r="AT72" s="349"/>
      <c r="AU72" s="349"/>
    </row>
    <row r="73" spans="1:47" s="140" customFormat="1" ht="17" customHeight="1">
      <c r="B73" s="1833"/>
      <c r="C73" s="1810"/>
      <c r="D73" s="1" t="s">
        <v>21</v>
      </c>
      <c r="E73" s="1" t="s">
        <v>56</v>
      </c>
      <c r="F73" s="1" t="s">
        <v>336</v>
      </c>
      <c r="G73" s="1"/>
      <c r="H73" s="834">
        <v>45691</v>
      </c>
      <c r="I73" s="978">
        <v>46068</v>
      </c>
      <c r="J73" s="29"/>
      <c r="K73" s="3">
        <v>1</v>
      </c>
      <c r="L73" s="28">
        <f t="shared" ref="L73" si="94">K73*$L$1</f>
        <v>1</v>
      </c>
      <c r="M73" s="3">
        <v>1</v>
      </c>
      <c r="N73" s="383">
        <f t="shared" si="31"/>
        <v>1</v>
      </c>
      <c r="O73" s="15">
        <v>1</v>
      </c>
      <c r="P73" s="374">
        <f t="shared" si="84"/>
        <v>1</v>
      </c>
      <c r="Q73" s="1131">
        <v>1</v>
      </c>
      <c r="R73" s="557">
        <f t="shared" si="85"/>
        <v>1</v>
      </c>
      <c r="S73" s="1212">
        <v>1</v>
      </c>
      <c r="T73" s="556">
        <f t="shared" si="86"/>
        <v>0.6</v>
      </c>
      <c r="U73" s="1128">
        <v>1</v>
      </c>
      <c r="V73" s="1128"/>
      <c r="W73" s="1128">
        <v>1</v>
      </c>
      <c r="X73" s="1128"/>
      <c r="Y73" s="1128">
        <v>1</v>
      </c>
      <c r="Z73" s="1128"/>
      <c r="AA73" s="1128">
        <v>1</v>
      </c>
      <c r="AB73" s="1128"/>
      <c r="AC73" s="1128"/>
      <c r="AD73" s="1181"/>
      <c r="AE73" s="1129"/>
      <c r="AF73" s="1143"/>
      <c r="AG73" s="1130"/>
      <c r="AH73" s="1131"/>
      <c r="AI73" s="1131"/>
      <c r="AJ73" s="1142"/>
      <c r="AK73" s="1129"/>
      <c r="AL73" s="1130"/>
      <c r="AM73" s="1130"/>
      <c r="AN73" s="1142"/>
      <c r="AO73" s="721">
        <f t="shared" si="87"/>
        <v>9</v>
      </c>
      <c r="AP73" s="722">
        <f t="shared" si="88"/>
        <v>4.5999999999999996</v>
      </c>
      <c r="AQ73" s="723">
        <f t="shared" si="89"/>
        <v>4.4000000000000004</v>
      </c>
      <c r="AR73" s="638" t="s">
        <v>42</v>
      </c>
      <c r="AS73" s="1521"/>
      <c r="AT73" s="349"/>
      <c r="AU73" s="349"/>
    </row>
    <row r="74" spans="1:47" s="140" customFormat="1" ht="17" customHeight="1">
      <c r="B74" s="1834"/>
      <c r="C74" s="1810"/>
      <c r="D74" s="1" t="s">
        <v>21</v>
      </c>
      <c r="E74" s="1" t="s">
        <v>56</v>
      </c>
      <c r="F74" s="1" t="s">
        <v>550</v>
      </c>
      <c r="G74" s="1"/>
      <c r="H74" s="834">
        <v>45720</v>
      </c>
      <c r="I74" s="978">
        <v>46387</v>
      </c>
      <c r="J74" s="29"/>
      <c r="K74" s="3"/>
      <c r="L74" s="28"/>
      <c r="M74" s="56">
        <v>0.75</v>
      </c>
      <c r="N74" s="383">
        <f t="shared" si="31"/>
        <v>0.75</v>
      </c>
      <c r="O74" s="15">
        <v>1</v>
      </c>
      <c r="P74" s="374">
        <f t="shared" si="84"/>
        <v>1</v>
      </c>
      <c r="Q74" s="1131">
        <v>1</v>
      </c>
      <c r="R74" s="557">
        <f t="shared" si="85"/>
        <v>1</v>
      </c>
      <c r="S74" s="1212">
        <v>1</v>
      </c>
      <c r="T74" s="556">
        <f t="shared" si="86"/>
        <v>0.6</v>
      </c>
      <c r="U74" s="1128">
        <v>1</v>
      </c>
      <c r="V74" s="1128"/>
      <c r="W74" s="1128">
        <v>1</v>
      </c>
      <c r="X74" s="1128"/>
      <c r="Y74" s="1128">
        <v>1</v>
      </c>
      <c r="Z74" s="1128"/>
      <c r="AA74" s="1128">
        <v>1</v>
      </c>
      <c r="AB74" s="1128"/>
      <c r="AC74" s="1128">
        <v>1</v>
      </c>
      <c r="AD74" s="1181"/>
      <c r="AE74" s="1129">
        <v>1</v>
      </c>
      <c r="AF74" s="1143"/>
      <c r="AG74" s="1130">
        <v>0.25</v>
      </c>
      <c r="AH74" s="1131"/>
      <c r="AI74" s="1131"/>
      <c r="AJ74" s="1142"/>
      <c r="AK74" s="1129"/>
      <c r="AL74" s="1130"/>
      <c r="AM74" s="1130"/>
      <c r="AN74" s="1142"/>
      <c r="AO74" s="721">
        <f t="shared" ref="AO74:AO77" si="95">+K74+M74+O74+Q74+S74+U74+W74+Y74+AA74+AC74+AE74+AG74+AI74+AK74+AM74</f>
        <v>10</v>
      </c>
      <c r="AP74" s="722">
        <f t="shared" ref="AP74:AP77" si="96">+L74+N74+P74+R74+T74+V74+X74+Z74+AB74+AD74+AF74+AH74+AJ74+AL74+AN74</f>
        <v>3.35</v>
      </c>
      <c r="AQ74" s="723">
        <f t="shared" ref="AQ74:AQ77" si="97">AO74-AP74</f>
        <v>6.65</v>
      </c>
      <c r="AR74" s="638" t="s">
        <v>42</v>
      </c>
      <c r="AS74" s="1521"/>
      <c r="AT74" s="349"/>
      <c r="AU74" s="349"/>
    </row>
    <row r="75" spans="1:47" s="140" customFormat="1" ht="17" customHeight="1">
      <c r="B75" s="1834"/>
      <c r="C75" s="1810"/>
      <c r="D75" s="1" t="s">
        <v>21</v>
      </c>
      <c r="E75" s="1" t="s">
        <v>56</v>
      </c>
      <c r="F75" s="1" t="s">
        <v>551</v>
      </c>
      <c r="G75" s="1"/>
      <c r="H75" s="834">
        <v>45720</v>
      </c>
      <c r="I75" s="978">
        <v>46387</v>
      </c>
      <c r="J75" s="29"/>
      <c r="K75" s="3"/>
      <c r="L75" s="28"/>
      <c r="M75" s="56">
        <v>0.75</v>
      </c>
      <c r="N75" s="383">
        <f t="shared" ref="N75:N77" si="98">M75*N$1</f>
        <v>0.75</v>
      </c>
      <c r="O75" s="15">
        <v>1</v>
      </c>
      <c r="P75" s="374">
        <f t="shared" si="84"/>
        <v>1</v>
      </c>
      <c r="Q75" s="1131">
        <v>1</v>
      </c>
      <c r="R75" s="557">
        <f t="shared" si="85"/>
        <v>1</v>
      </c>
      <c r="S75" s="1212">
        <v>1</v>
      </c>
      <c r="T75" s="556">
        <f t="shared" si="86"/>
        <v>0.6</v>
      </c>
      <c r="U75" s="1128">
        <v>1</v>
      </c>
      <c r="V75" s="1128"/>
      <c r="W75" s="1128">
        <v>1</v>
      </c>
      <c r="X75" s="1128"/>
      <c r="Y75" s="1128">
        <v>0.25</v>
      </c>
      <c r="Z75" s="1128"/>
      <c r="AA75" s="1128"/>
      <c r="AB75" s="1128"/>
      <c r="AC75" s="1128"/>
      <c r="AD75" s="1181"/>
      <c r="AE75" s="1129"/>
      <c r="AF75" s="1143"/>
      <c r="AG75" s="1130"/>
      <c r="AH75" s="1131"/>
      <c r="AI75" s="1131"/>
      <c r="AJ75" s="1142"/>
      <c r="AK75" s="1129"/>
      <c r="AL75" s="1130"/>
      <c r="AM75" s="1130"/>
      <c r="AN75" s="1142"/>
      <c r="AO75" s="721">
        <f t="shared" si="95"/>
        <v>6</v>
      </c>
      <c r="AP75" s="722">
        <f t="shared" si="96"/>
        <v>3.35</v>
      </c>
      <c r="AQ75" s="723">
        <f t="shared" si="97"/>
        <v>2.65</v>
      </c>
      <c r="AR75" s="638" t="s">
        <v>42</v>
      </c>
      <c r="AS75" s="1521"/>
      <c r="AT75" s="349"/>
      <c r="AU75" s="349"/>
    </row>
    <row r="76" spans="1:47" s="140" customFormat="1" ht="17" customHeight="1">
      <c r="B76" s="1834"/>
      <c r="C76" s="1810"/>
      <c r="D76" s="1" t="s">
        <v>22</v>
      </c>
      <c r="E76" s="1" t="s">
        <v>56</v>
      </c>
      <c r="F76" s="1" t="s">
        <v>337</v>
      </c>
      <c r="G76" s="1"/>
      <c r="H76" s="834">
        <v>45691</v>
      </c>
      <c r="I76" s="978">
        <v>46387</v>
      </c>
      <c r="J76" s="29"/>
      <c r="K76" s="3">
        <v>1</v>
      </c>
      <c r="L76" s="28">
        <f t="shared" ref="L76:L77" si="99">K76*$L$1</f>
        <v>1</v>
      </c>
      <c r="M76" s="3">
        <v>1</v>
      </c>
      <c r="N76" s="383">
        <f t="shared" si="98"/>
        <v>1</v>
      </c>
      <c r="O76" s="15">
        <v>1</v>
      </c>
      <c r="P76" s="374">
        <f t="shared" si="84"/>
        <v>1</v>
      </c>
      <c r="Q76" s="1131">
        <v>1</v>
      </c>
      <c r="R76" s="557">
        <f t="shared" si="85"/>
        <v>1</v>
      </c>
      <c r="S76" s="1212">
        <v>1</v>
      </c>
      <c r="T76" s="556">
        <f t="shared" si="86"/>
        <v>0.6</v>
      </c>
      <c r="U76" s="1128">
        <v>1</v>
      </c>
      <c r="V76" s="1128"/>
      <c r="W76" s="1128">
        <v>1</v>
      </c>
      <c r="X76" s="1128"/>
      <c r="Y76" s="1128">
        <v>1</v>
      </c>
      <c r="Z76" s="1128"/>
      <c r="AA76" s="1128">
        <v>1</v>
      </c>
      <c r="AB76" s="1128"/>
      <c r="AC76" s="1128">
        <v>1</v>
      </c>
      <c r="AD76" s="1181"/>
      <c r="AE76" s="1129"/>
      <c r="AF76" s="1143"/>
      <c r="AG76" s="1130"/>
      <c r="AH76" s="1131"/>
      <c r="AI76" s="1131"/>
      <c r="AJ76" s="1142"/>
      <c r="AK76" s="1129"/>
      <c r="AL76" s="1130"/>
      <c r="AM76" s="1130"/>
      <c r="AN76" s="1142"/>
      <c r="AO76" s="721">
        <f t="shared" si="95"/>
        <v>10</v>
      </c>
      <c r="AP76" s="722">
        <f t="shared" si="96"/>
        <v>4.5999999999999996</v>
      </c>
      <c r="AQ76" s="723">
        <f t="shared" si="97"/>
        <v>5.4</v>
      </c>
      <c r="AR76" s="643" t="s">
        <v>43</v>
      </c>
      <c r="AS76" s="1521"/>
      <c r="AT76" s="349"/>
      <c r="AU76" s="349"/>
    </row>
    <row r="77" spans="1:47" s="140" customFormat="1" ht="17" customHeight="1" thickBot="1">
      <c r="B77" s="1834"/>
      <c r="C77" s="1810"/>
      <c r="D77" s="1" t="s">
        <v>22</v>
      </c>
      <c r="E77" s="1" t="s">
        <v>56</v>
      </c>
      <c r="F77" s="1" t="s">
        <v>338</v>
      </c>
      <c r="G77" s="1"/>
      <c r="H77" s="834">
        <v>45691</v>
      </c>
      <c r="I77" s="978">
        <v>46295</v>
      </c>
      <c r="J77" s="29"/>
      <c r="K77" s="3">
        <v>1</v>
      </c>
      <c r="L77" s="28">
        <f t="shared" si="99"/>
        <v>1</v>
      </c>
      <c r="M77" s="3">
        <v>1</v>
      </c>
      <c r="N77" s="374">
        <f t="shared" si="98"/>
        <v>1</v>
      </c>
      <c r="O77" s="15">
        <v>1</v>
      </c>
      <c r="P77" s="374">
        <f t="shared" si="84"/>
        <v>1</v>
      </c>
      <c r="Q77" s="1131">
        <v>1</v>
      </c>
      <c r="R77" s="557">
        <f t="shared" si="85"/>
        <v>1</v>
      </c>
      <c r="S77" s="1212">
        <v>1</v>
      </c>
      <c r="T77" s="556">
        <f t="shared" si="86"/>
        <v>0.6</v>
      </c>
      <c r="U77" s="1128">
        <v>1</v>
      </c>
      <c r="V77" s="1128"/>
      <c r="W77" s="1128">
        <v>1</v>
      </c>
      <c r="X77" s="1128"/>
      <c r="Y77" s="1128">
        <v>1</v>
      </c>
      <c r="Z77" s="1128"/>
      <c r="AA77" s="1128">
        <v>1</v>
      </c>
      <c r="AB77" s="1128"/>
      <c r="AC77" s="1128"/>
      <c r="AD77" s="1181"/>
      <c r="AE77" s="1129"/>
      <c r="AF77" s="1143"/>
      <c r="AG77" s="1130"/>
      <c r="AH77" s="1131"/>
      <c r="AI77" s="1131"/>
      <c r="AJ77" s="1142"/>
      <c r="AK77" s="1129"/>
      <c r="AL77" s="1130"/>
      <c r="AM77" s="1130"/>
      <c r="AN77" s="1142"/>
      <c r="AO77" s="721">
        <f t="shared" si="95"/>
        <v>9</v>
      </c>
      <c r="AP77" s="722">
        <f t="shared" si="96"/>
        <v>4.5999999999999996</v>
      </c>
      <c r="AQ77" s="723">
        <f t="shared" si="97"/>
        <v>4.4000000000000004</v>
      </c>
      <c r="AR77" s="697" t="s">
        <v>43</v>
      </c>
      <c r="AS77" s="1521"/>
      <c r="AT77" s="349"/>
      <c r="AU77" s="349"/>
    </row>
    <row r="78" spans="1:47" s="140" customFormat="1" ht="17" customHeight="1">
      <c r="B78" s="1834"/>
      <c r="C78" s="1810"/>
      <c r="D78" s="1" t="s">
        <v>19</v>
      </c>
      <c r="E78" s="1" t="s">
        <v>56</v>
      </c>
      <c r="F78" s="1686" t="s">
        <v>596</v>
      </c>
      <c r="G78" s="1686" t="s">
        <v>557</v>
      </c>
      <c r="H78" s="974">
        <v>45748</v>
      </c>
      <c r="I78" s="980">
        <v>46022</v>
      </c>
      <c r="J78" s="580"/>
      <c r="K78" s="4"/>
      <c r="L78" s="4"/>
      <c r="M78" s="4"/>
      <c r="N78" s="390"/>
      <c r="O78" s="958">
        <v>0</v>
      </c>
      <c r="P78" s="765">
        <f>$O$1*$P$1</f>
        <v>1</v>
      </c>
      <c r="Q78" s="1126">
        <v>0</v>
      </c>
      <c r="R78" s="1368">
        <f>R$1*Q1</f>
        <v>1</v>
      </c>
      <c r="S78" s="1361">
        <v>0</v>
      </c>
      <c r="T78" s="1125">
        <f t="shared" ref="T78:T82" si="100">$T$1</f>
        <v>0.6</v>
      </c>
      <c r="U78" s="1126">
        <v>0</v>
      </c>
      <c r="V78" s="1369"/>
      <c r="W78" s="1126">
        <v>0</v>
      </c>
      <c r="X78" s="1369"/>
      <c r="Y78" s="1126">
        <v>0</v>
      </c>
      <c r="Z78" s="1369"/>
      <c r="AA78" s="1126">
        <v>0</v>
      </c>
      <c r="AB78" s="1369"/>
      <c r="AC78" s="1126">
        <v>0</v>
      </c>
      <c r="AD78" s="1368"/>
      <c r="AE78" s="1361">
        <v>0</v>
      </c>
      <c r="AF78" s="1370"/>
      <c r="AG78" s="536"/>
      <c r="AH78" s="383"/>
      <c r="AI78" s="536"/>
      <c r="AJ78" s="54"/>
      <c r="AK78" s="1380"/>
      <c r="AL78" s="53"/>
      <c r="AM78" s="536"/>
      <c r="AN78" s="1183"/>
      <c r="AO78" s="522">
        <f t="shared" si="87"/>
        <v>0</v>
      </c>
      <c r="AP78" s="524">
        <f t="shared" si="88"/>
        <v>2.6</v>
      </c>
      <c r="AQ78" s="525">
        <f t="shared" si="89"/>
        <v>-2.6</v>
      </c>
      <c r="AR78" s="643" t="s">
        <v>43</v>
      </c>
      <c r="AS78" s="1521"/>
      <c r="AT78" s="349"/>
      <c r="AU78" s="349"/>
    </row>
    <row r="79" spans="1:47" s="140" customFormat="1" ht="17" customHeight="1">
      <c r="B79" s="1828"/>
      <c r="C79" s="1811"/>
      <c r="D79" s="1736" t="s">
        <v>663</v>
      </c>
      <c r="E79" s="1736" t="s">
        <v>661</v>
      </c>
      <c r="F79" s="1736" t="s">
        <v>662</v>
      </c>
      <c r="G79" s="1736" t="s">
        <v>1028</v>
      </c>
      <c r="H79" s="1752">
        <v>45810</v>
      </c>
      <c r="I79" s="1753">
        <v>45813</v>
      </c>
      <c r="J79" s="361"/>
      <c r="K79" s="3"/>
      <c r="L79" s="3"/>
      <c r="M79" s="3"/>
      <c r="N79" s="3"/>
      <c r="O79" s="3"/>
      <c r="P79" s="3"/>
      <c r="Q79" s="28"/>
      <c r="R79" s="28"/>
      <c r="S79" s="1364">
        <v>0</v>
      </c>
      <c r="T79" s="1125">
        <v>0</v>
      </c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941"/>
      <c r="AH79" s="900"/>
      <c r="AI79" s="536"/>
      <c r="AJ79" s="780"/>
      <c r="AK79" s="1380"/>
      <c r="AL79" s="744"/>
      <c r="AM79" s="536"/>
      <c r="AN79" s="1216"/>
      <c r="AO79" s="522">
        <f t="shared" ref="AO79:AO80" si="101">+K79+M79+O79+Q79+S79+U79+W79+Y79+AA79+AC79+AE79+AG79+AI79+AK79+AM79</f>
        <v>0</v>
      </c>
      <c r="AP79" s="524">
        <f t="shared" ref="AP79" si="102">+L79+N79+P79+R79+T79+V79+X79+Z79+AB79+AD79+AF79+AH79+AJ79+AL79+AN79</f>
        <v>0</v>
      </c>
      <c r="AQ79" s="525">
        <f t="shared" ref="AQ79" si="103">AO79-AP79</f>
        <v>0</v>
      </c>
      <c r="AR79" s="687"/>
      <c r="AS79" s="1521"/>
      <c r="AT79" s="349"/>
      <c r="AU79" s="349"/>
    </row>
    <row r="80" spans="1:47" s="140" customFormat="1" ht="17" customHeight="1">
      <c r="B80" s="1828"/>
      <c r="C80" s="1810"/>
      <c r="D80" s="95" t="s">
        <v>1032</v>
      </c>
      <c r="E80" s="1" t="s">
        <v>56</v>
      </c>
      <c r="F80" s="1686" t="s">
        <v>1029</v>
      </c>
      <c r="G80" s="1686" t="s">
        <v>1030</v>
      </c>
      <c r="H80" s="974">
        <v>45824</v>
      </c>
      <c r="I80" s="980">
        <v>46263</v>
      </c>
      <c r="J80" s="361"/>
      <c r="K80" s="3"/>
      <c r="L80" s="3"/>
      <c r="M80" s="3"/>
      <c r="N80" s="3"/>
      <c r="O80" s="3"/>
      <c r="P80" s="3"/>
      <c r="Q80" s="28"/>
      <c r="R80" s="28"/>
      <c r="S80" s="1690">
        <v>0</v>
      </c>
      <c r="T80" s="1125">
        <f>$T$1*0.5</f>
        <v>0.3</v>
      </c>
      <c r="U80" s="1125">
        <v>0</v>
      </c>
      <c r="V80" s="1125"/>
      <c r="W80" s="1125">
        <v>0</v>
      </c>
      <c r="X80" s="1125"/>
      <c r="Y80" s="28"/>
      <c r="Z80" s="28"/>
      <c r="AA80" s="28"/>
      <c r="AB80" s="28"/>
      <c r="AC80" s="28"/>
      <c r="AD80" s="28"/>
      <c r="AE80" s="28"/>
      <c r="AF80" s="28"/>
      <c r="AG80" s="1683"/>
      <c r="AH80" s="900"/>
      <c r="AI80" s="539"/>
      <c r="AJ80" s="780"/>
      <c r="AK80" s="1684"/>
      <c r="AL80" s="744"/>
      <c r="AM80" s="539"/>
      <c r="AN80" s="1216"/>
      <c r="AO80" s="523">
        <f t="shared" si="101"/>
        <v>0</v>
      </c>
      <c r="AP80" s="520"/>
      <c r="AQ80" s="521"/>
      <c r="AR80" s="687"/>
      <c r="AS80" s="1521"/>
      <c r="AT80" s="349"/>
      <c r="AU80" s="349"/>
    </row>
    <row r="81" spans="2:47" s="140" customFormat="1" ht="17" customHeight="1">
      <c r="B81" s="1828"/>
      <c r="C81" s="1810"/>
      <c r="D81" s="95" t="s">
        <v>1032</v>
      </c>
      <c r="E81" s="1" t="s">
        <v>56</v>
      </c>
      <c r="F81" s="1686" t="s">
        <v>1031</v>
      </c>
      <c r="G81" s="1686" t="s">
        <v>1030</v>
      </c>
      <c r="H81" s="974">
        <v>45824</v>
      </c>
      <c r="I81" s="980">
        <v>46263</v>
      </c>
      <c r="J81" s="361"/>
      <c r="K81" s="3"/>
      <c r="L81" s="3"/>
      <c r="M81" s="3"/>
      <c r="N81" s="3"/>
      <c r="O81" s="3"/>
      <c r="P81" s="3"/>
      <c r="Q81" s="28"/>
      <c r="R81" s="28"/>
      <c r="S81" s="1690">
        <v>0</v>
      </c>
      <c r="T81" s="1125">
        <f>$T$1*0.5</f>
        <v>0.3</v>
      </c>
      <c r="U81" s="1125">
        <v>0</v>
      </c>
      <c r="V81" s="1125"/>
      <c r="W81" s="1125">
        <v>0</v>
      </c>
      <c r="X81" s="1125"/>
      <c r="Y81" s="28"/>
      <c r="Z81" s="28"/>
      <c r="AA81" s="28"/>
      <c r="AB81" s="28"/>
      <c r="AC81" s="28"/>
      <c r="AD81" s="28"/>
      <c r="AE81" s="28"/>
      <c r="AF81" s="28"/>
      <c r="AG81" s="1683"/>
      <c r="AH81" s="900"/>
      <c r="AI81" s="539"/>
      <c r="AJ81" s="780"/>
      <c r="AK81" s="1684"/>
      <c r="AL81" s="744"/>
      <c r="AM81" s="539"/>
      <c r="AN81" s="1216"/>
      <c r="AO81" s="523"/>
      <c r="AP81" s="520"/>
      <c r="AQ81" s="521"/>
      <c r="AR81" s="687"/>
      <c r="AS81" s="1521"/>
      <c r="AT81" s="349"/>
      <c r="AU81" s="349"/>
    </row>
    <row r="82" spans="2:47" s="140" customFormat="1" ht="17" customHeight="1" thickBot="1">
      <c r="B82" s="1835"/>
      <c r="C82" s="1812"/>
      <c r="D82" s="103" t="s">
        <v>19</v>
      </c>
      <c r="E82" s="103" t="s">
        <v>56</v>
      </c>
      <c r="F82" s="1695" t="s">
        <v>597</v>
      </c>
      <c r="G82" s="1695" t="s">
        <v>557</v>
      </c>
      <c r="H82" s="1696">
        <v>45748</v>
      </c>
      <c r="I82" s="982">
        <v>46022</v>
      </c>
      <c r="J82" s="1687"/>
      <c r="K82" s="778"/>
      <c r="L82" s="778"/>
      <c r="M82" s="778"/>
      <c r="N82" s="964"/>
      <c r="O82" s="1688">
        <v>0</v>
      </c>
      <c r="P82" s="1689">
        <f>$O$1*$P$1</f>
        <v>1</v>
      </c>
      <c r="Q82" s="1387">
        <v>0</v>
      </c>
      <c r="R82" s="1371">
        <f>R$1*Q1</f>
        <v>1</v>
      </c>
      <c r="S82" s="1362">
        <v>0</v>
      </c>
      <c r="T82" s="1125">
        <f t="shared" si="100"/>
        <v>0.6</v>
      </c>
      <c r="U82" s="1127">
        <v>0</v>
      </c>
      <c r="V82" s="1127"/>
      <c r="W82" s="1127">
        <v>0</v>
      </c>
      <c r="X82" s="1127"/>
      <c r="Y82" s="1127">
        <v>0</v>
      </c>
      <c r="Z82" s="1127"/>
      <c r="AA82" s="1127">
        <v>0</v>
      </c>
      <c r="AB82" s="1127"/>
      <c r="AC82" s="1127">
        <v>0</v>
      </c>
      <c r="AD82" s="1372"/>
      <c r="AE82" s="1362">
        <v>0</v>
      </c>
      <c r="AF82" s="1373"/>
      <c r="AG82" s="539"/>
      <c r="AH82" s="376"/>
      <c r="AI82" s="539"/>
      <c r="AJ82" s="122"/>
      <c r="AK82" s="1381"/>
      <c r="AL82" s="592"/>
      <c r="AM82" s="596"/>
      <c r="AN82" s="1217"/>
      <c r="AO82" s="624">
        <f t="shared" si="87"/>
        <v>0</v>
      </c>
      <c r="AP82" s="626">
        <f t="shared" si="88"/>
        <v>2.6</v>
      </c>
      <c r="AQ82" s="625">
        <f t="shared" si="89"/>
        <v>-2.6</v>
      </c>
      <c r="AR82" s="697" t="s">
        <v>43</v>
      </c>
      <c r="AS82" s="1521"/>
      <c r="AT82" s="349"/>
      <c r="AU82" s="349"/>
    </row>
    <row r="83" spans="2:47" s="140" customFormat="1" ht="17" customHeight="1">
      <c r="B83" s="1834"/>
      <c r="C83" s="1838" t="s">
        <v>344</v>
      </c>
      <c r="D83" s="93" t="s">
        <v>21</v>
      </c>
      <c r="E83" s="9" t="s">
        <v>56</v>
      </c>
      <c r="F83" s="9" t="s">
        <v>339</v>
      </c>
      <c r="G83" s="9"/>
      <c r="H83" s="1694">
        <v>45726</v>
      </c>
      <c r="I83" s="976">
        <v>46127</v>
      </c>
      <c r="J83" s="366"/>
      <c r="K83" s="700"/>
      <c r="L83" s="700"/>
      <c r="M83" s="700">
        <v>0.75</v>
      </c>
      <c r="N83" s="383">
        <f t="shared" ref="N83:N88" si="104">M83*N$1</f>
        <v>0.75</v>
      </c>
      <c r="O83" s="13">
        <v>1</v>
      </c>
      <c r="P83" s="49">
        <f t="shared" ref="P83:P93" si="105">$P$1*O83</f>
        <v>1</v>
      </c>
      <c r="Q83" s="1149">
        <v>1</v>
      </c>
      <c r="R83" s="373">
        <f t="shared" si="85"/>
        <v>1</v>
      </c>
      <c r="S83" s="1148">
        <v>1</v>
      </c>
      <c r="T83" s="556">
        <f t="shared" ref="T83:T89" si="106">$T$1*S83</f>
        <v>0.6</v>
      </c>
      <c r="U83" s="1149">
        <v>1</v>
      </c>
      <c r="V83" s="1149"/>
      <c r="W83" s="1149">
        <v>1</v>
      </c>
      <c r="X83" s="1149"/>
      <c r="Y83" s="1149">
        <v>1</v>
      </c>
      <c r="Z83" s="1149"/>
      <c r="AA83" s="1149">
        <v>1</v>
      </c>
      <c r="AB83" s="1149"/>
      <c r="AC83" s="1149">
        <v>1</v>
      </c>
      <c r="AD83" s="1145"/>
      <c r="AE83" s="1148">
        <v>1</v>
      </c>
      <c r="AF83" s="1149"/>
      <c r="AG83" s="1149">
        <v>1</v>
      </c>
      <c r="AH83" s="1149"/>
      <c r="AI83" s="1149">
        <v>1</v>
      </c>
      <c r="AJ83" s="1211"/>
      <c r="AK83" s="1218">
        <v>1</v>
      </c>
      <c r="AL83" s="1182"/>
      <c r="AM83" s="1182">
        <v>0.5</v>
      </c>
      <c r="AN83" s="1183"/>
      <c r="AO83" s="719">
        <f t="shared" si="87"/>
        <v>13.25</v>
      </c>
      <c r="AP83" s="524">
        <f t="shared" si="88"/>
        <v>3.35</v>
      </c>
      <c r="AQ83" s="525">
        <f t="shared" si="89"/>
        <v>9.9</v>
      </c>
      <c r="AR83" s="643" t="s">
        <v>283</v>
      </c>
      <c r="AS83" s="1521"/>
      <c r="AT83" s="349"/>
      <c r="AU83" s="349"/>
    </row>
    <row r="84" spans="2:47" s="140" customFormat="1" ht="17" customHeight="1">
      <c r="B84" s="1834"/>
      <c r="C84" s="1839"/>
      <c r="D84" s="1" t="s">
        <v>21</v>
      </c>
      <c r="E84" s="1" t="s">
        <v>56</v>
      </c>
      <c r="F84" s="1" t="s">
        <v>577</v>
      </c>
      <c r="G84" s="1"/>
      <c r="H84" s="834">
        <v>45726</v>
      </c>
      <c r="I84" s="978">
        <v>46112</v>
      </c>
      <c r="J84" s="29"/>
      <c r="K84" s="354"/>
      <c r="L84" s="354"/>
      <c r="M84" s="354">
        <v>0.75</v>
      </c>
      <c r="N84" s="383">
        <f t="shared" si="104"/>
        <v>0.75</v>
      </c>
      <c r="O84" s="15">
        <v>1</v>
      </c>
      <c r="P84" s="28">
        <f t="shared" si="105"/>
        <v>1</v>
      </c>
      <c r="Q84" s="1130">
        <v>1</v>
      </c>
      <c r="R84" s="374">
        <f t="shared" si="85"/>
        <v>1</v>
      </c>
      <c r="S84" s="1129">
        <v>1</v>
      </c>
      <c r="T84" s="556">
        <f t="shared" si="106"/>
        <v>0.6</v>
      </c>
      <c r="U84" s="1130">
        <v>1</v>
      </c>
      <c r="V84" s="1130"/>
      <c r="W84" s="1130">
        <v>1</v>
      </c>
      <c r="X84" s="1130"/>
      <c r="Y84" s="1130">
        <v>1</v>
      </c>
      <c r="Z84" s="1130"/>
      <c r="AA84" s="1130">
        <v>1</v>
      </c>
      <c r="AB84" s="1130"/>
      <c r="AC84" s="1130">
        <v>1</v>
      </c>
      <c r="AD84" s="1131"/>
      <c r="AE84" s="1129">
        <v>1</v>
      </c>
      <c r="AF84" s="1130"/>
      <c r="AG84" s="1130">
        <v>1</v>
      </c>
      <c r="AH84" s="1130"/>
      <c r="AI84" s="1219">
        <v>1</v>
      </c>
      <c r="AJ84" s="1214"/>
      <c r="AK84" s="1220">
        <v>1</v>
      </c>
      <c r="AL84" s="1219"/>
      <c r="AM84" s="1130">
        <v>0.5</v>
      </c>
      <c r="AN84" s="1142"/>
      <c r="AO84" s="719">
        <f t="shared" si="87"/>
        <v>13.25</v>
      </c>
      <c r="AP84" s="524">
        <f t="shared" si="88"/>
        <v>3.35</v>
      </c>
      <c r="AQ84" s="525">
        <f t="shared" si="89"/>
        <v>9.9</v>
      </c>
      <c r="AR84" s="638" t="s">
        <v>283</v>
      </c>
      <c r="AS84" s="1521"/>
      <c r="AT84" s="349"/>
      <c r="AU84" s="349"/>
    </row>
    <row r="85" spans="2:47" s="140" customFormat="1" ht="17" customHeight="1">
      <c r="B85" s="1834"/>
      <c r="C85" s="1839"/>
      <c r="D85" s="1" t="s">
        <v>21</v>
      </c>
      <c r="E85" s="1" t="s">
        <v>56</v>
      </c>
      <c r="F85" s="1" t="s">
        <v>340</v>
      </c>
      <c r="G85" s="1"/>
      <c r="H85" s="834">
        <v>45748</v>
      </c>
      <c r="I85" s="978">
        <v>46112</v>
      </c>
      <c r="J85" s="29"/>
      <c r="K85" s="354"/>
      <c r="L85" s="354"/>
      <c r="M85" s="354"/>
      <c r="N85" s="383"/>
      <c r="O85" s="15">
        <v>1</v>
      </c>
      <c r="P85" s="28">
        <f t="shared" si="105"/>
        <v>1</v>
      </c>
      <c r="Q85" s="1130">
        <v>1</v>
      </c>
      <c r="R85" s="374">
        <f t="shared" si="85"/>
        <v>1</v>
      </c>
      <c r="S85" s="1129">
        <v>1</v>
      </c>
      <c r="T85" s="556">
        <f t="shared" si="106"/>
        <v>0.6</v>
      </c>
      <c r="U85" s="1130">
        <v>1</v>
      </c>
      <c r="V85" s="1130"/>
      <c r="W85" s="1130">
        <v>1</v>
      </c>
      <c r="X85" s="1130"/>
      <c r="Y85" s="1130">
        <v>1</v>
      </c>
      <c r="Z85" s="1130"/>
      <c r="AA85" s="1130">
        <v>1</v>
      </c>
      <c r="AB85" s="1130"/>
      <c r="AC85" s="1130">
        <v>1</v>
      </c>
      <c r="AD85" s="1131"/>
      <c r="AE85" s="1129">
        <v>1</v>
      </c>
      <c r="AF85" s="1130"/>
      <c r="AG85" s="1219">
        <v>1</v>
      </c>
      <c r="AH85" s="1219"/>
      <c r="AI85" s="1219">
        <v>0.5</v>
      </c>
      <c r="AJ85" s="1214"/>
      <c r="AK85" s="1220"/>
      <c r="AL85" s="1219"/>
      <c r="AM85" s="1130"/>
      <c r="AN85" s="1142"/>
      <c r="AO85" s="719">
        <f t="shared" si="87"/>
        <v>10.5</v>
      </c>
      <c r="AP85" s="524">
        <f t="shared" si="88"/>
        <v>2.6</v>
      </c>
      <c r="AQ85" s="525">
        <f t="shared" si="89"/>
        <v>7.9</v>
      </c>
      <c r="AR85" s="638" t="s">
        <v>42</v>
      </c>
      <c r="AS85" s="1521"/>
      <c r="AT85" s="349"/>
      <c r="AU85" s="349"/>
    </row>
    <row r="86" spans="2:47" s="140" customFormat="1" ht="17" customHeight="1">
      <c r="B86" s="1834"/>
      <c r="C86" s="1839"/>
      <c r="D86" s="1" t="s">
        <v>22</v>
      </c>
      <c r="E86" s="1" t="s">
        <v>56</v>
      </c>
      <c r="F86" s="1" t="s">
        <v>326</v>
      </c>
      <c r="G86" s="1"/>
      <c r="H86" s="834">
        <v>45726</v>
      </c>
      <c r="I86" s="978">
        <v>46112</v>
      </c>
      <c r="J86" s="29"/>
      <c r="K86" s="354"/>
      <c r="L86" s="354"/>
      <c r="M86" s="354">
        <v>0.75</v>
      </c>
      <c r="N86" s="383">
        <f t="shared" si="104"/>
        <v>0.75</v>
      </c>
      <c r="O86" s="15">
        <v>1</v>
      </c>
      <c r="P86" s="28">
        <f t="shared" si="105"/>
        <v>1</v>
      </c>
      <c r="Q86" s="1130">
        <v>1</v>
      </c>
      <c r="R86" s="374">
        <f t="shared" si="85"/>
        <v>1</v>
      </c>
      <c r="S86" s="1129">
        <v>1</v>
      </c>
      <c r="T86" s="556">
        <f t="shared" si="106"/>
        <v>0.6</v>
      </c>
      <c r="U86" s="1130">
        <v>1</v>
      </c>
      <c r="V86" s="1130"/>
      <c r="W86" s="1130">
        <v>1</v>
      </c>
      <c r="X86" s="1130"/>
      <c r="Y86" s="1130">
        <v>1</v>
      </c>
      <c r="Z86" s="1130"/>
      <c r="AA86" s="1130">
        <v>1</v>
      </c>
      <c r="AB86" s="1130"/>
      <c r="AC86" s="1130">
        <v>1</v>
      </c>
      <c r="AD86" s="1131"/>
      <c r="AE86" s="1129">
        <v>1</v>
      </c>
      <c r="AF86" s="1130"/>
      <c r="AG86" s="1130">
        <v>1</v>
      </c>
      <c r="AH86" s="1130"/>
      <c r="AI86" s="1130">
        <v>1</v>
      </c>
      <c r="AJ86" s="1142"/>
      <c r="AK86" s="1143">
        <v>1</v>
      </c>
      <c r="AL86" s="1130"/>
      <c r="AM86" s="1130">
        <v>0.5</v>
      </c>
      <c r="AN86" s="1142"/>
      <c r="AO86" s="719">
        <f t="shared" si="87"/>
        <v>13.25</v>
      </c>
      <c r="AP86" s="524">
        <f t="shared" si="88"/>
        <v>3.35</v>
      </c>
      <c r="AQ86" s="525">
        <f t="shared" si="89"/>
        <v>9.9</v>
      </c>
      <c r="AR86" s="638" t="s">
        <v>43</v>
      </c>
      <c r="AS86" s="1521"/>
      <c r="AT86" s="349"/>
      <c r="AU86" s="349"/>
    </row>
    <row r="87" spans="2:47" s="140" customFormat="1" ht="17" customHeight="1">
      <c r="B87" s="1834"/>
      <c r="C87" s="1839"/>
      <c r="D87" s="1" t="s">
        <v>22</v>
      </c>
      <c r="E87" s="1" t="s">
        <v>56</v>
      </c>
      <c r="F87" s="1" t="s">
        <v>341</v>
      </c>
      <c r="G87" s="1"/>
      <c r="H87" s="834">
        <v>45748</v>
      </c>
      <c r="I87" s="978">
        <v>46356</v>
      </c>
      <c r="J87" s="29"/>
      <c r="K87" s="354"/>
      <c r="L87" s="354"/>
      <c r="M87" s="354"/>
      <c r="N87" s="383"/>
      <c r="O87" s="15">
        <v>1</v>
      </c>
      <c r="P87" s="28">
        <f t="shared" si="105"/>
        <v>1</v>
      </c>
      <c r="Q87" s="1130">
        <v>1</v>
      </c>
      <c r="R87" s="374">
        <f t="shared" si="85"/>
        <v>1</v>
      </c>
      <c r="S87" s="1129">
        <v>1</v>
      </c>
      <c r="T87" s="556">
        <f t="shared" si="106"/>
        <v>0.6</v>
      </c>
      <c r="U87" s="1130">
        <v>1</v>
      </c>
      <c r="V87" s="1130"/>
      <c r="W87" s="1130">
        <v>1</v>
      </c>
      <c r="X87" s="1130"/>
      <c r="Y87" s="1130">
        <v>1</v>
      </c>
      <c r="Z87" s="1130"/>
      <c r="AA87" s="1130">
        <v>1</v>
      </c>
      <c r="AB87" s="1130"/>
      <c r="AC87" s="1130"/>
      <c r="AD87" s="1131"/>
      <c r="AE87" s="1129"/>
      <c r="AF87" s="1130"/>
      <c r="AG87" s="1130"/>
      <c r="AH87" s="1130"/>
      <c r="AI87" s="1130"/>
      <c r="AJ87" s="1142"/>
      <c r="AK87" s="1143"/>
      <c r="AL87" s="1130"/>
      <c r="AM87" s="1130"/>
      <c r="AN87" s="1142"/>
      <c r="AO87" s="719">
        <f t="shared" si="87"/>
        <v>7</v>
      </c>
      <c r="AP87" s="524">
        <f t="shared" si="88"/>
        <v>2.6</v>
      </c>
      <c r="AQ87" s="525">
        <f t="shared" si="89"/>
        <v>4.4000000000000004</v>
      </c>
      <c r="AR87" s="638" t="s">
        <v>43</v>
      </c>
      <c r="AS87" s="1521"/>
      <c r="AT87" s="349"/>
      <c r="AU87" s="349"/>
    </row>
    <row r="88" spans="2:47" s="140" customFormat="1" ht="17" customHeight="1">
      <c r="B88" s="1834"/>
      <c r="C88" s="1839"/>
      <c r="D88" s="1" t="s">
        <v>22</v>
      </c>
      <c r="E88" s="1" t="s">
        <v>56</v>
      </c>
      <c r="F88" s="1" t="s">
        <v>342</v>
      </c>
      <c r="G88" s="1"/>
      <c r="H88" s="834">
        <v>45726</v>
      </c>
      <c r="I88" s="978">
        <v>46356</v>
      </c>
      <c r="J88" s="29"/>
      <c r="K88" s="354"/>
      <c r="L88" s="354"/>
      <c r="M88" s="354">
        <v>0.75</v>
      </c>
      <c r="N88" s="383">
        <f t="shared" si="104"/>
        <v>0.75</v>
      </c>
      <c r="O88" s="15">
        <v>1</v>
      </c>
      <c r="P88" s="28">
        <f t="shared" si="105"/>
        <v>1</v>
      </c>
      <c r="Q88" s="1130">
        <v>1</v>
      </c>
      <c r="R88" s="374">
        <f t="shared" si="85"/>
        <v>1</v>
      </c>
      <c r="S88" s="1129">
        <v>1</v>
      </c>
      <c r="T88" s="556">
        <f t="shared" si="106"/>
        <v>0.6</v>
      </c>
      <c r="U88" s="1130">
        <v>1</v>
      </c>
      <c r="V88" s="1130"/>
      <c r="W88" s="1130">
        <v>1</v>
      </c>
      <c r="X88" s="1130"/>
      <c r="Y88" s="1130">
        <v>1</v>
      </c>
      <c r="Z88" s="1130"/>
      <c r="AA88" s="1130">
        <v>1</v>
      </c>
      <c r="AB88" s="1130"/>
      <c r="AC88" s="1130">
        <v>1</v>
      </c>
      <c r="AD88" s="1213"/>
      <c r="AE88" s="1129"/>
      <c r="AF88" s="1130"/>
      <c r="AG88" s="1130"/>
      <c r="AH88" s="1130"/>
      <c r="AI88" s="1130"/>
      <c r="AJ88" s="1142"/>
      <c r="AK88" s="1143"/>
      <c r="AL88" s="1130"/>
      <c r="AM88" s="1130"/>
      <c r="AN88" s="1142"/>
      <c r="AO88" s="719">
        <f t="shared" si="87"/>
        <v>8.75</v>
      </c>
      <c r="AP88" s="524">
        <f t="shared" si="88"/>
        <v>3.35</v>
      </c>
      <c r="AQ88" s="525">
        <f t="shared" si="89"/>
        <v>5.4</v>
      </c>
      <c r="AR88" s="638" t="s">
        <v>43</v>
      </c>
      <c r="AS88" s="1521"/>
      <c r="AT88" s="349"/>
      <c r="AU88" s="349"/>
    </row>
    <row r="89" spans="2:47" s="140" customFormat="1" ht="17" customHeight="1" thickBot="1">
      <c r="B89" s="1828"/>
      <c r="C89" s="1839"/>
      <c r="D89" s="1" t="s">
        <v>22</v>
      </c>
      <c r="E89" s="1" t="s">
        <v>56</v>
      </c>
      <c r="F89" s="1" t="s">
        <v>343</v>
      </c>
      <c r="G89" s="1"/>
      <c r="H89" s="834">
        <v>45748</v>
      </c>
      <c r="I89" s="978">
        <v>46341</v>
      </c>
      <c r="J89" s="360"/>
      <c r="K89" s="5"/>
      <c r="L89" s="5"/>
      <c r="M89" s="5"/>
      <c r="N89" s="595"/>
      <c r="O89" s="15">
        <v>1</v>
      </c>
      <c r="P89" s="28">
        <f t="shared" si="105"/>
        <v>1</v>
      </c>
      <c r="Q89" s="1130">
        <v>1</v>
      </c>
      <c r="R89" s="374">
        <f t="shared" si="85"/>
        <v>1</v>
      </c>
      <c r="S89" s="1129">
        <v>1</v>
      </c>
      <c r="T89" s="556">
        <f t="shared" si="106"/>
        <v>0.6</v>
      </c>
      <c r="U89" s="1130">
        <v>1</v>
      </c>
      <c r="V89" s="1130"/>
      <c r="W89" s="1130">
        <v>1</v>
      </c>
      <c r="X89" s="1130"/>
      <c r="Y89" s="1130">
        <v>1</v>
      </c>
      <c r="Z89" s="1130"/>
      <c r="AA89" s="1130">
        <v>1</v>
      </c>
      <c r="AB89" s="1130"/>
      <c r="AC89" s="1130"/>
      <c r="AD89" s="1213"/>
      <c r="AE89" s="1129"/>
      <c r="AF89" s="1130"/>
      <c r="AG89" s="1130"/>
      <c r="AH89" s="1130"/>
      <c r="AI89" s="1130"/>
      <c r="AJ89" s="1142"/>
      <c r="AK89" s="1137"/>
      <c r="AL89" s="1138"/>
      <c r="AM89" s="1138"/>
      <c r="AN89" s="1140"/>
      <c r="AO89" s="720">
        <f t="shared" si="87"/>
        <v>7</v>
      </c>
      <c r="AP89" s="520">
        <f t="shared" si="88"/>
        <v>2.6</v>
      </c>
      <c r="AQ89" s="521">
        <f t="shared" si="89"/>
        <v>4.4000000000000004</v>
      </c>
      <c r="AR89" s="639" t="s">
        <v>42</v>
      </c>
      <c r="AS89" s="1521"/>
      <c r="AT89" s="349"/>
      <c r="AU89" s="349"/>
    </row>
    <row r="90" spans="2:47" s="140" customFormat="1" ht="17" customHeight="1">
      <c r="B90" s="1828"/>
      <c r="C90" s="1840"/>
      <c r="D90" s="95" t="s">
        <v>22</v>
      </c>
      <c r="E90" s="95" t="s">
        <v>56</v>
      </c>
      <c r="F90" s="1686" t="s">
        <v>954</v>
      </c>
      <c r="G90" s="1686" t="s">
        <v>557</v>
      </c>
      <c r="H90" s="974">
        <v>45810</v>
      </c>
      <c r="I90" s="980">
        <v>46022</v>
      </c>
      <c r="J90" s="898"/>
      <c r="K90" s="43"/>
      <c r="L90" s="43"/>
      <c r="M90" s="43"/>
      <c r="N90" s="900"/>
      <c r="O90" s="15"/>
      <c r="P90" s="28"/>
      <c r="Q90" s="28"/>
      <c r="R90" s="374"/>
      <c r="S90" s="1363">
        <v>0</v>
      </c>
      <c r="T90" s="1125">
        <f t="shared" ref="T90:T91" si="107">$T$1</f>
        <v>0.6</v>
      </c>
      <c r="U90" s="1125">
        <v>0</v>
      </c>
      <c r="V90" s="1125"/>
      <c r="W90" s="1125">
        <v>0</v>
      </c>
      <c r="X90" s="1125"/>
      <c r="Y90" s="1125">
        <v>0</v>
      </c>
      <c r="Z90" s="1125"/>
      <c r="AA90" s="1125">
        <v>0</v>
      </c>
      <c r="AB90" s="1125"/>
      <c r="AC90" s="1125">
        <v>0</v>
      </c>
      <c r="AD90" s="1385"/>
      <c r="AE90" s="1363">
        <v>0</v>
      </c>
      <c r="AF90" s="1125"/>
      <c r="AG90" s="1130"/>
      <c r="AH90" s="1130"/>
      <c r="AI90" s="1130"/>
      <c r="AJ90" s="1142"/>
      <c r="AK90" s="1221"/>
      <c r="AL90" s="1222"/>
      <c r="AM90" s="1222"/>
      <c r="AN90" s="1216"/>
      <c r="AO90" s="522">
        <f t="shared" ref="AO90:AO91" si="108">+K90+M90+O90+Q90+S90+U90+W90+Y90+AA90+AC90+AE90+AG90+AI90+AK90+AM90</f>
        <v>0</v>
      </c>
      <c r="AP90" s="524">
        <f t="shared" ref="AP90:AP91" si="109">+L90+N90+P90+R90+T90+V90+X90+Z90+AB90+AD90+AF90+AH90+AJ90+AL90+AN90</f>
        <v>0.6</v>
      </c>
      <c r="AQ90" s="525">
        <f t="shared" ref="AQ90:AQ91" si="110">AO90-AP90</f>
        <v>-0.6</v>
      </c>
      <c r="AR90" s="687"/>
      <c r="AS90" s="1521"/>
      <c r="AT90" s="349"/>
      <c r="AU90" s="349"/>
    </row>
    <row r="91" spans="2:47" s="140" customFormat="1" ht="17" customHeight="1" thickBot="1">
      <c r="B91" s="1828"/>
      <c r="C91" s="1841"/>
      <c r="D91" s="175" t="s">
        <v>22</v>
      </c>
      <c r="E91" s="175" t="s">
        <v>56</v>
      </c>
      <c r="F91" s="1695" t="s">
        <v>955</v>
      </c>
      <c r="G91" s="1695" t="s">
        <v>557</v>
      </c>
      <c r="H91" s="1696">
        <v>45810</v>
      </c>
      <c r="I91" s="982">
        <v>46022</v>
      </c>
      <c r="J91" s="898"/>
      <c r="K91" s="43"/>
      <c r="L91" s="43"/>
      <c r="M91" s="43"/>
      <c r="N91" s="900"/>
      <c r="O91" s="21"/>
      <c r="P91" s="592"/>
      <c r="Q91" s="592"/>
      <c r="R91" s="595"/>
      <c r="S91" s="1375">
        <v>0</v>
      </c>
      <c r="T91" s="1125">
        <f t="shared" si="107"/>
        <v>0.6</v>
      </c>
      <c r="U91" s="1376">
        <v>0</v>
      </c>
      <c r="V91" s="1376"/>
      <c r="W91" s="1376">
        <v>0</v>
      </c>
      <c r="X91" s="1376"/>
      <c r="Y91" s="1376">
        <v>0</v>
      </c>
      <c r="Z91" s="1376"/>
      <c r="AA91" s="1376">
        <v>0</v>
      </c>
      <c r="AB91" s="1376"/>
      <c r="AC91" s="1376">
        <v>0</v>
      </c>
      <c r="AD91" s="1386"/>
      <c r="AE91" s="1375">
        <v>0</v>
      </c>
      <c r="AF91" s="1376"/>
      <c r="AG91" s="1223"/>
      <c r="AH91" s="1223"/>
      <c r="AI91" s="1223"/>
      <c r="AJ91" s="1217"/>
      <c r="AK91" s="1221"/>
      <c r="AL91" s="1222"/>
      <c r="AM91" s="1222"/>
      <c r="AN91" s="1216"/>
      <c r="AO91" s="522">
        <f t="shared" si="108"/>
        <v>0</v>
      </c>
      <c r="AP91" s="524">
        <f t="shared" si="109"/>
        <v>0.6</v>
      </c>
      <c r="AQ91" s="525">
        <f t="shared" si="110"/>
        <v>-0.6</v>
      </c>
      <c r="AR91" s="687"/>
      <c r="AS91" s="1521"/>
      <c r="AT91" s="349"/>
      <c r="AU91" s="349"/>
    </row>
    <row r="92" spans="2:47" s="140" customFormat="1" ht="17" hidden="1" customHeight="1">
      <c r="B92" s="1833"/>
      <c r="C92" s="174"/>
      <c r="D92" s="9" t="s">
        <v>19</v>
      </c>
      <c r="E92" s="9" t="s">
        <v>17</v>
      </c>
      <c r="F92" s="9" t="s">
        <v>278</v>
      </c>
      <c r="G92" s="9"/>
      <c r="H92" s="1694">
        <v>45691</v>
      </c>
      <c r="I92" s="976">
        <v>46096</v>
      </c>
      <c r="J92" s="794"/>
      <c r="K92" s="531">
        <v>1</v>
      </c>
      <c r="L92" s="7">
        <f t="shared" ref="L92:L93" si="111">K92*$L$1</f>
        <v>1</v>
      </c>
      <c r="M92" s="531">
        <v>1</v>
      </c>
      <c r="N92" s="4">
        <f t="shared" ref="N92:N93" si="112">M92*N$1</f>
        <v>1</v>
      </c>
      <c r="O92" s="128">
        <v>1</v>
      </c>
      <c r="P92" s="390">
        <f t="shared" si="105"/>
        <v>1</v>
      </c>
      <c r="Q92" s="1224">
        <v>1</v>
      </c>
      <c r="R92" s="506">
        <f t="shared" si="85"/>
        <v>1</v>
      </c>
      <c r="S92" s="1225">
        <v>1</v>
      </c>
      <c r="T92" s="556">
        <f t="shared" ref="T92:T93" si="113">$T$1*S92</f>
        <v>0.6</v>
      </c>
      <c r="U92" s="1226">
        <v>1</v>
      </c>
      <c r="V92" s="1226"/>
      <c r="W92" s="1226">
        <v>1</v>
      </c>
      <c r="X92" s="1226"/>
      <c r="Y92" s="1226">
        <v>1</v>
      </c>
      <c r="Z92" s="1226"/>
      <c r="AA92" s="1226">
        <v>1</v>
      </c>
      <c r="AB92" s="1226"/>
      <c r="AC92" s="1226">
        <v>1</v>
      </c>
      <c r="AD92" s="1227"/>
      <c r="AE92" s="1228">
        <v>1</v>
      </c>
      <c r="AF92" s="1229"/>
      <c r="AG92" s="1229">
        <v>1</v>
      </c>
      <c r="AH92" s="1230"/>
      <c r="AI92" s="1224">
        <v>1</v>
      </c>
      <c r="AJ92" s="1231"/>
      <c r="AK92" s="1232">
        <v>0.5</v>
      </c>
      <c r="AL92" s="1233"/>
      <c r="AM92" s="1149"/>
      <c r="AN92" s="1211"/>
      <c r="AO92" s="1583">
        <f t="shared" si="87"/>
        <v>13.5</v>
      </c>
      <c r="AP92" s="512">
        <f t="shared" si="88"/>
        <v>4.5999999999999996</v>
      </c>
      <c r="AQ92" s="513">
        <f t="shared" si="89"/>
        <v>8.9</v>
      </c>
      <c r="AR92" s="645" t="s">
        <v>886</v>
      </c>
      <c r="AS92" s="1453"/>
      <c r="AT92" s="427"/>
      <c r="AU92" s="349"/>
    </row>
    <row r="93" spans="2:47" s="140" customFormat="1" ht="17" hidden="1" customHeight="1" thickBot="1">
      <c r="B93" s="1835"/>
      <c r="C93" s="242"/>
      <c r="D93" s="1" t="s">
        <v>19</v>
      </c>
      <c r="E93" s="1" t="s">
        <v>17</v>
      </c>
      <c r="F93" s="1" t="s">
        <v>345</v>
      </c>
      <c r="G93" s="1"/>
      <c r="H93" s="834">
        <v>45691</v>
      </c>
      <c r="I93" s="978">
        <v>46081</v>
      </c>
      <c r="J93" s="1590"/>
      <c r="K93" s="179">
        <v>1</v>
      </c>
      <c r="L93" s="43">
        <f t="shared" si="111"/>
        <v>1</v>
      </c>
      <c r="M93" s="179">
        <v>1</v>
      </c>
      <c r="N93" s="5">
        <f t="shared" si="112"/>
        <v>1</v>
      </c>
      <c r="O93" s="179">
        <v>1</v>
      </c>
      <c r="P93" s="5">
        <f t="shared" si="105"/>
        <v>1</v>
      </c>
      <c r="Q93" s="1556">
        <v>1</v>
      </c>
      <c r="R93" s="779">
        <f t="shared" si="85"/>
        <v>1</v>
      </c>
      <c r="S93" s="1549">
        <v>1</v>
      </c>
      <c r="T93" s="1550">
        <f t="shared" si="113"/>
        <v>0.6</v>
      </c>
      <c r="U93" s="1551">
        <v>1</v>
      </c>
      <c r="V93" s="1551"/>
      <c r="W93" s="1551">
        <v>1</v>
      </c>
      <c r="X93" s="1551"/>
      <c r="Y93" s="1551">
        <v>1</v>
      </c>
      <c r="Z93" s="1551"/>
      <c r="AA93" s="1551">
        <v>1</v>
      </c>
      <c r="AB93" s="1551"/>
      <c r="AC93" s="1551">
        <v>1</v>
      </c>
      <c r="AD93" s="1552"/>
      <c r="AE93" s="1553">
        <v>1</v>
      </c>
      <c r="AF93" s="1554"/>
      <c r="AG93" s="1554">
        <v>1</v>
      </c>
      <c r="AH93" s="1555"/>
      <c r="AI93" s="1556">
        <v>1</v>
      </c>
      <c r="AJ93" s="1557"/>
      <c r="AK93" s="1553"/>
      <c r="AL93" s="1558"/>
      <c r="AM93" s="1138"/>
      <c r="AN93" s="1216"/>
      <c r="AO93" s="1584">
        <f t="shared" si="87"/>
        <v>13</v>
      </c>
      <c r="AP93" s="690">
        <f t="shared" si="88"/>
        <v>4.5999999999999996</v>
      </c>
      <c r="AQ93" s="691">
        <f t="shared" si="89"/>
        <v>8.4</v>
      </c>
      <c r="AR93" s="646" t="s">
        <v>888</v>
      </c>
      <c r="AS93" s="1453"/>
      <c r="AT93" s="427"/>
      <c r="AU93" s="349"/>
    </row>
    <row r="94" spans="2:47" s="140" customFormat="1" ht="17" hidden="1" customHeight="1">
      <c r="B94" s="1828"/>
      <c r="C94" s="1797" t="s">
        <v>1002</v>
      </c>
      <c r="D94" s="1736" t="s">
        <v>690</v>
      </c>
      <c r="E94" s="1736" t="s">
        <v>689</v>
      </c>
      <c r="F94" s="1736" t="s">
        <v>692</v>
      </c>
      <c r="G94" s="1736" t="s">
        <v>694</v>
      </c>
      <c r="H94" s="1752">
        <v>45761</v>
      </c>
      <c r="I94" s="1753">
        <v>45790</v>
      </c>
      <c r="J94" s="1691"/>
      <c r="K94" s="67"/>
      <c r="L94" s="3"/>
      <c r="M94" s="67"/>
      <c r="N94" s="3"/>
      <c r="O94" s="67">
        <v>0.5</v>
      </c>
      <c r="P94" s="3"/>
      <c r="Q94" s="1559">
        <v>0.5</v>
      </c>
      <c r="R94" s="1559">
        <v>0.5</v>
      </c>
      <c r="S94" s="1587"/>
      <c r="T94" s="1559"/>
      <c r="U94" s="1559"/>
      <c r="V94" s="1559"/>
      <c r="W94" s="1559"/>
      <c r="X94" s="1559"/>
      <c r="Y94" s="1559"/>
      <c r="Z94" s="1559"/>
      <c r="AA94" s="1559"/>
      <c r="AB94" s="1559"/>
      <c r="AC94" s="1559"/>
      <c r="AD94" s="1559"/>
      <c r="AE94" s="1559"/>
      <c r="AF94" s="1559"/>
      <c r="AG94" s="1559"/>
      <c r="AH94" s="1559"/>
      <c r="AI94" s="1559"/>
      <c r="AJ94" s="1559"/>
      <c r="AK94" s="1559"/>
      <c r="AL94" s="1559"/>
      <c r="AM94" s="1130"/>
      <c r="AN94" s="1130"/>
      <c r="AO94" s="1548">
        <f t="shared" ref="AO94:AO98" si="114">+K94+M94+O94+Q94+S94+U94+W94+Y94+AA94+AC94+AE94+AG94+AI94+AK94+AM94</f>
        <v>1</v>
      </c>
      <c r="AP94" s="518">
        <f t="shared" ref="AP94:AP98" si="115">+L94+N94+P94+R94+T94+V94+X94+Z94+AB94+AD94+AF94+AH94+AJ94+AL94+AN94</f>
        <v>0.5</v>
      </c>
      <c r="AQ94" s="519">
        <f t="shared" ref="AQ94:AQ98" si="116">AO94-AP94</f>
        <v>0.5</v>
      </c>
      <c r="AR94" s="1423"/>
      <c r="AS94" s="1453"/>
      <c r="AT94" s="349"/>
      <c r="AU94" s="349"/>
    </row>
    <row r="95" spans="2:47" s="140" customFormat="1" ht="17" hidden="1" customHeight="1">
      <c r="B95" s="1828"/>
      <c r="C95" s="1798"/>
      <c r="D95" s="1736" t="s">
        <v>691</v>
      </c>
      <c r="E95" s="1736" t="s">
        <v>689</v>
      </c>
      <c r="F95" s="1736" t="s">
        <v>693</v>
      </c>
      <c r="G95" s="1736" t="s">
        <v>695</v>
      </c>
      <c r="H95" s="1752">
        <v>45761</v>
      </c>
      <c r="I95" s="1753">
        <v>45790</v>
      </c>
      <c r="J95" s="1691"/>
      <c r="K95" s="67"/>
      <c r="L95" s="3"/>
      <c r="M95" s="67"/>
      <c r="N95" s="3"/>
      <c r="O95" s="67">
        <v>0.5</v>
      </c>
      <c r="P95" s="3"/>
      <c r="Q95" s="1559">
        <v>0.5</v>
      </c>
      <c r="R95" s="1559">
        <v>0.5</v>
      </c>
      <c r="S95" s="1587"/>
      <c r="T95" s="1559"/>
      <c r="U95" s="1559"/>
      <c r="V95" s="1559"/>
      <c r="W95" s="1559"/>
      <c r="X95" s="1559"/>
      <c r="Y95" s="1559"/>
      <c r="Z95" s="1559"/>
      <c r="AA95" s="1559"/>
      <c r="AB95" s="1559"/>
      <c r="AC95" s="1559"/>
      <c r="AD95" s="1559"/>
      <c r="AE95" s="1559"/>
      <c r="AF95" s="1559"/>
      <c r="AG95" s="1559"/>
      <c r="AH95" s="1559"/>
      <c r="AI95" s="1559"/>
      <c r="AJ95" s="1559"/>
      <c r="AK95" s="1559"/>
      <c r="AL95" s="1559"/>
      <c r="AM95" s="1130"/>
      <c r="AN95" s="1130"/>
      <c r="AO95" s="1548">
        <f t="shared" si="114"/>
        <v>1</v>
      </c>
      <c r="AP95" s="518">
        <f t="shared" si="115"/>
        <v>0.5</v>
      </c>
      <c r="AQ95" s="519">
        <f t="shared" si="116"/>
        <v>0.5</v>
      </c>
      <c r="AR95" s="1423"/>
      <c r="AS95" s="1453"/>
      <c r="AT95" s="349"/>
      <c r="AU95" s="349"/>
    </row>
    <row r="96" spans="2:47" s="863" customFormat="1" ht="17" hidden="1" customHeight="1">
      <c r="B96" s="1834"/>
      <c r="C96" s="242"/>
      <c r="D96" s="1" t="s">
        <v>642</v>
      </c>
      <c r="E96" s="1" t="s">
        <v>59</v>
      </c>
      <c r="F96" s="1" t="s">
        <v>652</v>
      </c>
      <c r="G96" s="1"/>
      <c r="H96" s="834">
        <v>45790</v>
      </c>
      <c r="I96" s="978">
        <v>46007</v>
      </c>
      <c r="J96" s="1691"/>
      <c r="K96" s="763"/>
      <c r="L96" s="763"/>
      <c r="M96" s="763"/>
      <c r="N96" s="28"/>
      <c r="O96" s="763"/>
      <c r="P96" s="28"/>
      <c r="Q96" s="1559">
        <v>0.5</v>
      </c>
      <c r="R96" s="1130">
        <f t="shared" si="85"/>
        <v>0.5</v>
      </c>
      <c r="S96" s="1588">
        <v>1</v>
      </c>
      <c r="T96" s="556">
        <f>$T$1*S96</f>
        <v>0.6</v>
      </c>
      <c r="U96" s="1226">
        <v>1</v>
      </c>
      <c r="V96" s="1226"/>
      <c r="W96" s="1226">
        <v>1</v>
      </c>
      <c r="X96" s="1226"/>
      <c r="Y96" s="1226">
        <v>1</v>
      </c>
      <c r="Z96" s="1226"/>
      <c r="AA96" s="1226">
        <v>1</v>
      </c>
      <c r="AB96" s="1226"/>
      <c r="AC96" s="1226">
        <v>1</v>
      </c>
      <c r="AD96" s="1227"/>
      <c r="AE96" s="1228">
        <v>0.5</v>
      </c>
      <c r="AF96" s="1230"/>
      <c r="AG96" s="1230"/>
      <c r="AH96" s="1230"/>
      <c r="AI96" s="1224"/>
      <c r="AJ96" s="1231"/>
      <c r="AK96" s="1228"/>
      <c r="AL96" s="1244"/>
      <c r="AM96" s="1606"/>
      <c r="AN96" s="1607"/>
      <c r="AO96" s="517">
        <f t="shared" si="114"/>
        <v>7</v>
      </c>
      <c r="AP96" s="518">
        <f t="shared" si="115"/>
        <v>1.1000000000000001</v>
      </c>
      <c r="AQ96" s="519">
        <f t="shared" si="116"/>
        <v>5.9</v>
      </c>
      <c r="AR96" s="881" t="s">
        <v>283</v>
      </c>
      <c r="AS96" s="1521"/>
      <c r="AT96" s="140"/>
      <c r="AU96" s="140"/>
    </row>
    <row r="97" spans="1:49" s="1424" customFormat="1" ht="17" hidden="1" customHeight="1">
      <c r="B97" s="1834"/>
      <c r="C97" s="171"/>
      <c r="D97" s="1" t="s">
        <v>642</v>
      </c>
      <c r="E97" s="95" t="s">
        <v>59</v>
      </c>
      <c r="F97" s="95" t="s">
        <v>1023</v>
      </c>
      <c r="G97" s="95"/>
      <c r="H97" s="1685">
        <v>45824</v>
      </c>
      <c r="I97" s="1700">
        <v>45977</v>
      </c>
      <c r="J97" s="1691"/>
      <c r="K97" s="763"/>
      <c r="L97" s="763"/>
      <c r="M97" s="763"/>
      <c r="N97" s="28"/>
      <c r="O97" s="763"/>
      <c r="P97" s="28"/>
      <c r="Q97" s="763"/>
      <c r="R97" s="28"/>
      <c r="S97" s="1673">
        <v>0.5</v>
      </c>
      <c r="T97" s="1674"/>
      <c r="U97" s="1674">
        <v>1</v>
      </c>
      <c r="V97" s="1674"/>
      <c r="W97" s="1674">
        <v>1</v>
      </c>
      <c r="X97" s="1674"/>
      <c r="Y97" s="1674">
        <v>1</v>
      </c>
      <c r="Z97" s="1674"/>
      <c r="AA97" s="1674">
        <v>1</v>
      </c>
      <c r="AB97" s="1674"/>
      <c r="AC97" s="1674">
        <v>0.5</v>
      </c>
      <c r="AD97" s="1675"/>
      <c r="AE97" s="1676"/>
      <c r="AF97" s="1677"/>
      <c r="AG97" s="1677"/>
      <c r="AH97" s="1677"/>
      <c r="AI97" s="1678"/>
      <c r="AJ97" s="1679"/>
      <c r="AK97" s="1676"/>
      <c r="AL97" s="1680"/>
      <c r="AM97" s="1681"/>
      <c r="AN97" s="1682"/>
      <c r="AO97" s="517">
        <f t="shared" si="114"/>
        <v>5</v>
      </c>
      <c r="AP97" s="518">
        <f t="shared" ref="AP97" si="117">+L97+N97+P97+R97+T97+V97+X97+Z97+AB97+AD97+AF97+AH97+AJ97+AL97+AN97</f>
        <v>0</v>
      </c>
      <c r="AQ97" s="519">
        <f t="shared" ref="AQ97" si="118">AO97-AP97</f>
        <v>5</v>
      </c>
      <c r="AR97" s="881" t="s">
        <v>283</v>
      </c>
      <c r="AS97" s="1521"/>
    </row>
    <row r="98" spans="1:49" s="863" customFormat="1" ht="17" hidden="1" customHeight="1" thickBot="1">
      <c r="B98" s="1834"/>
      <c r="C98" s="243"/>
      <c r="D98" s="103" t="s">
        <v>21</v>
      </c>
      <c r="E98" s="103" t="s">
        <v>59</v>
      </c>
      <c r="F98" s="103" t="s">
        <v>653</v>
      </c>
      <c r="G98" s="103"/>
      <c r="H98" s="1698">
        <v>45790</v>
      </c>
      <c r="I98" s="1699">
        <v>46007</v>
      </c>
      <c r="J98" s="1691"/>
      <c r="K98" s="763"/>
      <c r="L98" s="763"/>
      <c r="M98" s="763"/>
      <c r="N98" s="28"/>
      <c r="O98" s="763"/>
      <c r="P98" s="28"/>
      <c r="Q98" s="1559">
        <v>0.5</v>
      </c>
      <c r="R98" s="1130">
        <f t="shared" si="85"/>
        <v>0.5</v>
      </c>
      <c r="S98" s="1589">
        <v>1</v>
      </c>
      <c r="T98" s="556">
        <f>$T$1*S98</f>
        <v>0.6</v>
      </c>
      <c r="U98" s="1236">
        <v>1</v>
      </c>
      <c r="V98" s="1236"/>
      <c r="W98" s="1236">
        <v>1</v>
      </c>
      <c r="X98" s="1236"/>
      <c r="Y98" s="1236">
        <v>1</v>
      </c>
      <c r="Z98" s="1236"/>
      <c r="AA98" s="1236">
        <v>1</v>
      </c>
      <c r="AB98" s="1236"/>
      <c r="AC98" s="1236">
        <v>1</v>
      </c>
      <c r="AD98" s="1237"/>
      <c r="AE98" s="1238">
        <v>0.5</v>
      </c>
      <c r="AF98" s="1240"/>
      <c r="AG98" s="1240"/>
      <c r="AH98" s="1240"/>
      <c r="AI98" s="1234"/>
      <c r="AJ98" s="1241"/>
      <c r="AK98" s="1238"/>
      <c r="AL98" s="1242"/>
      <c r="AM98" s="1608"/>
      <c r="AN98" s="1609"/>
      <c r="AO98" s="517">
        <f t="shared" si="114"/>
        <v>7</v>
      </c>
      <c r="AP98" s="518">
        <f t="shared" si="115"/>
        <v>1.1000000000000001</v>
      </c>
      <c r="AQ98" s="519">
        <f t="shared" si="116"/>
        <v>5.9</v>
      </c>
      <c r="AR98" s="882" t="s">
        <v>283</v>
      </c>
      <c r="AS98" s="1521"/>
      <c r="AT98" s="140"/>
      <c r="AU98" s="140"/>
    </row>
    <row r="99" spans="1:49" s="150" customFormat="1" ht="17" hidden="1" customHeight="1" thickBot="1">
      <c r="A99" s="140"/>
      <c r="B99" s="1836"/>
      <c r="C99" s="930" t="s">
        <v>16</v>
      </c>
      <c r="D99" s="931"/>
      <c r="E99" s="932"/>
      <c r="F99" s="877"/>
      <c r="G99" s="877"/>
      <c r="H99" s="1692"/>
      <c r="I99" s="1693"/>
      <c r="J99" s="1591">
        <f t="shared" ref="J99:R99" si="119">SUM(J67:J98)</f>
        <v>0</v>
      </c>
      <c r="K99" s="1592">
        <f t="shared" si="119"/>
        <v>8.5</v>
      </c>
      <c r="L99" s="1592">
        <f t="shared" si="119"/>
        <v>8.5</v>
      </c>
      <c r="M99" s="1592">
        <f t="shared" si="119"/>
        <v>14</v>
      </c>
      <c r="N99" s="1592">
        <f t="shared" si="119"/>
        <v>14</v>
      </c>
      <c r="O99" s="1592">
        <f t="shared" si="119"/>
        <v>20</v>
      </c>
      <c r="P99" s="1592">
        <f t="shared" si="119"/>
        <v>21</v>
      </c>
      <c r="Q99" s="1053">
        <f t="shared" si="119"/>
        <v>21</v>
      </c>
      <c r="R99" s="1053">
        <f t="shared" si="119"/>
        <v>23</v>
      </c>
      <c r="S99" s="540">
        <f>SUM(S67:S98)</f>
        <v>21.5</v>
      </c>
      <c r="T99" s="540">
        <f>SUM(T67:T98)</f>
        <v>16.199999999999996</v>
      </c>
      <c r="U99" s="541">
        <f>SUM(U67:U98)</f>
        <v>22</v>
      </c>
      <c r="V99" s="541"/>
      <c r="W99" s="541">
        <f>SUM(W67:W98)</f>
        <v>22</v>
      </c>
      <c r="X99" s="541"/>
      <c r="Y99" s="541">
        <f>SUM(Y67:Y98)</f>
        <v>20.75</v>
      </c>
      <c r="Z99" s="541"/>
      <c r="AA99" s="541">
        <f>SUM(AA67:AA98)</f>
        <v>20</v>
      </c>
      <c r="AB99" s="541"/>
      <c r="AC99" s="541">
        <f>SUM(AC67:AC98)</f>
        <v>15.5</v>
      </c>
      <c r="AD99" s="542"/>
      <c r="AE99" s="161">
        <f>SUM(AE67:AE98)</f>
        <v>10.5</v>
      </c>
      <c r="AF99" s="159"/>
      <c r="AG99" s="178">
        <f>SUM(AG67:AG98)</f>
        <v>8.25</v>
      </c>
      <c r="AH99" s="375"/>
      <c r="AI99" s="375">
        <f>SUM(AI67:AI98)</f>
        <v>7.5</v>
      </c>
      <c r="AJ99" s="185"/>
      <c r="AK99" s="161">
        <f>SUM(AK67:AK98)</f>
        <v>5.5</v>
      </c>
      <c r="AL99" s="178"/>
      <c r="AM99" s="178">
        <f>SUM(AM67:AM98)</f>
        <v>2.5</v>
      </c>
      <c r="AN99" s="185"/>
      <c r="AO99" s="161">
        <f>+SUM(AO67:AO98)</f>
        <v>219.5</v>
      </c>
      <c r="AP99" s="178">
        <f>+SUM(AP67:AP98)</f>
        <v>82.09999999999998</v>
      </c>
      <c r="AQ99" s="185">
        <f>+SUM(AQ67:AQ98)</f>
        <v>137.40000000000006</v>
      </c>
      <c r="AR99" s="637"/>
      <c r="AS99" s="1520"/>
      <c r="AT99" s="349"/>
      <c r="AU99" s="349"/>
    </row>
    <row r="100" spans="1:49" s="140" customFormat="1" ht="17" hidden="1" customHeight="1">
      <c r="B100" s="1799" t="s">
        <v>65</v>
      </c>
      <c r="C100" s="1727" t="s">
        <v>960</v>
      </c>
      <c r="D100" s="1466" t="s">
        <v>978</v>
      </c>
      <c r="E100" s="438" t="s">
        <v>897</v>
      </c>
      <c r="F100" s="1468" t="s">
        <v>981</v>
      </c>
      <c r="G100" s="1543"/>
      <c r="H100" s="1000">
        <v>45677</v>
      </c>
      <c r="I100" s="809">
        <v>46142</v>
      </c>
      <c r="J100" s="366"/>
      <c r="K100" s="1610">
        <v>1</v>
      </c>
      <c r="L100" s="1610">
        <v>1</v>
      </c>
      <c r="M100" s="1610">
        <v>1</v>
      </c>
      <c r="N100" s="1610">
        <v>1</v>
      </c>
      <c r="O100" s="1610">
        <v>1</v>
      </c>
      <c r="P100" s="1610">
        <v>1</v>
      </c>
      <c r="Q100" s="1610">
        <v>1</v>
      </c>
      <c r="R100" s="1610">
        <v>1</v>
      </c>
      <c r="S100" s="1610">
        <v>1</v>
      </c>
      <c r="T100" s="556">
        <f t="shared" ref="T100:T102" si="120">$T$1*S100</f>
        <v>0.6</v>
      </c>
      <c r="U100" s="1610">
        <v>1</v>
      </c>
      <c r="V100" s="1610"/>
      <c r="W100" s="1610">
        <v>1</v>
      </c>
      <c r="X100" s="1610"/>
      <c r="Y100" s="1610">
        <v>1</v>
      </c>
      <c r="Z100" s="1610"/>
      <c r="AA100" s="1610">
        <v>1</v>
      </c>
      <c r="AB100" s="1610"/>
      <c r="AC100" s="1610">
        <v>1</v>
      </c>
      <c r="AD100" s="1610"/>
      <c r="AE100" s="1610">
        <v>1</v>
      </c>
      <c r="AF100" s="1610"/>
      <c r="AG100" s="1610">
        <v>1</v>
      </c>
      <c r="AH100" s="1610"/>
      <c r="AI100" s="1610">
        <v>1</v>
      </c>
      <c r="AJ100" s="1610"/>
      <c r="AK100" s="1610">
        <v>1</v>
      </c>
      <c r="AL100" s="1610"/>
      <c r="AM100" s="1610">
        <v>1</v>
      </c>
      <c r="AN100" s="54"/>
      <c r="AO100" s="522">
        <f t="shared" ref="AO100:AO121" si="121">+K100+M100+O100+Q100+S100+U100+W100+Y100+AA100+AC100+AE100+AG100+AI100+AK100+AM100</f>
        <v>15</v>
      </c>
      <c r="AP100" s="524">
        <f t="shared" ref="AP100:AP121" si="122">+L100+N100+P100+R100+T100+V100+X100+Z100+AB100+AD100+AF100+AH100+AJ100+AL100+AN100</f>
        <v>4.5999999999999996</v>
      </c>
      <c r="AQ100" s="525">
        <f t="shared" ref="AQ100:AQ121" si="123">AO100-AP100</f>
        <v>10.4</v>
      </c>
      <c r="AR100" s="647" t="s">
        <v>878</v>
      </c>
      <c r="AS100" s="416">
        <v>15</v>
      </c>
      <c r="AT100" s="1528">
        <f>AO100-AS100</f>
        <v>0</v>
      </c>
      <c r="AU100" s="349"/>
      <c r="AV100" s="1518"/>
    </row>
    <row r="101" spans="1:49" s="140" customFormat="1" ht="17" hidden="1" customHeight="1">
      <c r="B101" s="1800"/>
      <c r="C101" s="1727" t="s">
        <v>974</v>
      </c>
      <c r="D101" s="1466" t="s">
        <v>978</v>
      </c>
      <c r="E101" s="1533" t="s">
        <v>897</v>
      </c>
      <c r="F101" s="1468" t="s">
        <v>982</v>
      </c>
      <c r="G101" s="937"/>
      <c r="H101" s="1000">
        <v>45677</v>
      </c>
      <c r="I101" s="809">
        <v>46142</v>
      </c>
      <c r="J101" s="29"/>
      <c r="K101" s="1610">
        <v>1</v>
      </c>
      <c r="L101" s="1610">
        <v>1</v>
      </c>
      <c r="M101" s="1610">
        <v>1</v>
      </c>
      <c r="N101" s="1610">
        <v>1</v>
      </c>
      <c r="O101" s="1610">
        <v>1</v>
      </c>
      <c r="P101" s="1610">
        <v>1</v>
      </c>
      <c r="Q101" s="1610">
        <v>1</v>
      </c>
      <c r="R101" s="1610">
        <v>1</v>
      </c>
      <c r="S101" s="1610">
        <v>1</v>
      </c>
      <c r="T101" s="556">
        <f t="shared" si="120"/>
        <v>0.6</v>
      </c>
      <c r="U101" s="1610">
        <v>1</v>
      </c>
      <c r="V101" s="1610"/>
      <c r="W101" s="1610">
        <v>1</v>
      </c>
      <c r="X101" s="1610"/>
      <c r="Y101" s="1610">
        <v>1</v>
      </c>
      <c r="Z101" s="1610"/>
      <c r="AA101" s="1610">
        <v>1</v>
      </c>
      <c r="AB101" s="1610"/>
      <c r="AC101" s="1610">
        <v>1</v>
      </c>
      <c r="AD101" s="1610"/>
      <c r="AE101" s="1610">
        <v>1</v>
      </c>
      <c r="AF101" s="1610"/>
      <c r="AG101" s="1610">
        <v>1</v>
      </c>
      <c r="AH101" s="1610"/>
      <c r="AI101" s="1610">
        <v>1</v>
      </c>
      <c r="AJ101" s="1610"/>
      <c r="AK101" s="1610">
        <v>1</v>
      </c>
      <c r="AL101" s="1610"/>
      <c r="AM101" s="1610">
        <v>1</v>
      </c>
      <c r="AN101" s="25"/>
      <c r="AO101" s="522">
        <f t="shared" si="121"/>
        <v>15</v>
      </c>
      <c r="AP101" s="524">
        <f t="shared" si="122"/>
        <v>4.5999999999999996</v>
      </c>
      <c r="AQ101" s="525">
        <f t="shared" si="123"/>
        <v>10.4</v>
      </c>
      <c r="AR101" s="635" t="s">
        <v>867</v>
      </c>
      <c r="AS101" s="1453">
        <v>15</v>
      </c>
      <c r="AT101" s="1528">
        <f t="shared" ref="AT101:AT155" si="124">AO101-AS101</f>
        <v>0</v>
      </c>
      <c r="AU101" s="349"/>
      <c r="AV101" s="1518">
        <f t="shared" ref="AV101" si="125">AO101-AT101</f>
        <v>15</v>
      </c>
      <c r="AW101" s="140" t="s">
        <v>861</v>
      </c>
    </row>
    <row r="102" spans="1:49" s="140" customFormat="1" ht="17" hidden="1" customHeight="1">
      <c r="B102" s="1800"/>
      <c r="C102" s="1727" t="s">
        <v>961</v>
      </c>
      <c r="D102" s="1466" t="s">
        <v>979</v>
      </c>
      <c r="E102" s="438" t="s">
        <v>57</v>
      </c>
      <c r="F102" s="1468" t="s">
        <v>983</v>
      </c>
      <c r="G102" s="1005"/>
      <c r="H102" s="1547">
        <v>45698</v>
      </c>
      <c r="I102" s="815">
        <v>46142</v>
      </c>
      <c r="J102" s="361"/>
      <c r="K102" s="1610">
        <v>0.75</v>
      </c>
      <c r="L102" s="1610">
        <v>1</v>
      </c>
      <c r="M102" s="1610">
        <v>1</v>
      </c>
      <c r="N102" s="1610">
        <v>1</v>
      </c>
      <c r="O102" s="1610">
        <v>1</v>
      </c>
      <c r="P102" s="1610">
        <v>1</v>
      </c>
      <c r="Q102" s="1610">
        <v>1</v>
      </c>
      <c r="R102" s="1610">
        <v>1</v>
      </c>
      <c r="S102" s="1610">
        <v>1</v>
      </c>
      <c r="T102" s="556">
        <f t="shared" si="120"/>
        <v>0.6</v>
      </c>
      <c r="U102" s="1610">
        <v>1</v>
      </c>
      <c r="V102" s="1610"/>
      <c r="W102" s="1610">
        <v>1</v>
      </c>
      <c r="X102" s="1610"/>
      <c r="Y102" s="1610">
        <v>1</v>
      </c>
      <c r="Z102" s="1610"/>
      <c r="AA102" s="1610">
        <v>1</v>
      </c>
      <c r="AB102" s="1610"/>
      <c r="AC102" s="1610">
        <v>1</v>
      </c>
      <c r="AD102" s="1610"/>
      <c r="AE102" s="1610">
        <v>1</v>
      </c>
      <c r="AF102" s="1610"/>
      <c r="AG102" s="1610">
        <v>1</v>
      </c>
      <c r="AH102" s="1610"/>
      <c r="AI102" s="1610">
        <v>1</v>
      </c>
      <c r="AJ102" s="1610"/>
      <c r="AK102" s="1610">
        <v>1</v>
      </c>
      <c r="AL102" s="1610"/>
      <c r="AM102" s="1610">
        <v>1</v>
      </c>
      <c r="AN102" s="25"/>
      <c r="AO102" s="517">
        <f t="shared" si="121"/>
        <v>14.75</v>
      </c>
      <c r="AP102" s="518">
        <f t="shared" si="122"/>
        <v>4.5999999999999996</v>
      </c>
      <c r="AQ102" s="519">
        <f t="shared" si="123"/>
        <v>10.15</v>
      </c>
      <c r="AR102" s="643" t="s">
        <v>878</v>
      </c>
      <c r="AS102" s="1521">
        <v>15</v>
      </c>
      <c r="AT102" s="1528">
        <f t="shared" si="124"/>
        <v>-0.25</v>
      </c>
      <c r="AU102" s="349"/>
      <c r="AV102" s="1518"/>
      <c r="AW102" s="140" t="s">
        <v>862</v>
      </c>
    </row>
    <row r="103" spans="1:49" s="140" customFormat="1" ht="17" hidden="1" customHeight="1">
      <c r="B103" s="1800"/>
      <c r="C103" s="1727" t="s">
        <v>963</v>
      </c>
      <c r="D103" s="1754" t="s">
        <v>979</v>
      </c>
      <c r="E103" s="1755" t="s">
        <v>897</v>
      </c>
      <c r="F103" s="1756" t="s">
        <v>984</v>
      </c>
      <c r="G103" s="1757" t="s">
        <v>628</v>
      </c>
      <c r="H103" s="1758">
        <v>45677</v>
      </c>
      <c r="I103" s="1758">
        <v>45765</v>
      </c>
      <c r="J103" s="29"/>
      <c r="K103" s="1610">
        <v>1</v>
      </c>
      <c r="L103" s="1610">
        <v>1</v>
      </c>
      <c r="M103" s="1610">
        <v>1</v>
      </c>
      <c r="N103" s="1610">
        <v>1</v>
      </c>
      <c r="O103" s="1610">
        <v>0.5</v>
      </c>
      <c r="P103" s="1610">
        <v>0.5</v>
      </c>
      <c r="Q103" s="1610"/>
      <c r="R103" s="1610"/>
      <c r="S103" s="1610"/>
      <c r="T103" s="1610"/>
      <c r="U103" s="1610"/>
      <c r="V103" s="1610"/>
      <c r="W103" s="1610"/>
      <c r="X103" s="1610"/>
      <c r="Y103" s="1610"/>
      <c r="Z103" s="1610"/>
      <c r="AA103" s="1610"/>
      <c r="AB103" s="1610"/>
      <c r="AC103" s="1610"/>
      <c r="AD103" s="1610"/>
      <c r="AE103" s="1610"/>
      <c r="AF103" s="1610"/>
      <c r="AG103" s="1610"/>
      <c r="AH103" s="1610"/>
      <c r="AI103" s="1610"/>
      <c r="AJ103" s="1610"/>
      <c r="AK103" s="1610"/>
      <c r="AL103" s="1610"/>
      <c r="AM103" s="1610"/>
      <c r="AN103" s="25"/>
      <c r="AO103" s="522">
        <f t="shared" si="121"/>
        <v>2.5</v>
      </c>
      <c r="AP103" s="524">
        <f t="shared" si="122"/>
        <v>2.5</v>
      </c>
      <c r="AQ103" s="525">
        <f t="shared" si="123"/>
        <v>0</v>
      </c>
      <c r="AR103" s="634" t="s">
        <v>879</v>
      </c>
      <c r="AS103" s="1453">
        <v>2.5</v>
      </c>
      <c r="AT103" s="1528">
        <f t="shared" si="124"/>
        <v>0</v>
      </c>
      <c r="AU103" s="349"/>
      <c r="AV103" s="1518"/>
    </row>
    <row r="104" spans="1:49" s="140" customFormat="1" ht="17" hidden="1" customHeight="1">
      <c r="B104" s="1800"/>
      <c r="C104" s="1727" t="s">
        <v>963</v>
      </c>
      <c r="D104" s="1466" t="s">
        <v>964</v>
      </c>
      <c r="E104" s="438" t="s">
        <v>897</v>
      </c>
      <c r="F104" s="1703" t="s">
        <v>985</v>
      </c>
      <c r="G104" s="937"/>
      <c r="H104" s="1704">
        <v>45714</v>
      </c>
      <c r="I104" s="1705">
        <v>45777</v>
      </c>
      <c r="J104" s="1660"/>
      <c r="K104" s="1613">
        <v>0</v>
      </c>
      <c r="L104" s="1613">
        <v>0.2</v>
      </c>
      <c r="M104" s="1613">
        <v>0</v>
      </c>
      <c r="N104" s="1613">
        <v>1</v>
      </c>
      <c r="O104" s="1613">
        <v>0</v>
      </c>
      <c r="P104" s="1613">
        <v>1</v>
      </c>
      <c r="Q104" s="1613">
        <v>0</v>
      </c>
      <c r="R104" s="1613">
        <v>1</v>
      </c>
      <c r="S104" s="1610">
        <v>1</v>
      </c>
      <c r="T104" s="556">
        <f t="shared" ref="T104:T106" si="126">$T$1*S104</f>
        <v>0.6</v>
      </c>
      <c r="U104" s="1610">
        <v>1</v>
      </c>
      <c r="V104" s="1610"/>
      <c r="W104" s="1610">
        <v>1</v>
      </c>
      <c r="X104" s="1610"/>
      <c r="Y104" s="1610">
        <v>1</v>
      </c>
      <c r="Z104" s="1610"/>
      <c r="AA104" s="1610">
        <v>1</v>
      </c>
      <c r="AB104" s="1610"/>
      <c r="AC104" s="1610">
        <v>1</v>
      </c>
      <c r="AD104" s="1610"/>
      <c r="AE104" s="1610">
        <v>1</v>
      </c>
      <c r="AF104" s="1610"/>
      <c r="AG104" s="1610">
        <v>1</v>
      </c>
      <c r="AH104" s="1610"/>
      <c r="AI104" s="1610">
        <v>1</v>
      </c>
      <c r="AJ104" s="1610"/>
      <c r="AK104" s="1610">
        <v>1</v>
      </c>
      <c r="AL104" s="1610"/>
      <c r="AM104" s="1610">
        <v>1</v>
      </c>
      <c r="AN104" s="25"/>
      <c r="AO104" s="522">
        <f t="shared" si="121"/>
        <v>11</v>
      </c>
      <c r="AP104" s="524">
        <f t="shared" si="122"/>
        <v>3.8000000000000003</v>
      </c>
      <c r="AQ104" s="525">
        <f t="shared" si="123"/>
        <v>7.1999999999999993</v>
      </c>
      <c r="AR104" s="634"/>
      <c r="AS104" s="1453">
        <v>12.5</v>
      </c>
      <c r="AT104" s="1528">
        <f t="shared" si="124"/>
        <v>-1.5</v>
      </c>
      <c r="AU104" s="349"/>
      <c r="AV104" s="1518"/>
      <c r="AW104" s="140" t="s">
        <v>866</v>
      </c>
    </row>
    <row r="105" spans="1:49" s="140" customFormat="1" ht="17" hidden="1" customHeight="1">
      <c r="B105" s="1800"/>
      <c r="C105" s="1727" t="s">
        <v>965</v>
      </c>
      <c r="D105" s="1466" t="s">
        <v>962</v>
      </c>
      <c r="E105" s="438" t="s">
        <v>57</v>
      </c>
      <c r="F105" s="1468" t="s">
        <v>986</v>
      </c>
      <c r="G105" s="937"/>
      <c r="H105" s="1000">
        <v>45711</v>
      </c>
      <c r="I105" s="809">
        <v>46112</v>
      </c>
      <c r="J105" s="391"/>
      <c r="K105" s="1610">
        <v>1</v>
      </c>
      <c r="L105" s="1610">
        <v>1</v>
      </c>
      <c r="M105" s="1611">
        <v>1</v>
      </c>
      <c r="N105" s="1611">
        <v>1</v>
      </c>
      <c r="O105" s="1610">
        <v>1</v>
      </c>
      <c r="P105" s="1610">
        <v>1</v>
      </c>
      <c r="Q105" s="1610">
        <v>1</v>
      </c>
      <c r="R105" s="1610">
        <v>1</v>
      </c>
      <c r="S105" s="1610">
        <v>1</v>
      </c>
      <c r="T105" s="556">
        <f t="shared" si="126"/>
        <v>0.6</v>
      </c>
      <c r="U105" s="1610">
        <v>1</v>
      </c>
      <c r="V105" s="1610"/>
      <c r="W105" s="1610">
        <v>1</v>
      </c>
      <c r="X105" s="1610"/>
      <c r="Y105" s="1610">
        <v>1</v>
      </c>
      <c r="Z105" s="1610"/>
      <c r="AA105" s="1610">
        <v>1</v>
      </c>
      <c r="AB105" s="1610"/>
      <c r="AC105" s="1610">
        <v>1</v>
      </c>
      <c r="AD105" s="1610"/>
      <c r="AE105" s="1610">
        <v>1</v>
      </c>
      <c r="AF105" s="1610"/>
      <c r="AG105" s="1610">
        <v>1</v>
      </c>
      <c r="AH105" s="1610"/>
      <c r="AI105" s="1610">
        <v>1</v>
      </c>
      <c r="AJ105" s="1610"/>
      <c r="AK105" s="1610">
        <v>1</v>
      </c>
      <c r="AL105" s="1610"/>
      <c r="AM105" s="1610"/>
      <c r="AN105" s="25"/>
      <c r="AO105" s="522">
        <f t="shared" si="121"/>
        <v>14</v>
      </c>
      <c r="AP105" s="524">
        <f t="shared" si="122"/>
        <v>4.5999999999999996</v>
      </c>
      <c r="AQ105" s="525">
        <f t="shared" si="123"/>
        <v>9.4</v>
      </c>
      <c r="AR105" s="634" t="s">
        <v>879</v>
      </c>
      <c r="AS105" s="1453">
        <v>14</v>
      </c>
      <c r="AT105" s="1528">
        <f t="shared" si="124"/>
        <v>0</v>
      </c>
      <c r="AU105" s="349"/>
      <c r="AV105" s="1518"/>
    </row>
    <row r="106" spans="1:49" s="140" customFormat="1" ht="17" hidden="1" customHeight="1">
      <c r="B106" s="1800"/>
      <c r="C106" s="1473" t="s">
        <v>966</v>
      </c>
      <c r="D106" s="1466" t="s">
        <v>962</v>
      </c>
      <c r="E106" s="438" t="s">
        <v>897</v>
      </c>
      <c r="F106" s="1468" t="s">
        <v>987</v>
      </c>
      <c r="G106" s="937"/>
      <c r="H106" s="1000">
        <v>45691</v>
      </c>
      <c r="I106" s="809">
        <v>45777</v>
      </c>
      <c r="J106" s="391"/>
      <c r="K106" s="1610">
        <v>1</v>
      </c>
      <c r="L106" s="1610">
        <v>1</v>
      </c>
      <c r="M106" s="1611">
        <v>1</v>
      </c>
      <c r="N106" s="1611">
        <v>1</v>
      </c>
      <c r="O106" s="1610">
        <v>1</v>
      </c>
      <c r="P106" s="1610">
        <v>1</v>
      </c>
      <c r="Q106" s="1610">
        <v>1</v>
      </c>
      <c r="R106" s="1610">
        <v>1</v>
      </c>
      <c r="S106" s="1610">
        <v>1</v>
      </c>
      <c r="T106" s="1610">
        <f t="shared" si="126"/>
        <v>0.6</v>
      </c>
      <c r="U106" s="1610">
        <v>1</v>
      </c>
      <c r="V106" s="1610"/>
      <c r="W106" s="1610">
        <v>1</v>
      </c>
      <c r="X106" s="1610"/>
      <c r="Y106" s="1610">
        <v>1</v>
      </c>
      <c r="Z106" s="1610"/>
      <c r="AA106" s="1610">
        <v>1</v>
      </c>
      <c r="AB106" s="1610"/>
      <c r="AC106" s="1610">
        <v>1</v>
      </c>
      <c r="AD106" s="1610"/>
      <c r="AE106" s="1610">
        <v>1</v>
      </c>
      <c r="AF106" s="1610"/>
      <c r="AG106" s="1610">
        <v>1</v>
      </c>
      <c r="AH106" s="1610"/>
      <c r="AI106" s="1610">
        <v>1</v>
      </c>
      <c r="AJ106" s="1610"/>
      <c r="AK106" s="1610">
        <v>1</v>
      </c>
      <c r="AL106" s="1610"/>
      <c r="AM106" s="1610">
        <v>1</v>
      </c>
      <c r="AN106" s="25"/>
      <c r="AO106" s="522">
        <f t="shared" si="121"/>
        <v>15</v>
      </c>
      <c r="AP106" s="524">
        <f t="shared" si="122"/>
        <v>4.5999999999999996</v>
      </c>
      <c r="AQ106" s="525">
        <f t="shared" si="123"/>
        <v>10.4</v>
      </c>
      <c r="AR106" s="634" t="s">
        <v>880</v>
      </c>
      <c r="AS106" s="1453">
        <v>4</v>
      </c>
      <c r="AT106" s="1528">
        <f t="shared" si="124"/>
        <v>11</v>
      </c>
      <c r="AU106" s="349"/>
      <c r="AV106" s="1518"/>
    </row>
    <row r="107" spans="1:49" s="140" customFormat="1" ht="17" hidden="1" customHeight="1">
      <c r="B107" s="1800"/>
      <c r="C107" s="1473" t="s">
        <v>975</v>
      </c>
      <c r="D107" s="1466" t="s">
        <v>962</v>
      </c>
      <c r="E107" s="438" t="s">
        <v>897</v>
      </c>
      <c r="F107" s="1706" t="s">
        <v>988</v>
      </c>
      <c r="G107" s="1707" t="s">
        <v>1016</v>
      </c>
      <c r="H107" s="1708">
        <v>45750</v>
      </c>
      <c r="I107" s="1709">
        <v>46142</v>
      </c>
      <c r="J107" s="391"/>
      <c r="K107" s="1610"/>
      <c r="L107" s="1610"/>
      <c r="M107" s="1611"/>
      <c r="N107" s="1611"/>
      <c r="O107" s="1613">
        <v>0</v>
      </c>
      <c r="P107" s="1613">
        <v>1</v>
      </c>
      <c r="Q107" s="1613">
        <v>0</v>
      </c>
      <c r="R107" s="1613">
        <v>1</v>
      </c>
      <c r="S107" s="1610">
        <v>1</v>
      </c>
      <c r="T107" s="556">
        <f t="shared" ref="T107:T121" si="127">$T$1*S107</f>
        <v>0.6</v>
      </c>
      <c r="U107" s="1610">
        <v>1</v>
      </c>
      <c r="V107" s="1610"/>
      <c r="W107" s="1610">
        <v>1</v>
      </c>
      <c r="X107" s="1610"/>
      <c r="Y107" s="1610">
        <v>1</v>
      </c>
      <c r="Z107" s="1610"/>
      <c r="AA107" s="1610">
        <v>1</v>
      </c>
      <c r="AB107" s="1610"/>
      <c r="AC107" s="1610">
        <v>1</v>
      </c>
      <c r="AD107" s="1610"/>
      <c r="AE107" s="1610">
        <v>1</v>
      </c>
      <c r="AF107" s="1610"/>
      <c r="AG107" s="1610">
        <v>1</v>
      </c>
      <c r="AH107" s="1610"/>
      <c r="AI107" s="1610">
        <v>1</v>
      </c>
      <c r="AJ107" s="1610"/>
      <c r="AK107" s="1610">
        <v>1</v>
      </c>
      <c r="AL107" s="1610"/>
      <c r="AM107" s="1610">
        <v>1</v>
      </c>
      <c r="AN107" s="25"/>
      <c r="AO107" s="522">
        <f t="shared" si="121"/>
        <v>11</v>
      </c>
      <c r="AP107" s="524">
        <f t="shared" si="122"/>
        <v>2.6</v>
      </c>
      <c r="AQ107" s="525">
        <f t="shared" si="123"/>
        <v>8.4</v>
      </c>
      <c r="AR107" s="634">
        <v>11</v>
      </c>
      <c r="AS107" s="1453">
        <v>12</v>
      </c>
      <c r="AT107" s="1528">
        <f t="shared" si="124"/>
        <v>-1</v>
      </c>
      <c r="AU107" s="349"/>
      <c r="AV107" s="1518"/>
    </row>
    <row r="108" spans="1:49" s="140" customFormat="1" ht="17" hidden="1" customHeight="1">
      <c r="B108" s="1800"/>
      <c r="C108" s="1473" t="s">
        <v>967</v>
      </c>
      <c r="D108" s="1466" t="s">
        <v>968</v>
      </c>
      <c r="E108" s="439" t="s">
        <v>57</v>
      </c>
      <c r="F108" s="1706" t="s">
        <v>989</v>
      </c>
      <c r="G108" s="1707"/>
      <c r="H108" s="1710">
        <v>45810</v>
      </c>
      <c r="I108" s="1709">
        <v>46142</v>
      </c>
      <c r="J108" s="29"/>
      <c r="K108" s="1610"/>
      <c r="L108" s="1610"/>
      <c r="M108" s="1611"/>
      <c r="N108" s="1611"/>
      <c r="O108" s="1610"/>
      <c r="P108" s="1610"/>
      <c r="Q108" s="1610"/>
      <c r="R108" s="1610"/>
      <c r="S108" s="1610">
        <v>1</v>
      </c>
      <c r="T108" s="556">
        <f t="shared" si="127"/>
        <v>0.6</v>
      </c>
      <c r="U108" s="1610">
        <v>1</v>
      </c>
      <c r="V108" s="1610"/>
      <c r="W108" s="1610">
        <v>1</v>
      </c>
      <c r="X108" s="1610"/>
      <c r="Y108" s="1610">
        <v>1</v>
      </c>
      <c r="Z108" s="1610"/>
      <c r="AA108" s="1610">
        <v>1</v>
      </c>
      <c r="AB108" s="1610"/>
      <c r="AC108" s="1610">
        <v>1</v>
      </c>
      <c r="AD108" s="1610"/>
      <c r="AE108" s="1610">
        <v>1</v>
      </c>
      <c r="AF108" s="1610"/>
      <c r="AG108" s="1610">
        <v>1</v>
      </c>
      <c r="AH108" s="1610"/>
      <c r="AI108" s="1610">
        <v>1</v>
      </c>
      <c r="AJ108" s="1610"/>
      <c r="AK108" s="1610">
        <v>1</v>
      </c>
      <c r="AL108" s="1610"/>
      <c r="AM108" s="1610">
        <v>1</v>
      </c>
      <c r="AN108" s="25"/>
      <c r="AO108" s="522">
        <f t="shared" si="121"/>
        <v>11</v>
      </c>
      <c r="AP108" s="524">
        <f t="shared" si="122"/>
        <v>0.6</v>
      </c>
      <c r="AQ108" s="525">
        <f t="shared" si="123"/>
        <v>10.4</v>
      </c>
      <c r="AR108" s="636">
        <v>12</v>
      </c>
      <c r="AS108" s="1453">
        <v>11</v>
      </c>
      <c r="AT108" s="1528">
        <f t="shared" si="124"/>
        <v>0</v>
      </c>
      <c r="AU108" s="349"/>
      <c r="AV108" s="1518"/>
    </row>
    <row r="109" spans="1:49" s="140" customFormat="1" ht="17" hidden="1" customHeight="1">
      <c r="B109" s="1800"/>
      <c r="C109" s="1473" t="s">
        <v>967</v>
      </c>
      <c r="D109" s="1466" t="s">
        <v>968</v>
      </c>
      <c r="E109" s="1092" t="s">
        <v>57</v>
      </c>
      <c r="F109" s="1706" t="s">
        <v>990</v>
      </c>
      <c r="G109" s="1707"/>
      <c r="H109" s="1710">
        <v>45691</v>
      </c>
      <c r="I109" s="1711">
        <v>46112</v>
      </c>
      <c r="J109" s="29"/>
      <c r="K109" s="1610"/>
      <c r="L109" s="1610"/>
      <c r="M109" s="1611"/>
      <c r="N109" s="1611"/>
      <c r="O109" s="1610"/>
      <c r="P109" s="1610"/>
      <c r="Q109" s="1610"/>
      <c r="R109" s="1610"/>
      <c r="S109" s="1610">
        <v>1</v>
      </c>
      <c r="T109" s="556">
        <f t="shared" si="127"/>
        <v>0.6</v>
      </c>
      <c r="U109" s="1610">
        <v>1</v>
      </c>
      <c r="V109" s="1610"/>
      <c r="W109" s="1610">
        <v>1</v>
      </c>
      <c r="X109" s="1610"/>
      <c r="Y109" s="1610">
        <v>1</v>
      </c>
      <c r="Z109" s="1610"/>
      <c r="AA109" s="1610">
        <v>1</v>
      </c>
      <c r="AB109" s="1610"/>
      <c r="AC109" s="1610">
        <v>1</v>
      </c>
      <c r="AD109" s="1610"/>
      <c r="AE109" s="1610">
        <v>1</v>
      </c>
      <c r="AF109" s="1610"/>
      <c r="AG109" s="1610">
        <v>1</v>
      </c>
      <c r="AH109" s="1610"/>
      <c r="AI109" s="1610">
        <v>1</v>
      </c>
      <c r="AJ109" s="1610"/>
      <c r="AK109" s="1610">
        <v>1</v>
      </c>
      <c r="AL109" s="1610"/>
      <c r="AM109" s="1610"/>
      <c r="AN109" s="25"/>
      <c r="AO109" s="522">
        <f t="shared" si="121"/>
        <v>10</v>
      </c>
      <c r="AP109" s="524">
        <f t="shared" si="122"/>
        <v>0.6</v>
      </c>
      <c r="AQ109" s="525">
        <f t="shared" si="123"/>
        <v>9.4</v>
      </c>
      <c r="AR109" s="635">
        <v>11</v>
      </c>
      <c r="AS109" s="1453">
        <v>11</v>
      </c>
      <c r="AT109" s="1528">
        <f t="shared" si="124"/>
        <v>-1</v>
      </c>
      <c r="AU109" s="349"/>
      <c r="AV109" s="1518"/>
    </row>
    <row r="110" spans="1:49" s="140" customFormat="1" ht="17" hidden="1" customHeight="1">
      <c r="B110" s="1800"/>
      <c r="C110" s="1473" t="s">
        <v>117</v>
      </c>
      <c r="D110" s="1466" t="s">
        <v>962</v>
      </c>
      <c r="E110" s="439" t="s">
        <v>57</v>
      </c>
      <c r="F110" s="1706" t="s">
        <v>991</v>
      </c>
      <c r="G110" s="1712"/>
      <c r="H110" s="1710">
        <v>45810</v>
      </c>
      <c r="I110" s="1711">
        <v>46142</v>
      </c>
      <c r="J110" s="29"/>
      <c r="K110" s="1610"/>
      <c r="L110" s="1610"/>
      <c r="M110" s="1611"/>
      <c r="N110" s="1611"/>
      <c r="O110" s="1610"/>
      <c r="P110" s="1610"/>
      <c r="Q110" s="1610"/>
      <c r="R110" s="1610"/>
      <c r="S110" s="1610">
        <v>1</v>
      </c>
      <c r="T110" s="556">
        <f t="shared" si="127"/>
        <v>0.6</v>
      </c>
      <c r="U110" s="1610">
        <v>1</v>
      </c>
      <c r="V110" s="1610"/>
      <c r="W110" s="1610">
        <v>1</v>
      </c>
      <c r="X110" s="1610"/>
      <c r="Y110" s="1610">
        <v>1</v>
      </c>
      <c r="Z110" s="1610"/>
      <c r="AA110" s="1610">
        <v>1</v>
      </c>
      <c r="AB110" s="1610"/>
      <c r="AC110" s="1610">
        <v>1</v>
      </c>
      <c r="AD110" s="1610"/>
      <c r="AE110" s="1610">
        <v>1</v>
      </c>
      <c r="AF110" s="1610"/>
      <c r="AG110" s="1610">
        <v>1</v>
      </c>
      <c r="AH110" s="1610"/>
      <c r="AI110" s="1610">
        <v>1</v>
      </c>
      <c r="AJ110" s="1610"/>
      <c r="AK110" s="1610">
        <v>1</v>
      </c>
      <c r="AL110" s="1610"/>
      <c r="AM110" s="1610">
        <v>1</v>
      </c>
      <c r="AN110" s="25"/>
      <c r="AO110" s="522">
        <f t="shared" si="121"/>
        <v>11</v>
      </c>
      <c r="AP110" s="524">
        <f t="shared" si="122"/>
        <v>0.6</v>
      </c>
      <c r="AQ110" s="525">
        <f t="shared" si="123"/>
        <v>10.4</v>
      </c>
      <c r="AR110" s="635">
        <v>12</v>
      </c>
      <c r="AS110" s="1453">
        <v>11</v>
      </c>
      <c r="AT110" s="1528">
        <f t="shared" si="124"/>
        <v>0</v>
      </c>
      <c r="AU110" s="349"/>
      <c r="AV110" s="1518"/>
    </row>
    <row r="111" spans="1:49" s="140" customFormat="1" ht="17" hidden="1" customHeight="1">
      <c r="B111" s="1800"/>
      <c r="C111" s="1473" t="s">
        <v>117</v>
      </c>
      <c r="D111" s="1467" t="s">
        <v>962</v>
      </c>
      <c r="E111" s="1092" t="s">
        <v>897</v>
      </c>
      <c r="F111" s="1706" t="s">
        <v>992</v>
      </c>
      <c r="G111" s="1707" t="s">
        <v>1016</v>
      </c>
      <c r="H111" s="1708">
        <v>45750</v>
      </c>
      <c r="I111" s="1709">
        <v>46142</v>
      </c>
      <c r="J111" s="29"/>
      <c r="K111" s="1610"/>
      <c r="L111" s="1610"/>
      <c r="M111" s="1611"/>
      <c r="N111" s="1611"/>
      <c r="O111" s="1613">
        <v>0</v>
      </c>
      <c r="P111" s="1613">
        <v>1</v>
      </c>
      <c r="Q111" s="1613">
        <v>0</v>
      </c>
      <c r="R111" s="1613">
        <v>1</v>
      </c>
      <c r="S111" s="1610">
        <v>1</v>
      </c>
      <c r="T111" s="556">
        <f t="shared" si="127"/>
        <v>0.6</v>
      </c>
      <c r="U111" s="1610">
        <v>1</v>
      </c>
      <c r="V111" s="1610"/>
      <c r="W111" s="1610">
        <v>1</v>
      </c>
      <c r="X111" s="1610"/>
      <c r="Y111" s="1610">
        <v>1</v>
      </c>
      <c r="Z111" s="1610"/>
      <c r="AA111" s="1610">
        <v>1</v>
      </c>
      <c r="AB111" s="1610"/>
      <c r="AC111" s="1610">
        <v>1</v>
      </c>
      <c r="AD111" s="1610"/>
      <c r="AE111" s="1610">
        <v>1</v>
      </c>
      <c r="AF111" s="1610"/>
      <c r="AG111" s="1610">
        <v>1</v>
      </c>
      <c r="AH111" s="1610"/>
      <c r="AI111" s="1610">
        <v>1</v>
      </c>
      <c r="AJ111" s="1610"/>
      <c r="AK111" s="1610">
        <v>1</v>
      </c>
      <c r="AL111" s="1610"/>
      <c r="AM111" s="1610"/>
      <c r="AN111" s="25"/>
      <c r="AO111" s="522">
        <f t="shared" si="121"/>
        <v>10</v>
      </c>
      <c r="AP111" s="524">
        <f t="shared" si="122"/>
        <v>2.6</v>
      </c>
      <c r="AQ111" s="525">
        <f t="shared" si="123"/>
        <v>7.4</v>
      </c>
      <c r="AR111" s="635">
        <v>12</v>
      </c>
      <c r="AS111" s="1453">
        <v>12</v>
      </c>
      <c r="AT111" s="1528">
        <f t="shared" si="124"/>
        <v>-2</v>
      </c>
      <c r="AU111" s="349"/>
      <c r="AV111" s="1518"/>
    </row>
    <row r="112" spans="1:49" s="140" customFormat="1" ht="17" hidden="1" customHeight="1">
      <c r="B112" s="1800"/>
      <c r="C112" s="1473" t="s">
        <v>117</v>
      </c>
      <c r="D112" s="1467" t="s">
        <v>980</v>
      </c>
      <c r="E112" s="1092" t="s">
        <v>57</v>
      </c>
      <c r="F112" s="1706" t="s">
        <v>993</v>
      </c>
      <c r="G112" s="1707" t="s">
        <v>684</v>
      </c>
      <c r="H112" s="1708">
        <v>45750</v>
      </c>
      <c r="I112" s="1709">
        <v>46142</v>
      </c>
      <c r="J112" s="29"/>
      <c r="K112" s="1610"/>
      <c r="L112" s="1610"/>
      <c r="M112" s="1611"/>
      <c r="N112" s="1611"/>
      <c r="O112" s="1613">
        <v>0</v>
      </c>
      <c r="P112" s="1613">
        <v>1</v>
      </c>
      <c r="Q112" s="1613">
        <v>0</v>
      </c>
      <c r="R112" s="1613">
        <v>1</v>
      </c>
      <c r="S112" s="1610">
        <v>1</v>
      </c>
      <c r="T112" s="556">
        <f t="shared" si="127"/>
        <v>0.6</v>
      </c>
      <c r="U112" s="1610">
        <v>1</v>
      </c>
      <c r="V112" s="1610"/>
      <c r="W112" s="1610">
        <v>1</v>
      </c>
      <c r="X112" s="1610"/>
      <c r="Y112" s="1610">
        <v>1</v>
      </c>
      <c r="Z112" s="1610"/>
      <c r="AA112" s="1610">
        <v>1</v>
      </c>
      <c r="AB112" s="1610"/>
      <c r="AC112" s="1610">
        <v>1</v>
      </c>
      <c r="AD112" s="1610"/>
      <c r="AE112" s="1610">
        <v>1</v>
      </c>
      <c r="AF112" s="1610"/>
      <c r="AG112" s="1610">
        <v>1</v>
      </c>
      <c r="AH112" s="1610"/>
      <c r="AI112" s="1610">
        <v>1</v>
      </c>
      <c r="AJ112" s="1610"/>
      <c r="AK112" s="1610">
        <v>1</v>
      </c>
      <c r="AL112" s="1610"/>
      <c r="AM112" s="1610">
        <v>1</v>
      </c>
      <c r="AN112" s="25"/>
      <c r="AO112" s="522">
        <f t="shared" si="121"/>
        <v>11</v>
      </c>
      <c r="AP112" s="524">
        <f t="shared" si="122"/>
        <v>2.6</v>
      </c>
      <c r="AQ112" s="525">
        <f t="shared" si="123"/>
        <v>8.4</v>
      </c>
      <c r="AR112" s="635">
        <v>12</v>
      </c>
      <c r="AS112" s="1453">
        <v>12.5</v>
      </c>
      <c r="AT112" s="1528">
        <f t="shared" si="124"/>
        <v>-1.5</v>
      </c>
      <c r="AU112" s="349"/>
      <c r="AV112" s="1518"/>
    </row>
    <row r="113" spans="1:49" s="140" customFormat="1" ht="17" hidden="1" customHeight="1">
      <c r="B113" s="1800"/>
      <c r="C113" s="1473" t="s">
        <v>118</v>
      </c>
      <c r="D113" s="1466" t="s">
        <v>968</v>
      </c>
      <c r="E113" s="439" t="s">
        <v>57</v>
      </c>
      <c r="F113" s="1468" t="s">
        <v>994</v>
      </c>
      <c r="G113" s="937"/>
      <c r="H113" s="1001">
        <v>45810</v>
      </c>
      <c r="I113" s="810">
        <v>46112</v>
      </c>
      <c r="J113" s="29"/>
      <c r="K113" s="1610"/>
      <c r="L113" s="1610"/>
      <c r="M113" s="1611"/>
      <c r="N113" s="1611"/>
      <c r="O113" s="1610"/>
      <c r="P113" s="1610"/>
      <c r="Q113" s="1610"/>
      <c r="R113" s="1610"/>
      <c r="S113" s="1610">
        <v>1</v>
      </c>
      <c r="T113" s="556">
        <f t="shared" si="127"/>
        <v>0.6</v>
      </c>
      <c r="U113" s="1610">
        <v>1</v>
      </c>
      <c r="V113" s="1610"/>
      <c r="W113" s="1610">
        <v>1</v>
      </c>
      <c r="X113" s="1610"/>
      <c r="Y113" s="1610">
        <v>1</v>
      </c>
      <c r="Z113" s="1610"/>
      <c r="AA113" s="1610">
        <v>1</v>
      </c>
      <c r="AB113" s="1610"/>
      <c r="AC113" s="1610">
        <v>1</v>
      </c>
      <c r="AD113" s="1610"/>
      <c r="AE113" s="1610">
        <v>1</v>
      </c>
      <c r="AF113" s="1610"/>
      <c r="AG113" s="1610">
        <v>1</v>
      </c>
      <c r="AH113" s="1610"/>
      <c r="AI113" s="1610">
        <v>1</v>
      </c>
      <c r="AJ113" s="1610"/>
      <c r="AK113" s="1610">
        <v>1</v>
      </c>
      <c r="AL113" s="1610"/>
      <c r="AM113" s="1610"/>
      <c r="AN113" s="25"/>
      <c r="AO113" s="522">
        <f t="shared" si="121"/>
        <v>10</v>
      </c>
      <c r="AP113" s="524">
        <f t="shared" si="122"/>
        <v>0.6</v>
      </c>
      <c r="AQ113" s="525">
        <f t="shared" si="123"/>
        <v>9.4</v>
      </c>
      <c r="AR113" s="635" t="s">
        <v>879</v>
      </c>
      <c r="AS113" s="1453">
        <v>11</v>
      </c>
      <c r="AT113" s="1528">
        <f t="shared" si="124"/>
        <v>-1</v>
      </c>
      <c r="AU113" s="349"/>
      <c r="AV113" s="1518"/>
    </row>
    <row r="114" spans="1:49" s="140" customFormat="1" ht="17" hidden="1" customHeight="1">
      <c r="B114" s="1800"/>
      <c r="C114" s="1473" t="s">
        <v>969</v>
      </c>
      <c r="D114" s="1466" t="s">
        <v>970</v>
      </c>
      <c r="E114" s="439" t="s">
        <v>57</v>
      </c>
      <c r="F114" s="1468" t="s">
        <v>995</v>
      </c>
      <c r="G114" s="937"/>
      <c r="H114" s="1544">
        <v>45707</v>
      </c>
      <c r="I114" s="1541">
        <v>46142</v>
      </c>
      <c r="J114" s="29"/>
      <c r="K114" s="1610"/>
      <c r="L114" s="1610"/>
      <c r="M114" s="1611"/>
      <c r="N114" s="1611"/>
      <c r="O114" s="1610">
        <v>1</v>
      </c>
      <c r="P114" s="1610">
        <v>1</v>
      </c>
      <c r="Q114" s="1610">
        <v>1</v>
      </c>
      <c r="R114" s="1610">
        <v>1</v>
      </c>
      <c r="S114" s="1610">
        <v>1</v>
      </c>
      <c r="T114" s="556">
        <f t="shared" si="127"/>
        <v>0.6</v>
      </c>
      <c r="U114" s="1610">
        <v>1</v>
      </c>
      <c r="V114" s="1610"/>
      <c r="W114" s="1610">
        <v>1</v>
      </c>
      <c r="X114" s="1610"/>
      <c r="Y114" s="1610">
        <v>1</v>
      </c>
      <c r="Z114" s="1610"/>
      <c r="AA114" s="1610">
        <v>1</v>
      </c>
      <c r="AB114" s="1610"/>
      <c r="AC114" s="1610">
        <v>1</v>
      </c>
      <c r="AD114" s="1610"/>
      <c r="AE114" s="1610">
        <v>1</v>
      </c>
      <c r="AF114" s="1610"/>
      <c r="AG114" s="1610">
        <v>1</v>
      </c>
      <c r="AH114" s="1610"/>
      <c r="AI114" s="1610">
        <v>1</v>
      </c>
      <c r="AJ114" s="1610"/>
      <c r="AK114" s="1610">
        <v>1</v>
      </c>
      <c r="AL114" s="1610"/>
      <c r="AM114" s="1610">
        <v>1</v>
      </c>
      <c r="AN114" s="25"/>
      <c r="AO114" s="522">
        <f t="shared" si="121"/>
        <v>13</v>
      </c>
      <c r="AP114" s="524">
        <f t="shared" si="122"/>
        <v>2.6</v>
      </c>
      <c r="AQ114" s="525">
        <f t="shared" si="123"/>
        <v>10.4</v>
      </c>
      <c r="AR114" s="635">
        <v>11</v>
      </c>
      <c r="AS114" s="1453">
        <v>12</v>
      </c>
      <c r="AT114" s="1528">
        <f t="shared" si="124"/>
        <v>1</v>
      </c>
      <c r="AU114" s="349"/>
      <c r="AV114" s="1518"/>
    </row>
    <row r="115" spans="1:49" s="140" customFormat="1" ht="17" hidden="1" customHeight="1">
      <c r="B115" s="1800"/>
      <c r="C115" s="1473" t="s">
        <v>113</v>
      </c>
      <c r="D115" s="1466" t="s">
        <v>970</v>
      </c>
      <c r="E115" s="1092" t="s">
        <v>897</v>
      </c>
      <c r="F115" s="1468" t="s">
        <v>996</v>
      </c>
      <c r="G115" s="937"/>
      <c r="H115" s="1544">
        <v>45810</v>
      </c>
      <c r="I115" s="1541">
        <v>46112</v>
      </c>
      <c r="J115" s="29"/>
      <c r="K115" s="1610"/>
      <c r="L115" s="1610"/>
      <c r="M115" s="1611"/>
      <c r="N115" s="1611"/>
      <c r="O115" s="1610"/>
      <c r="P115" s="1610"/>
      <c r="Q115" s="1610"/>
      <c r="R115" s="1610"/>
      <c r="S115" s="1610">
        <v>1</v>
      </c>
      <c r="T115" s="556">
        <f t="shared" si="127"/>
        <v>0.6</v>
      </c>
      <c r="U115" s="1610">
        <v>1</v>
      </c>
      <c r="V115" s="1610"/>
      <c r="W115" s="1610">
        <v>1</v>
      </c>
      <c r="X115" s="1610"/>
      <c r="Y115" s="1610">
        <v>1</v>
      </c>
      <c r="Z115" s="1610"/>
      <c r="AA115" s="1610">
        <v>1</v>
      </c>
      <c r="AB115" s="1610"/>
      <c r="AC115" s="1610">
        <v>1</v>
      </c>
      <c r="AD115" s="1610"/>
      <c r="AE115" s="1610">
        <v>1</v>
      </c>
      <c r="AF115" s="1610"/>
      <c r="AG115" s="1610">
        <v>1</v>
      </c>
      <c r="AH115" s="1610"/>
      <c r="AI115" s="1610">
        <v>1</v>
      </c>
      <c r="AJ115" s="1610"/>
      <c r="AK115" s="1610">
        <v>1</v>
      </c>
      <c r="AL115" s="1610"/>
      <c r="AM115" s="1610"/>
      <c r="AN115" s="16"/>
      <c r="AO115" s="522">
        <f t="shared" ref="AO115" si="128">+K115+M115+O115+Q115+S115+U115+W115+Y115+AA115+AC115+AE115+AG115+AI115+AK115+AM115</f>
        <v>10</v>
      </c>
      <c r="AP115" s="524">
        <f t="shared" ref="AP115" si="129">+L115+N115+P115+R115+T115+V115+X115+Z115+AB115+AD115+AF115+AH115+AJ115+AL115+AN115</f>
        <v>0.6</v>
      </c>
      <c r="AQ115" s="525">
        <f t="shared" ref="AQ115" si="130">AO115-AP115</f>
        <v>9.4</v>
      </c>
      <c r="AR115" s="635" t="s">
        <v>878</v>
      </c>
      <c r="AS115" s="1453">
        <v>11</v>
      </c>
      <c r="AT115" s="1528">
        <f t="shared" si="124"/>
        <v>-1</v>
      </c>
      <c r="AU115" s="349"/>
      <c r="AV115" s="1518"/>
      <c r="AW115" s="140" t="s">
        <v>868</v>
      </c>
    </row>
    <row r="116" spans="1:49" s="140" customFormat="1" ht="17" hidden="1" customHeight="1">
      <c r="B116" s="1800"/>
      <c r="C116" s="1473" t="s">
        <v>976</v>
      </c>
      <c r="D116" s="1467" t="s">
        <v>970</v>
      </c>
      <c r="E116" s="439" t="s">
        <v>897</v>
      </c>
      <c r="F116" s="1468" t="s">
        <v>997</v>
      </c>
      <c r="G116" s="1006"/>
      <c r="H116" s="1001">
        <v>45720</v>
      </c>
      <c r="I116" s="810">
        <v>46142</v>
      </c>
      <c r="J116" s="29"/>
      <c r="K116" s="1610"/>
      <c r="L116" s="1610"/>
      <c r="M116" s="1611"/>
      <c r="N116" s="1611"/>
      <c r="O116" s="1610">
        <v>1</v>
      </c>
      <c r="P116" s="1610">
        <v>1</v>
      </c>
      <c r="Q116" s="1610">
        <v>1</v>
      </c>
      <c r="R116" s="1610">
        <v>1</v>
      </c>
      <c r="S116" s="1610">
        <v>1</v>
      </c>
      <c r="T116" s="556">
        <f t="shared" si="127"/>
        <v>0.6</v>
      </c>
      <c r="U116" s="1610">
        <v>1</v>
      </c>
      <c r="V116" s="1610"/>
      <c r="W116" s="1610">
        <v>1</v>
      </c>
      <c r="X116" s="1610"/>
      <c r="Y116" s="1610">
        <v>1</v>
      </c>
      <c r="Z116" s="1610"/>
      <c r="AA116" s="1610">
        <v>1</v>
      </c>
      <c r="AB116" s="1610"/>
      <c r="AC116" s="1610">
        <v>1</v>
      </c>
      <c r="AD116" s="1610"/>
      <c r="AE116" s="1610">
        <v>1</v>
      </c>
      <c r="AF116" s="1610"/>
      <c r="AG116" s="1610">
        <v>1</v>
      </c>
      <c r="AH116" s="1610"/>
      <c r="AI116" s="1610">
        <v>1</v>
      </c>
      <c r="AJ116" s="1610"/>
      <c r="AK116" s="1610">
        <v>1</v>
      </c>
      <c r="AL116" s="1610"/>
      <c r="AM116" s="1610">
        <v>1</v>
      </c>
      <c r="AN116" s="25"/>
      <c r="AO116" s="522">
        <f t="shared" si="121"/>
        <v>13</v>
      </c>
      <c r="AP116" s="524">
        <f t="shared" si="122"/>
        <v>2.6</v>
      </c>
      <c r="AQ116" s="525">
        <f t="shared" si="123"/>
        <v>10.4</v>
      </c>
      <c r="AR116" s="635">
        <v>11</v>
      </c>
      <c r="AS116" s="1453">
        <v>12</v>
      </c>
      <c r="AT116" s="1528">
        <f t="shared" si="124"/>
        <v>1</v>
      </c>
      <c r="AU116" s="349"/>
      <c r="AV116" s="1518"/>
    </row>
    <row r="117" spans="1:49" s="140" customFormat="1" ht="17" hidden="1" customHeight="1">
      <c r="B117" s="1800"/>
      <c r="C117" s="1473" t="s">
        <v>971</v>
      </c>
      <c r="D117" s="1466" t="s">
        <v>968</v>
      </c>
      <c r="E117" s="1534" t="s">
        <v>57</v>
      </c>
      <c r="F117" s="1468" t="s">
        <v>998</v>
      </c>
      <c r="G117" s="1006"/>
      <c r="H117" s="1001">
        <v>45810</v>
      </c>
      <c r="I117" s="810">
        <v>46112</v>
      </c>
      <c r="J117" s="366"/>
      <c r="K117" s="1610"/>
      <c r="L117" s="1610"/>
      <c r="M117" s="1610"/>
      <c r="N117" s="1610"/>
      <c r="O117" s="1610"/>
      <c r="P117" s="1610"/>
      <c r="Q117" s="1610"/>
      <c r="R117" s="1610"/>
      <c r="S117" s="1610">
        <v>1</v>
      </c>
      <c r="T117" s="556">
        <f t="shared" si="127"/>
        <v>0.6</v>
      </c>
      <c r="U117" s="1610">
        <v>1</v>
      </c>
      <c r="V117" s="1610"/>
      <c r="W117" s="1610">
        <v>1</v>
      </c>
      <c r="X117" s="1610"/>
      <c r="Y117" s="1610">
        <v>1</v>
      </c>
      <c r="Z117" s="1610"/>
      <c r="AA117" s="1610">
        <v>1</v>
      </c>
      <c r="AB117" s="1610"/>
      <c r="AC117" s="1610">
        <v>1</v>
      </c>
      <c r="AD117" s="1610"/>
      <c r="AE117" s="1610">
        <v>1</v>
      </c>
      <c r="AF117" s="1610"/>
      <c r="AG117" s="1610">
        <v>1</v>
      </c>
      <c r="AH117" s="1610"/>
      <c r="AI117" s="1610">
        <v>1</v>
      </c>
      <c r="AJ117" s="1610"/>
      <c r="AK117" s="1610">
        <v>1</v>
      </c>
      <c r="AL117" s="1610"/>
      <c r="AM117" s="1610"/>
      <c r="AN117" s="54"/>
      <c r="AO117" s="522">
        <f t="shared" si="121"/>
        <v>10</v>
      </c>
      <c r="AP117" s="524">
        <f t="shared" si="122"/>
        <v>0.6</v>
      </c>
      <c r="AQ117" s="525">
        <f t="shared" si="123"/>
        <v>9.4</v>
      </c>
      <c r="AR117" s="634" t="s">
        <v>881</v>
      </c>
      <c r="AS117" s="1453">
        <v>11</v>
      </c>
      <c r="AT117" s="1528">
        <f t="shared" si="124"/>
        <v>-1</v>
      </c>
      <c r="AU117" s="349"/>
      <c r="AV117" s="1518"/>
    </row>
    <row r="118" spans="1:49" s="140" customFormat="1" ht="17" hidden="1" customHeight="1">
      <c r="B118" s="1800"/>
      <c r="C118" s="1473" t="s">
        <v>972</v>
      </c>
      <c r="D118" s="1466" t="s">
        <v>970</v>
      </c>
      <c r="E118" s="439" t="s">
        <v>57</v>
      </c>
      <c r="F118" s="1468" t="s">
        <v>999</v>
      </c>
      <c r="G118" s="1006"/>
      <c r="H118" s="1000">
        <v>45677</v>
      </c>
      <c r="I118" s="810">
        <v>46112</v>
      </c>
      <c r="J118" s="29"/>
      <c r="K118" s="1610">
        <v>1</v>
      </c>
      <c r="L118" s="1610">
        <v>1</v>
      </c>
      <c r="M118" s="1610">
        <v>1</v>
      </c>
      <c r="N118" s="1610">
        <v>1</v>
      </c>
      <c r="O118" s="1610">
        <v>1</v>
      </c>
      <c r="P118" s="1610">
        <v>1</v>
      </c>
      <c r="Q118" s="1610">
        <v>1</v>
      </c>
      <c r="R118" s="1610">
        <v>1</v>
      </c>
      <c r="S118" s="1610">
        <v>1</v>
      </c>
      <c r="T118" s="556">
        <f t="shared" si="127"/>
        <v>0.6</v>
      </c>
      <c r="U118" s="1610">
        <v>1</v>
      </c>
      <c r="V118" s="1610"/>
      <c r="W118" s="1610">
        <v>1</v>
      </c>
      <c r="X118" s="1610"/>
      <c r="Y118" s="1610">
        <v>1</v>
      </c>
      <c r="Z118" s="1610"/>
      <c r="AA118" s="1610">
        <v>1</v>
      </c>
      <c r="AB118" s="1610"/>
      <c r="AC118" s="1610">
        <v>1</v>
      </c>
      <c r="AD118" s="1610"/>
      <c r="AE118" s="1610">
        <v>1</v>
      </c>
      <c r="AF118" s="1610"/>
      <c r="AG118" s="1610">
        <v>1</v>
      </c>
      <c r="AH118" s="1610"/>
      <c r="AI118" s="1610">
        <v>1</v>
      </c>
      <c r="AJ118" s="1610"/>
      <c r="AK118" s="1610">
        <v>1</v>
      </c>
      <c r="AL118" s="1610"/>
      <c r="AM118" s="1610"/>
      <c r="AN118" s="54"/>
      <c r="AO118" s="522">
        <f t="shared" si="121"/>
        <v>14</v>
      </c>
      <c r="AP118" s="524">
        <f t="shared" si="122"/>
        <v>4.5999999999999996</v>
      </c>
      <c r="AQ118" s="525">
        <f t="shared" si="123"/>
        <v>9.4</v>
      </c>
      <c r="AR118" s="634">
        <v>11</v>
      </c>
      <c r="AS118" s="1453">
        <v>14</v>
      </c>
      <c r="AT118" s="1528">
        <f t="shared" si="124"/>
        <v>0</v>
      </c>
      <c r="AU118" s="349"/>
      <c r="AV118" s="1518"/>
    </row>
    <row r="119" spans="1:49" s="140" customFormat="1" ht="17" hidden="1" customHeight="1">
      <c r="B119" s="1800"/>
      <c r="C119" s="1473" t="s">
        <v>972</v>
      </c>
      <c r="D119" s="1466" t="s">
        <v>968</v>
      </c>
      <c r="E119" s="439" t="s">
        <v>57</v>
      </c>
      <c r="F119" s="1468" t="s">
        <v>1000</v>
      </c>
      <c r="G119" s="1006"/>
      <c r="H119" s="810">
        <v>45691</v>
      </c>
      <c r="I119" s="810">
        <v>46142</v>
      </c>
      <c r="J119" s="29"/>
      <c r="K119" s="1612">
        <v>0</v>
      </c>
      <c r="L119" s="1612">
        <v>1</v>
      </c>
      <c r="M119" s="1612">
        <v>0</v>
      </c>
      <c r="N119" s="1612">
        <v>1</v>
      </c>
      <c r="O119" s="1613">
        <v>0</v>
      </c>
      <c r="P119" s="1613">
        <v>1</v>
      </c>
      <c r="Q119" s="1613">
        <v>0</v>
      </c>
      <c r="R119" s="1613">
        <v>1</v>
      </c>
      <c r="S119" s="1610">
        <v>1</v>
      </c>
      <c r="T119" s="556">
        <f t="shared" si="127"/>
        <v>0.6</v>
      </c>
      <c r="U119" s="1610">
        <v>1</v>
      </c>
      <c r="V119" s="1610"/>
      <c r="W119" s="1610">
        <v>1</v>
      </c>
      <c r="X119" s="1610"/>
      <c r="Y119" s="1610">
        <v>1</v>
      </c>
      <c r="Z119" s="1610"/>
      <c r="AA119" s="1610">
        <v>1</v>
      </c>
      <c r="AB119" s="1610"/>
      <c r="AC119" s="1610">
        <v>1</v>
      </c>
      <c r="AD119" s="1610"/>
      <c r="AE119" s="1610">
        <v>1</v>
      </c>
      <c r="AF119" s="1610"/>
      <c r="AG119" s="1610">
        <v>1</v>
      </c>
      <c r="AH119" s="1610"/>
      <c r="AI119" s="1610">
        <v>1</v>
      </c>
      <c r="AJ119" s="1610"/>
      <c r="AK119" s="1610">
        <v>1</v>
      </c>
      <c r="AL119" s="1610"/>
      <c r="AM119" s="1610">
        <v>1</v>
      </c>
      <c r="AN119" s="25"/>
      <c r="AO119" s="522">
        <f t="shared" si="121"/>
        <v>11</v>
      </c>
      <c r="AP119" s="524">
        <f t="shared" si="122"/>
        <v>4.5999999999999996</v>
      </c>
      <c r="AQ119" s="525">
        <f t="shared" si="123"/>
        <v>6.4</v>
      </c>
      <c r="AR119" s="635" t="s">
        <v>883</v>
      </c>
      <c r="AS119" s="1453">
        <v>11</v>
      </c>
      <c r="AT119" s="1528">
        <f t="shared" si="124"/>
        <v>0</v>
      </c>
      <c r="AU119" s="349"/>
      <c r="AV119" s="1518"/>
    </row>
    <row r="120" spans="1:49" s="140" customFormat="1" ht="17" hidden="1" customHeight="1">
      <c r="B120" s="1800"/>
      <c r="C120" s="1473" t="s">
        <v>973</v>
      </c>
      <c r="D120" s="1466" t="s">
        <v>962</v>
      </c>
      <c r="E120" s="443" t="s">
        <v>897</v>
      </c>
      <c r="F120" s="1468" t="s">
        <v>987</v>
      </c>
      <c r="G120" s="1006"/>
      <c r="H120" s="1000">
        <v>45691</v>
      </c>
      <c r="I120" s="809">
        <v>46142</v>
      </c>
      <c r="J120" s="360"/>
      <c r="K120" s="1610"/>
      <c r="L120" s="1610"/>
      <c r="M120" s="1610"/>
      <c r="N120" s="1610"/>
      <c r="O120" s="1610"/>
      <c r="P120" s="1610"/>
      <c r="Q120" s="1610"/>
      <c r="R120" s="1610"/>
      <c r="S120" s="1610">
        <v>1</v>
      </c>
      <c r="T120" s="556">
        <f t="shared" si="127"/>
        <v>0.6</v>
      </c>
      <c r="U120" s="1610">
        <v>1</v>
      </c>
      <c r="V120" s="1610"/>
      <c r="W120" s="1610">
        <v>1</v>
      </c>
      <c r="X120" s="1610"/>
      <c r="Y120" s="1610">
        <v>1</v>
      </c>
      <c r="Z120" s="1610"/>
      <c r="AA120" s="1610">
        <v>1</v>
      </c>
      <c r="AB120" s="1610"/>
      <c r="AC120" s="1610">
        <v>1</v>
      </c>
      <c r="AD120" s="1610"/>
      <c r="AE120" s="1610">
        <v>1</v>
      </c>
      <c r="AF120" s="1610"/>
      <c r="AG120" s="1610">
        <v>1</v>
      </c>
      <c r="AH120" s="1610"/>
      <c r="AI120" s="1610">
        <v>1</v>
      </c>
      <c r="AJ120" s="1610"/>
      <c r="AK120" s="1610">
        <v>1</v>
      </c>
      <c r="AL120" s="1610"/>
      <c r="AM120" s="1610">
        <v>1</v>
      </c>
      <c r="AN120" s="122"/>
      <c r="AO120" s="522">
        <f t="shared" si="121"/>
        <v>11</v>
      </c>
      <c r="AP120" s="524">
        <f t="shared" si="122"/>
        <v>0.6</v>
      </c>
      <c r="AQ120" s="525">
        <f t="shared" si="123"/>
        <v>10.4</v>
      </c>
      <c r="AR120" s="635" t="s">
        <v>882</v>
      </c>
      <c r="AS120" s="1453">
        <v>10</v>
      </c>
      <c r="AT120" s="1528">
        <f t="shared" si="124"/>
        <v>1</v>
      </c>
      <c r="AU120" s="349"/>
      <c r="AV120" s="1518"/>
    </row>
    <row r="121" spans="1:49" s="140" customFormat="1" ht="17" hidden="1" customHeight="1" thickBot="1">
      <c r="B121" s="1800"/>
      <c r="C121" s="1473" t="s">
        <v>977</v>
      </c>
      <c r="D121" s="1466" t="s">
        <v>979</v>
      </c>
      <c r="E121" s="443" t="s">
        <v>897</v>
      </c>
      <c r="F121" s="1713" t="s">
        <v>292</v>
      </c>
      <c r="G121" s="1714" t="s">
        <v>1001</v>
      </c>
      <c r="H121" s="1715">
        <v>45775</v>
      </c>
      <c r="I121" s="1716">
        <v>46112</v>
      </c>
      <c r="J121" s="367"/>
      <c r="K121" s="1610"/>
      <c r="L121" s="1610"/>
      <c r="M121" s="1610"/>
      <c r="N121" s="1610"/>
      <c r="O121" s="1613">
        <v>0</v>
      </c>
      <c r="P121" s="1613">
        <v>0.1</v>
      </c>
      <c r="Q121" s="1613">
        <v>0</v>
      </c>
      <c r="R121" s="1613">
        <v>1</v>
      </c>
      <c r="S121" s="1610">
        <v>1</v>
      </c>
      <c r="T121" s="556">
        <f t="shared" si="127"/>
        <v>0.6</v>
      </c>
      <c r="U121" s="1610">
        <v>1</v>
      </c>
      <c r="V121" s="1610"/>
      <c r="W121" s="1610">
        <v>1</v>
      </c>
      <c r="X121" s="1610"/>
      <c r="Y121" s="1610">
        <v>1</v>
      </c>
      <c r="Z121" s="1610"/>
      <c r="AA121" s="1610">
        <v>1</v>
      </c>
      <c r="AB121" s="1610"/>
      <c r="AC121" s="1610">
        <v>1</v>
      </c>
      <c r="AD121" s="1610"/>
      <c r="AE121" s="1610">
        <v>1</v>
      </c>
      <c r="AF121" s="1610"/>
      <c r="AG121" s="1610">
        <v>1</v>
      </c>
      <c r="AH121" s="1610"/>
      <c r="AI121" s="1610">
        <v>1</v>
      </c>
      <c r="AJ121" s="1610"/>
      <c r="AK121" s="1610">
        <v>1</v>
      </c>
      <c r="AL121" s="1610"/>
      <c r="AM121" s="1610"/>
      <c r="AN121" s="1142"/>
      <c r="AO121" s="522">
        <f t="shared" si="121"/>
        <v>10</v>
      </c>
      <c r="AP121" s="524">
        <f t="shared" si="122"/>
        <v>1.7000000000000002</v>
      </c>
      <c r="AQ121" s="525">
        <f t="shared" si="123"/>
        <v>8.3000000000000007</v>
      </c>
      <c r="AR121" s="635" t="s">
        <v>77</v>
      </c>
      <c r="AS121" s="1453">
        <v>11</v>
      </c>
      <c r="AT121" s="1528">
        <f t="shared" si="124"/>
        <v>-1</v>
      </c>
      <c r="AU121" s="349"/>
    </row>
    <row r="122" spans="1:49" s="150" customFormat="1" ht="17" hidden="1" customHeight="1" thickBot="1">
      <c r="A122" s="140"/>
      <c r="B122" s="1800"/>
      <c r="C122" s="678" t="s">
        <v>16</v>
      </c>
      <c r="D122" s="679"/>
      <c r="E122" s="680"/>
      <c r="F122" s="681"/>
      <c r="G122" s="1003"/>
      <c r="H122" s="682"/>
      <c r="I122" s="808"/>
      <c r="J122" s="368">
        <f t="shared" ref="J122:R122" si="131">SUM(J100:J121)</f>
        <v>0</v>
      </c>
      <c r="K122" s="198">
        <f t="shared" si="131"/>
        <v>6.75</v>
      </c>
      <c r="L122" s="198">
        <f t="shared" si="131"/>
        <v>8.1999999999999993</v>
      </c>
      <c r="M122" s="198">
        <f t="shared" si="131"/>
        <v>7</v>
      </c>
      <c r="N122" s="198">
        <f t="shared" si="131"/>
        <v>9</v>
      </c>
      <c r="O122" s="198">
        <f t="shared" si="131"/>
        <v>8.5</v>
      </c>
      <c r="P122" s="198">
        <f t="shared" si="131"/>
        <v>13.6</v>
      </c>
      <c r="Q122" s="384">
        <f t="shared" si="131"/>
        <v>8</v>
      </c>
      <c r="R122" s="384">
        <f t="shared" si="131"/>
        <v>14</v>
      </c>
      <c r="S122" s="559">
        <f>SUM(S100:S121)</f>
        <v>21</v>
      </c>
      <c r="T122" s="559">
        <f>SUM(T100:T121)</f>
        <v>12.599999999999996</v>
      </c>
      <c r="U122" s="560">
        <f>SUM(U100:U121)</f>
        <v>21</v>
      </c>
      <c r="V122" s="560"/>
      <c r="W122" s="560">
        <f>SUM(W100:W121)</f>
        <v>21</v>
      </c>
      <c r="X122" s="560"/>
      <c r="Y122" s="560">
        <f>SUM(Y100:Y121)</f>
        <v>21</v>
      </c>
      <c r="Z122" s="560"/>
      <c r="AA122" s="560">
        <f>SUM(AA100:AA121)</f>
        <v>21</v>
      </c>
      <c r="AB122" s="560"/>
      <c r="AC122" s="560">
        <f>SUM(AC100:AC121)</f>
        <v>21</v>
      </c>
      <c r="AD122" s="561"/>
      <c r="AE122" s="389">
        <f>SUM(AE100:AE121)</f>
        <v>21</v>
      </c>
      <c r="AF122" s="368"/>
      <c r="AG122" s="198">
        <f>SUM(AG100:AG121)</f>
        <v>21</v>
      </c>
      <c r="AH122" s="384"/>
      <c r="AI122" s="384">
        <f>SUM(AI100:AI121)</f>
        <v>21</v>
      </c>
      <c r="AJ122" s="372"/>
      <c r="AK122" s="389">
        <f>SUM(AK100:AK121)</f>
        <v>21</v>
      </c>
      <c r="AL122" s="198"/>
      <c r="AM122" s="198">
        <f>SUM(AM100:AM121)</f>
        <v>13</v>
      </c>
      <c r="AN122" s="372"/>
      <c r="AO122" s="683">
        <f>+SUM(AO100:AO121)</f>
        <v>253.25</v>
      </c>
      <c r="AP122" s="684">
        <f>+SUM(AP100:AP121)</f>
        <v>57.40000000000002</v>
      </c>
      <c r="AQ122" s="685">
        <f>+SUM(AQ100:AQ121)</f>
        <v>195.85000000000008</v>
      </c>
      <c r="AR122" s="648"/>
      <c r="AS122" s="1520">
        <v>15</v>
      </c>
      <c r="AT122" s="349"/>
      <c r="AU122" s="349"/>
    </row>
    <row r="123" spans="1:49" s="140" customFormat="1" ht="17" hidden="1" customHeight="1" thickBot="1">
      <c r="B123" s="1799" t="s">
        <v>66</v>
      </c>
      <c r="C123" s="1730" t="s">
        <v>902</v>
      </c>
      <c r="D123" s="1535" t="s">
        <v>896</v>
      </c>
      <c r="E123" s="1535" t="s">
        <v>903</v>
      </c>
      <c r="F123" s="1536" t="s">
        <v>904</v>
      </c>
      <c r="G123" s="784"/>
      <c r="H123" s="814">
        <v>45677</v>
      </c>
      <c r="I123" s="814">
        <v>46142</v>
      </c>
      <c r="J123" s="359"/>
      <c r="K123" s="1614">
        <v>1</v>
      </c>
      <c r="L123" s="1614">
        <v>1</v>
      </c>
      <c r="M123" s="1614">
        <v>1</v>
      </c>
      <c r="N123" s="1614">
        <v>1</v>
      </c>
      <c r="O123" s="1614">
        <v>1</v>
      </c>
      <c r="P123" s="1614">
        <v>1</v>
      </c>
      <c r="Q123" s="1614">
        <v>1</v>
      </c>
      <c r="R123" s="1614">
        <v>1</v>
      </c>
      <c r="S123" s="1614">
        <v>1</v>
      </c>
      <c r="T123" s="556">
        <f>$T$1*S123</f>
        <v>0.6</v>
      </c>
      <c r="U123" s="1614">
        <v>1</v>
      </c>
      <c r="V123" s="1614"/>
      <c r="W123" s="1614">
        <v>1</v>
      </c>
      <c r="X123" s="1614"/>
      <c r="Y123" s="1614">
        <v>1</v>
      </c>
      <c r="Z123" s="1614"/>
      <c r="AA123" s="1614">
        <v>1</v>
      </c>
      <c r="AB123" s="1614"/>
      <c r="AC123" s="1614">
        <v>1</v>
      </c>
      <c r="AD123" s="1614"/>
      <c r="AE123" s="1614">
        <v>1</v>
      </c>
      <c r="AF123" s="1614"/>
      <c r="AG123" s="1614">
        <v>1</v>
      </c>
      <c r="AH123" s="1614"/>
      <c r="AI123" s="1614">
        <v>1</v>
      </c>
      <c r="AJ123" s="1614"/>
      <c r="AK123" s="1614">
        <v>1</v>
      </c>
      <c r="AL123" s="1614"/>
      <c r="AM123" s="1614">
        <v>1</v>
      </c>
      <c r="AN123" s="50"/>
      <c r="AO123" s="511">
        <f t="shared" ref="AO123:AO203" si="132">+K123+M123+O123+Q123+S123+U123+W123+Y123+AA123+AC123+AE123+AG123+AI123+AK123+AM123</f>
        <v>15</v>
      </c>
      <c r="AP123" s="512">
        <f t="shared" ref="AP123:AP203" si="133">+L123+N123+P123+R123+T123+V123+X123+Z123+AB123+AD123+AF123+AH123+AJ123+AL123+AN123</f>
        <v>4.5999999999999996</v>
      </c>
      <c r="AQ123" s="1034">
        <f t="shared" ref="AQ123:AQ203" si="134">AO123-AP123</f>
        <v>10.4</v>
      </c>
      <c r="AR123" s="1038" t="s">
        <v>878</v>
      </c>
      <c r="AS123" s="1453">
        <v>15</v>
      </c>
      <c r="AT123" s="1528">
        <f t="shared" si="124"/>
        <v>0</v>
      </c>
      <c r="AU123" s="349"/>
      <c r="AV123" s="1518">
        <f t="shared" ref="AV123" si="135">AO123-AT123</f>
        <v>15</v>
      </c>
    </row>
    <row r="124" spans="1:49" s="140" customFormat="1" ht="17" hidden="1" customHeight="1">
      <c r="B124" s="1800"/>
      <c r="C124" s="1728" t="s">
        <v>906</v>
      </c>
      <c r="D124" s="1754" t="s">
        <v>898</v>
      </c>
      <c r="E124" s="1759" t="s">
        <v>903</v>
      </c>
      <c r="F124" s="1756" t="s">
        <v>907</v>
      </c>
      <c r="G124" s="1760" t="s">
        <v>905</v>
      </c>
      <c r="H124" s="1761">
        <v>45677</v>
      </c>
      <c r="I124" s="1761">
        <v>45747</v>
      </c>
      <c r="J124" s="29"/>
      <c r="K124" s="1610">
        <v>1</v>
      </c>
      <c r="L124" s="1610">
        <v>1</v>
      </c>
      <c r="M124" s="1610">
        <v>1</v>
      </c>
      <c r="N124" s="1610">
        <v>1</v>
      </c>
      <c r="O124" s="1610"/>
      <c r="P124" s="1610"/>
      <c r="Q124" s="1610"/>
      <c r="R124" s="1610"/>
      <c r="S124" s="1610"/>
      <c r="T124" s="1610"/>
      <c r="U124" s="1610"/>
      <c r="V124" s="1610"/>
      <c r="W124" s="1610"/>
      <c r="X124" s="1610"/>
      <c r="Y124" s="1610"/>
      <c r="Z124" s="1610"/>
      <c r="AA124" s="1610"/>
      <c r="AB124" s="1610"/>
      <c r="AC124" s="1610"/>
      <c r="AD124" s="1610"/>
      <c r="AE124" s="1610"/>
      <c r="AF124" s="1610"/>
      <c r="AG124" s="1610"/>
      <c r="AH124" s="1610"/>
      <c r="AI124" s="1610"/>
      <c r="AJ124" s="1610"/>
      <c r="AK124" s="1610"/>
      <c r="AL124" s="1610"/>
      <c r="AM124" s="1610"/>
      <c r="AN124" s="25"/>
      <c r="AO124" s="721">
        <f>+K124+M124+O124+Q124+S124+U124+W124+Y124+AA124+AC124+AE124+AG124+AI124+AK124+AM124</f>
        <v>2</v>
      </c>
      <c r="AP124" s="722">
        <f t="shared" si="133"/>
        <v>2</v>
      </c>
      <c r="AQ124" s="1035">
        <f t="shared" si="134"/>
        <v>0</v>
      </c>
      <c r="AR124" s="1039" t="s">
        <v>878</v>
      </c>
      <c r="AS124" s="1521">
        <v>2</v>
      </c>
      <c r="AT124" s="1528">
        <f t="shared" si="124"/>
        <v>0</v>
      </c>
      <c r="AU124" s="349"/>
      <c r="AV124" s="1518"/>
    </row>
    <row r="125" spans="1:49" s="140" customFormat="1" ht="17" hidden="1" customHeight="1">
      <c r="B125" s="1800"/>
      <c r="C125" s="1728" t="s">
        <v>906</v>
      </c>
      <c r="D125" s="1466" t="s">
        <v>744</v>
      </c>
      <c r="E125" s="1546" t="s">
        <v>728</v>
      </c>
      <c r="F125" s="1703" t="s">
        <v>908</v>
      </c>
      <c r="G125" s="937"/>
      <c r="H125" s="1705">
        <v>45707</v>
      </c>
      <c r="I125" s="1705">
        <v>46142</v>
      </c>
      <c r="J125" s="29"/>
      <c r="K125" s="419">
        <v>0</v>
      </c>
      <c r="L125" s="673">
        <f>8/20</f>
        <v>0.4</v>
      </c>
      <c r="M125" s="419">
        <v>0</v>
      </c>
      <c r="N125" s="495">
        <v>1</v>
      </c>
      <c r="O125" s="1009">
        <v>0</v>
      </c>
      <c r="P125" s="419">
        <f>$O$1*$P$1</f>
        <v>1</v>
      </c>
      <c r="Q125" s="1125">
        <v>0</v>
      </c>
      <c r="R125" s="1374">
        <v>1</v>
      </c>
      <c r="S125" s="1610">
        <v>1</v>
      </c>
      <c r="T125" s="556">
        <f t="shared" ref="T125:T129" si="136">$T$1*S125</f>
        <v>0.6</v>
      </c>
      <c r="U125" s="1610">
        <v>1</v>
      </c>
      <c r="V125" s="1610"/>
      <c r="W125" s="1610">
        <v>1</v>
      </c>
      <c r="X125" s="1610"/>
      <c r="Y125" s="1610">
        <v>1</v>
      </c>
      <c r="Z125" s="1610"/>
      <c r="AA125" s="1610">
        <v>1</v>
      </c>
      <c r="AB125" s="1610"/>
      <c r="AC125" s="1610">
        <v>1</v>
      </c>
      <c r="AD125" s="1610"/>
      <c r="AE125" s="1610">
        <v>1</v>
      </c>
      <c r="AF125" s="1610"/>
      <c r="AG125" s="1610">
        <v>1</v>
      </c>
      <c r="AH125" s="1610"/>
      <c r="AI125" s="1610">
        <v>1</v>
      </c>
      <c r="AJ125" s="1610"/>
      <c r="AK125" s="1610">
        <v>1</v>
      </c>
      <c r="AL125" s="1610"/>
      <c r="AM125" s="1610">
        <v>1</v>
      </c>
      <c r="AN125" s="25"/>
      <c r="AO125" s="721">
        <f>+K125+M125+O125+Q125+S125+U125+W125+Y125+AA125+AC125+AE125+AG125+AI125+AK125+AM125</f>
        <v>11</v>
      </c>
      <c r="AP125" s="722">
        <f t="shared" si="133"/>
        <v>4</v>
      </c>
      <c r="AQ125" s="1035">
        <f t="shared" si="134"/>
        <v>7</v>
      </c>
      <c r="AR125" s="1039" t="s">
        <v>884</v>
      </c>
      <c r="AS125" s="1521">
        <v>13</v>
      </c>
      <c r="AT125" s="1528">
        <f t="shared" si="124"/>
        <v>-2</v>
      </c>
      <c r="AU125" s="349"/>
      <c r="AV125" s="1518"/>
    </row>
    <row r="126" spans="1:49" s="140" customFormat="1" ht="17" hidden="1" customHeight="1">
      <c r="B126" s="1800"/>
      <c r="C126" s="1728" t="s">
        <v>909</v>
      </c>
      <c r="D126" s="1466" t="s">
        <v>896</v>
      </c>
      <c r="E126" s="1546" t="s">
        <v>903</v>
      </c>
      <c r="F126" s="1468" t="s">
        <v>794</v>
      </c>
      <c r="G126" s="901"/>
      <c r="H126" s="815">
        <v>45677</v>
      </c>
      <c r="I126" s="815">
        <v>46142</v>
      </c>
      <c r="J126" s="360"/>
      <c r="K126" s="40">
        <v>1</v>
      </c>
      <c r="L126" s="744">
        <v>1</v>
      </c>
      <c r="M126" s="40">
        <v>1</v>
      </c>
      <c r="N126" s="376">
        <f t="shared" ref="N126" si="137">M126*N$1</f>
        <v>1</v>
      </c>
      <c r="O126" s="39">
        <v>1</v>
      </c>
      <c r="P126" s="40">
        <f t="shared" ref="P126" si="138">$P$1*O126</f>
        <v>1</v>
      </c>
      <c r="Q126" s="40">
        <v>1</v>
      </c>
      <c r="R126" s="376">
        <f t="shared" ref="R126" si="139">$Q$1*Q126</f>
        <v>1</v>
      </c>
      <c r="S126" s="1610">
        <v>1</v>
      </c>
      <c r="T126" s="556">
        <f t="shared" si="136"/>
        <v>0.6</v>
      </c>
      <c r="U126" s="1610">
        <v>1</v>
      </c>
      <c r="V126" s="1610"/>
      <c r="W126" s="1610">
        <v>1</v>
      </c>
      <c r="X126" s="1610"/>
      <c r="Y126" s="1610">
        <v>1</v>
      </c>
      <c r="Z126" s="1610"/>
      <c r="AA126" s="1610">
        <v>1</v>
      </c>
      <c r="AB126" s="1610"/>
      <c r="AC126" s="1610">
        <v>1</v>
      </c>
      <c r="AD126" s="1610"/>
      <c r="AE126" s="1610">
        <v>1</v>
      </c>
      <c r="AF126" s="1610"/>
      <c r="AG126" s="1610">
        <v>1</v>
      </c>
      <c r="AH126" s="1610"/>
      <c r="AI126" s="1610">
        <v>1</v>
      </c>
      <c r="AJ126" s="1610"/>
      <c r="AK126" s="1610">
        <v>1</v>
      </c>
      <c r="AL126" s="1610"/>
      <c r="AM126" s="1610">
        <v>1</v>
      </c>
      <c r="AN126" s="1365"/>
      <c r="AO126" s="721">
        <f t="shared" ref="AO126" si="140">+K126+M126+O126+Q126+S126+U126+W126+Y126+AA126+AC126+AE126+AG126+AI126+AK126+AM126</f>
        <v>15</v>
      </c>
      <c r="AP126" s="722">
        <f t="shared" ref="AP126" si="141">+L126+N126+P126+R126+T126+V126+X126+Z126+AB126+AD126+AF126+AH126+AJ126+AL126+AN126</f>
        <v>4.5999999999999996</v>
      </c>
      <c r="AQ126" s="1035">
        <f t="shared" ref="AQ126" si="142">AO126-AP126</f>
        <v>10.4</v>
      </c>
      <c r="AR126" s="1039"/>
      <c r="AS126" s="1521">
        <v>15</v>
      </c>
      <c r="AT126" s="1528">
        <f t="shared" si="124"/>
        <v>0</v>
      </c>
      <c r="AU126" s="349"/>
      <c r="AV126" s="1518"/>
    </row>
    <row r="127" spans="1:49" s="140" customFormat="1" ht="17" hidden="1" customHeight="1">
      <c r="B127" s="1800"/>
      <c r="C127" s="1728" t="s">
        <v>910</v>
      </c>
      <c r="D127" s="1467" t="s">
        <v>898</v>
      </c>
      <c r="E127" s="1546" t="s">
        <v>903</v>
      </c>
      <c r="F127" s="1468" t="s">
        <v>911</v>
      </c>
      <c r="G127" s="901"/>
      <c r="H127" s="810">
        <v>45691</v>
      </c>
      <c r="I127" s="810">
        <v>46142</v>
      </c>
      <c r="J127" s="29"/>
      <c r="K127" s="28">
        <v>1</v>
      </c>
      <c r="L127" s="28">
        <v>1</v>
      </c>
      <c r="M127" s="28">
        <v>1</v>
      </c>
      <c r="N127" s="374">
        <f t="shared" ref="N127:N132" si="143">M127*N$1</f>
        <v>1</v>
      </c>
      <c r="O127" s="27">
        <v>1</v>
      </c>
      <c r="P127" s="28">
        <f t="shared" ref="P127:P133" si="144">$P$1*O127</f>
        <v>1</v>
      </c>
      <c r="Q127" s="28">
        <v>1</v>
      </c>
      <c r="R127" s="374">
        <f t="shared" ref="R127:R129" si="145">$Q$1*Q127</f>
        <v>1</v>
      </c>
      <c r="S127" s="1610">
        <v>1</v>
      </c>
      <c r="T127" s="556">
        <f t="shared" si="136"/>
        <v>0.6</v>
      </c>
      <c r="U127" s="1610">
        <v>1</v>
      </c>
      <c r="V127" s="1610"/>
      <c r="W127" s="1610">
        <v>1</v>
      </c>
      <c r="X127" s="1610"/>
      <c r="Y127" s="1610">
        <v>1</v>
      </c>
      <c r="Z127" s="1610"/>
      <c r="AA127" s="1610">
        <v>1</v>
      </c>
      <c r="AB127" s="1610"/>
      <c r="AC127" s="1610">
        <v>1</v>
      </c>
      <c r="AD127" s="1610"/>
      <c r="AE127" s="1610">
        <v>1</v>
      </c>
      <c r="AF127" s="1610"/>
      <c r="AG127" s="1610">
        <v>1</v>
      </c>
      <c r="AH127" s="1610"/>
      <c r="AI127" s="1610">
        <v>1</v>
      </c>
      <c r="AJ127" s="1610"/>
      <c r="AK127" s="1610">
        <v>1</v>
      </c>
      <c r="AL127" s="1610"/>
      <c r="AM127" s="1610">
        <v>1</v>
      </c>
      <c r="AN127" s="25"/>
      <c r="AO127" s="721">
        <f t="shared" si="132"/>
        <v>15</v>
      </c>
      <c r="AP127" s="722">
        <f t="shared" si="133"/>
        <v>4.5999999999999996</v>
      </c>
      <c r="AQ127" s="1035">
        <f t="shared" si="134"/>
        <v>10.4</v>
      </c>
      <c r="AR127" s="1039"/>
      <c r="AS127" s="1521">
        <v>15</v>
      </c>
      <c r="AT127" s="1528">
        <f t="shared" si="124"/>
        <v>0</v>
      </c>
      <c r="AU127" s="349"/>
      <c r="AV127" s="1518"/>
    </row>
    <row r="128" spans="1:49" s="140" customFormat="1" ht="17" hidden="1" customHeight="1">
      <c r="B128" s="1800"/>
      <c r="C128" s="1728" t="s">
        <v>912</v>
      </c>
      <c r="D128" s="1466" t="s">
        <v>901</v>
      </c>
      <c r="E128" s="1546" t="s">
        <v>903</v>
      </c>
      <c r="F128" s="1468" t="s">
        <v>913</v>
      </c>
      <c r="G128" s="901"/>
      <c r="H128" s="809">
        <v>45677</v>
      </c>
      <c r="I128" s="809">
        <v>46142</v>
      </c>
      <c r="J128" s="29"/>
      <c r="K128" s="28">
        <v>1</v>
      </c>
      <c r="L128" s="53">
        <f t="shared" ref="L128:L132" si="146">K128*$L$1</f>
        <v>1</v>
      </c>
      <c r="M128" s="28">
        <v>1</v>
      </c>
      <c r="N128" s="374">
        <f t="shared" si="143"/>
        <v>1</v>
      </c>
      <c r="O128" s="27">
        <v>1</v>
      </c>
      <c r="P128" s="28">
        <f t="shared" si="144"/>
        <v>1</v>
      </c>
      <c r="Q128" s="28">
        <v>1</v>
      </c>
      <c r="R128" s="374">
        <f t="shared" si="145"/>
        <v>1</v>
      </c>
      <c r="S128" s="1610">
        <v>1</v>
      </c>
      <c r="T128" s="556">
        <f t="shared" si="136"/>
        <v>0.6</v>
      </c>
      <c r="U128" s="1610">
        <v>1</v>
      </c>
      <c r="V128" s="1610"/>
      <c r="W128" s="1610">
        <v>1</v>
      </c>
      <c r="X128" s="1610"/>
      <c r="Y128" s="1610">
        <v>1</v>
      </c>
      <c r="Z128" s="1610"/>
      <c r="AA128" s="1610">
        <v>1</v>
      </c>
      <c r="AB128" s="1610"/>
      <c r="AC128" s="1610">
        <v>1</v>
      </c>
      <c r="AD128" s="1610"/>
      <c r="AE128" s="1610">
        <v>1</v>
      </c>
      <c r="AF128" s="1610"/>
      <c r="AG128" s="1610">
        <v>1</v>
      </c>
      <c r="AH128" s="1610"/>
      <c r="AI128" s="1610">
        <v>1</v>
      </c>
      <c r="AJ128" s="1610"/>
      <c r="AK128" s="1610">
        <v>1</v>
      </c>
      <c r="AL128" s="1610"/>
      <c r="AM128" s="1610">
        <v>1</v>
      </c>
      <c r="AN128" s="25"/>
      <c r="AO128" s="721">
        <f t="shared" si="132"/>
        <v>15</v>
      </c>
      <c r="AP128" s="722">
        <f t="shared" si="133"/>
        <v>4.5999999999999996</v>
      </c>
      <c r="AQ128" s="1035">
        <f t="shared" si="134"/>
        <v>10.4</v>
      </c>
      <c r="AR128" s="1039"/>
      <c r="AS128" s="1521">
        <v>15</v>
      </c>
      <c r="AT128" s="1528">
        <f t="shared" si="124"/>
        <v>0</v>
      </c>
      <c r="AU128" s="349"/>
      <c r="AV128" s="1518"/>
    </row>
    <row r="129" spans="1:48" s="140" customFormat="1" ht="17" hidden="1" customHeight="1">
      <c r="B129" s="1800"/>
      <c r="C129" s="1728" t="s">
        <v>914</v>
      </c>
      <c r="D129" s="1466" t="s">
        <v>898</v>
      </c>
      <c r="E129" s="1546" t="s">
        <v>903</v>
      </c>
      <c r="F129" s="1468" t="s">
        <v>915</v>
      </c>
      <c r="G129" s="1018"/>
      <c r="H129" s="809">
        <v>45677</v>
      </c>
      <c r="I129" s="809">
        <v>46142</v>
      </c>
      <c r="J129" s="29"/>
      <c r="K129" s="28">
        <v>1</v>
      </c>
      <c r="L129" s="53">
        <f t="shared" si="146"/>
        <v>1</v>
      </c>
      <c r="M129" s="28">
        <v>1</v>
      </c>
      <c r="N129" s="374">
        <f t="shared" si="143"/>
        <v>1</v>
      </c>
      <c r="O129" s="27">
        <v>1</v>
      </c>
      <c r="P129" s="28">
        <f t="shared" si="144"/>
        <v>1</v>
      </c>
      <c r="Q129" s="28">
        <v>1</v>
      </c>
      <c r="R129" s="374">
        <f t="shared" si="145"/>
        <v>1</v>
      </c>
      <c r="S129" s="1615">
        <v>1</v>
      </c>
      <c r="T129" s="556">
        <f t="shared" si="136"/>
        <v>0.6</v>
      </c>
      <c r="U129" s="1615">
        <v>1</v>
      </c>
      <c r="V129" s="1615"/>
      <c r="W129" s="1615">
        <v>1</v>
      </c>
      <c r="X129" s="1615"/>
      <c r="Y129" s="1615">
        <v>1</v>
      </c>
      <c r="Z129" s="1615"/>
      <c r="AA129" s="1615">
        <v>1</v>
      </c>
      <c r="AB129" s="1615"/>
      <c r="AC129" s="1615">
        <v>1</v>
      </c>
      <c r="AD129" s="1615"/>
      <c r="AE129" s="1610">
        <v>1</v>
      </c>
      <c r="AF129" s="1610"/>
      <c r="AG129" s="1615">
        <v>1</v>
      </c>
      <c r="AH129" s="1615"/>
      <c r="AI129" s="1615">
        <v>1</v>
      </c>
      <c r="AJ129" s="1615"/>
      <c r="AK129" s="1615">
        <v>1</v>
      </c>
      <c r="AL129" s="1615"/>
      <c r="AM129" s="1615">
        <v>1</v>
      </c>
      <c r="AN129" s="25"/>
      <c r="AO129" s="721">
        <f t="shared" si="132"/>
        <v>15</v>
      </c>
      <c r="AP129" s="722">
        <f t="shared" si="133"/>
        <v>4.5999999999999996</v>
      </c>
      <c r="AQ129" s="1035">
        <f t="shared" si="134"/>
        <v>10.4</v>
      </c>
      <c r="AR129" s="1039"/>
      <c r="AS129" s="1521">
        <v>15</v>
      </c>
      <c r="AT129" s="1528">
        <f t="shared" si="124"/>
        <v>0</v>
      </c>
      <c r="AU129" s="349"/>
      <c r="AV129" s="1518"/>
    </row>
    <row r="130" spans="1:48" s="140" customFormat="1" ht="17" hidden="1" customHeight="1">
      <c r="B130" s="1800"/>
      <c r="C130" s="1731" t="s">
        <v>916</v>
      </c>
      <c r="D130" s="1467" t="s">
        <v>899</v>
      </c>
      <c r="E130" s="1546" t="s">
        <v>903</v>
      </c>
      <c r="F130" s="1468" t="s">
        <v>917</v>
      </c>
      <c r="G130" s="937"/>
      <c r="H130" s="810">
        <v>45677</v>
      </c>
      <c r="I130" s="810">
        <v>46142</v>
      </c>
      <c r="J130" s="29"/>
      <c r="K130" s="28">
        <v>1</v>
      </c>
      <c r="L130" s="28">
        <f t="shared" si="146"/>
        <v>1</v>
      </c>
      <c r="M130" s="28">
        <v>1</v>
      </c>
      <c r="N130" s="374">
        <f t="shared" si="143"/>
        <v>1</v>
      </c>
      <c r="O130" s="27">
        <v>1</v>
      </c>
      <c r="P130" s="28">
        <f t="shared" si="144"/>
        <v>1</v>
      </c>
      <c r="Q130" s="28">
        <v>1</v>
      </c>
      <c r="R130" s="374">
        <f>$Q$1*Q130</f>
        <v>1</v>
      </c>
      <c r="S130" s="1615"/>
      <c r="T130" s="1615"/>
      <c r="U130" s="1615"/>
      <c r="V130" s="1615"/>
      <c r="W130" s="1615"/>
      <c r="X130" s="1615"/>
      <c r="Y130" s="1615"/>
      <c r="Z130" s="1615"/>
      <c r="AA130" s="1615"/>
      <c r="AB130" s="1615"/>
      <c r="AC130" s="1615"/>
      <c r="AD130" s="1615"/>
      <c r="AE130" s="1610"/>
      <c r="AF130" s="1610"/>
      <c r="AG130" s="1615"/>
      <c r="AH130" s="1615"/>
      <c r="AI130" s="1615"/>
      <c r="AJ130" s="1615"/>
      <c r="AK130" s="1615"/>
      <c r="AL130" s="1615"/>
      <c r="AM130" s="1615"/>
      <c r="AN130" s="25"/>
      <c r="AO130" s="721">
        <f t="shared" si="132"/>
        <v>4</v>
      </c>
      <c r="AP130" s="722">
        <f t="shared" si="133"/>
        <v>4</v>
      </c>
      <c r="AQ130" s="1035">
        <f t="shared" si="134"/>
        <v>0</v>
      </c>
      <c r="AR130" s="1039" t="s">
        <v>885</v>
      </c>
      <c r="AS130" s="1521">
        <v>4</v>
      </c>
      <c r="AT130" s="1528">
        <f t="shared" si="124"/>
        <v>0</v>
      </c>
      <c r="AU130" s="349"/>
      <c r="AV130" s="1518"/>
    </row>
    <row r="131" spans="1:48" s="140" customFormat="1" ht="17" hidden="1" customHeight="1">
      <c r="B131" s="1800"/>
      <c r="C131" s="1537" t="s">
        <v>805</v>
      </c>
      <c r="D131" s="1466" t="s">
        <v>919</v>
      </c>
      <c r="E131" s="1546" t="s">
        <v>920</v>
      </c>
      <c r="F131" s="1468" t="s">
        <v>921</v>
      </c>
      <c r="G131" s="937"/>
      <c r="H131" s="1000">
        <v>45691</v>
      </c>
      <c r="I131" s="809">
        <v>46112</v>
      </c>
      <c r="J131" s="391"/>
      <c r="K131" s="28">
        <v>1</v>
      </c>
      <c r="L131" s="53">
        <f t="shared" si="146"/>
        <v>1</v>
      </c>
      <c r="M131" s="28">
        <v>1</v>
      </c>
      <c r="N131" s="53">
        <f t="shared" si="143"/>
        <v>1</v>
      </c>
      <c r="O131" s="28">
        <v>1</v>
      </c>
      <c r="P131" s="374">
        <f t="shared" si="144"/>
        <v>1</v>
      </c>
      <c r="Q131" s="374">
        <v>1</v>
      </c>
      <c r="R131" s="506">
        <f t="shared" ref="R131" si="147">$Q$1*Q131</f>
        <v>1</v>
      </c>
      <c r="S131" s="1610"/>
      <c r="T131" s="1610"/>
      <c r="U131" s="1610"/>
      <c r="V131" s="1610"/>
      <c r="W131" s="1610"/>
      <c r="X131" s="1610"/>
      <c r="Y131" s="1610"/>
      <c r="Z131" s="1610"/>
      <c r="AA131" s="1610"/>
      <c r="AB131" s="1610"/>
      <c r="AC131" s="1610"/>
      <c r="AD131" s="1610"/>
      <c r="AE131" s="1610"/>
      <c r="AF131" s="1610"/>
      <c r="AG131" s="1610"/>
      <c r="AH131" s="1610"/>
      <c r="AI131" s="1610"/>
      <c r="AJ131" s="1610"/>
      <c r="AK131" s="1610"/>
      <c r="AL131" s="1610"/>
      <c r="AM131" s="1610"/>
      <c r="AN131" s="25"/>
      <c r="AO131" s="721">
        <f t="shared" si="132"/>
        <v>4</v>
      </c>
      <c r="AP131" s="722">
        <f t="shared" si="133"/>
        <v>4</v>
      </c>
      <c r="AQ131" s="1035">
        <f t="shared" si="134"/>
        <v>0</v>
      </c>
      <c r="AR131" s="1039"/>
      <c r="AS131" s="1521">
        <v>4</v>
      </c>
      <c r="AT131" s="1528">
        <f t="shared" si="124"/>
        <v>0</v>
      </c>
      <c r="AU131" s="349"/>
      <c r="AV131" s="1518"/>
    </row>
    <row r="132" spans="1:48" s="140" customFormat="1" ht="17" hidden="1" customHeight="1">
      <c r="B132" s="1800"/>
      <c r="C132" s="1537" t="s">
        <v>916</v>
      </c>
      <c r="D132" s="1466" t="s">
        <v>919</v>
      </c>
      <c r="E132" s="1546" t="s">
        <v>920</v>
      </c>
      <c r="F132" s="1468" t="s">
        <v>777</v>
      </c>
      <c r="G132" s="937"/>
      <c r="H132" s="810">
        <v>45691</v>
      </c>
      <c r="I132" s="810">
        <v>46142</v>
      </c>
      <c r="J132" s="29"/>
      <c r="K132" s="28">
        <v>1</v>
      </c>
      <c r="L132" s="28">
        <f t="shared" si="146"/>
        <v>1</v>
      </c>
      <c r="M132" s="28">
        <v>1</v>
      </c>
      <c r="N132" s="374">
        <f t="shared" si="143"/>
        <v>1</v>
      </c>
      <c r="O132" s="27">
        <v>1</v>
      </c>
      <c r="P132" s="28">
        <f t="shared" si="144"/>
        <v>1</v>
      </c>
      <c r="Q132" s="28">
        <v>1</v>
      </c>
      <c r="R132" s="374">
        <f>$Q$1*Q132</f>
        <v>1</v>
      </c>
      <c r="S132" s="1610"/>
      <c r="T132" s="1610"/>
      <c r="U132" s="1610"/>
      <c r="V132" s="1610"/>
      <c r="W132" s="1610"/>
      <c r="X132" s="1610"/>
      <c r="Y132" s="1610"/>
      <c r="Z132" s="1610"/>
      <c r="AA132" s="1610"/>
      <c r="AB132" s="1610"/>
      <c r="AC132" s="1610"/>
      <c r="AD132" s="1610"/>
      <c r="AE132" s="1610"/>
      <c r="AF132" s="1610"/>
      <c r="AG132" s="1610"/>
      <c r="AH132" s="1610"/>
      <c r="AI132" s="1610"/>
      <c r="AJ132" s="1610"/>
      <c r="AK132" s="1610"/>
      <c r="AL132" s="1610"/>
      <c r="AM132" s="1610"/>
      <c r="AN132" s="25"/>
      <c r="AO132" s="721">
        <f t="shared" si="132"/>
        <v>4</v>
      </c>
      <c r="AP132" s="722">
        <f t="shared" si="133"/>
        <v>4</v>
      </c>
      <c r="AQ132" s="1035">
        <f t="shared" si="134"/>
        <v>0</v>
      </c>
      <c r="AR132" s="1039"/>
      <c r="AS132" s="1521">
        <v>4</v>
      </c>
      <c r="AT132" s="1528">
        <f t="shared" si="124"/>
        <v>0</v>
      </c>
      <c r="AU132" s="349"/>
      <c r="AV132" s="1518"/>
    </row>
    <row r="133" spans="1:48" s="140" customFormat="1" ht="17" hidden="1" customHeight="1">
      <c r="B133" s="1800"/>
      <c r="C133" s="1537" t="s">
        <v>811</v>
      </c>
      <c r="D133" s="1466" t="s">
        <v>765</v>
      </c>
      <c r="E133" s="1546" t="s">
        <v>903</v>
      </c>
      <c r="F133" s="1468" t="s">
        <v>922</v>
      </c>
      <c r="G133" s="937"/>
      <c r="H133" s="810">
        <v>45733</v>
      </c>
      <c r="I133" s="810">
        <v>46112</v>
      </c>
      <c r="J133" s="29"/>
      <c r="K133" s="28"/>
      <c r="L133" s="28"/>
      <c r="M133" s="419">
        <v>0.5</v>
      </c>
      <c r="N133" s="1028">
        <v>0.5</v>
      </c>
      <c r="O133" s="15">
        <v>1</v>
      </c>
      <c r="P133" s="28">
        <f t="shared" si="144"/>
        <v>1</v>
      </c>
      <c r="Q133" s="1130">
        <v>1</v>
      </c>
      <c r="R133" s="374">
        <f t="shared" ref="R133" si="148">$Q$1*Q133</f>
        <v>1</v>
      </c>
      <c r="S133" s="1611">
        <v>1</v>
      </c>
      <c r="T133" s="556">
        <f t="shared" ref="T133:T134" si="149">$T$1*S133</f>
        <v>0.6</v>
      </c>
      <c r="U133" s="1611">
        <v>1</v>
      </c>
      <c r="V133" s="1611"/>
      <c r="W133" s="1611">
        <v>1</v>
      </c>
      <c r="X133" s="1611"/>
      <c r="Y133" s="1611">
        <v>1</v>
      </c>
      <c r="Z133" s="1611"/>
      <c r="AA133" s="1611">
        <v>1</v>
      </c>
      <c r="AB133" s="1611"/>
      <c r="AC133" s="1611">
        <v>1</v>
      </c>
      <c r="AD133" s="1611"/>
      <c r="AE133" s="1611">
        <v>1</v>
      </c>
      <c r="AF133" s="1611"/>
      <c r="AG133" s="1611">
        <v>1</v>
      </c>
      <c r="AH133" s="1611"/>
      <c r="AI133" s="1611">
        <v>1</v>
      </c>
      <c r="AJ133" s="1611"/>
      <c r="AK133" s="1611">
        <v>1</v>
      </c>
      <c r="AL133" s="1611"/>
      <c r="AM133" s="1611"/>
      <c r="AN133" s="25"/>
      <c r="AO133" s="721">
        <f t="shared" si="132"/>
        <v>12.5</v>
      </c>
      <c r="AP133" s="722">
        <f t="shared" si="133"/>
        <v>3.1</v>
      </c>
      <c r="AQ133" s="1035">
        <f t="shared" si="134"/>
        <v>9.4</v>
      </c>
      <c r="AR133" s="1039"/>
      <c r="AS133" s="1521">
        <v>13.5</v>
      </c>
      <c r="AT133" s="1528">
        <f t="shared" si="124"/>
        <v>-1</v>
      </c>
      <c r="AU133" s="349"/>
      <c r="AV133" s="1518"/>
    </row>
    <row r="134" spans="1:48" s="140" customFormat="1" ht="17" hidden="1" customHeight="1">
      <c r="B134" s="1800"/>
      <c r="C134" s="1537" t="s">
        <v>811</v>
      </c>
      <c r="D134" s="1466" t="s">
        <v>765</v>
      </c>
      <c r="E134" s="1467" t="s">
        <v>728</v>
      </c>
      <c r="F134" s="1467" t="s">
        <v>923</v>
      </c>
      <c r="G134" s="937"/>
      <c r="H134" s="810">
        <v>45750</v>
      </c>
      <c r="I134" s="810">
        <v>46142</v>
      </c>
      <c r="J134" s="29"/>
      <c r="K134" s="28"/>
      <c r="L134" s="28"/>
      <c r="M134" s="28"/>
      <c r="N134" s="374"/>
      <c r="O134" s="27">
        <v>0</v>
      </c>
      <c r="P134" s="28">
        <v>1</v>
      </c>
      <c r="Q134" s="28">
        <v>1</v>
      </c>
      <c r="R134" s="374">
        <f>$Q$1*Q134</f>
        <v>1</v>
      </c>
      <c r="S134" s="1611">
        <v>1</v>
      </c>
      <c r="T134" s="556">
        <f t="shared" si="149"/>
        <v>0.6</v>
      </c>
      <c r="U134" s="1611">
        <v>1</v>
      </c>
      <c r="V134" s="1611"/>
      <c r="W134" s="1611">
        <v>1</v>
      </c>
      <c r="X134" s="1611"/>
      <c r="Y134" s="1611">
        <v>1</v>
      </c>
      <c r="Z134" s="1611"/>
      <c r="AA134" s="1611">
        <v>1</v>
      </c>
      <c r="AB134" s="1611"/>
      <c r="AC134" s="1611">
        <v>1</v>
      </c>
      <c r="AD134" s="1611"/>
      <c r="AE134" s="1611">
        <v>1</v>
      </c>
      <c r="AF134" s="1611"/>
      <c r="AG134" s="1611">
        <v>1</v>
      </c>
      <c r="AH134" s="1611"/>
      <c r="AI134" s="1611">
        <v>1</v>
      </c>
      <c r="AJ134" s="1611"/>
      <c r="AK134" s="1611">
        <v>1</v>
      </c>
      <c r="AL134" s="1611"/>
      <c r="AM134" s="1611">
        <v>1</v>
      </c>
      <c r="AN134" s="25"/>
      <c r="AO134" s="721">
        <f t="shared" si="132"/>
        <v>12</v>
      </c>
      <c r="AP134" s="722">
        <f t="shared" si="133"/>
        <v>2.6</v>
      </c>
      <c r="AQ134" s="1035">
        <f t="shared" si="134"/>
        <v>9.4</v>
      </c>
      <c r="AR134" s="1039"/>
      <c r="AS134" s="1521">
        <v>11</v>
      </c>
      <c r="AT134" s="1528">
        <f t="shared" si="124"/>
        <v>1</v>
      </c>
      <c r="AU134" s="349"/>
      <c r="AV134" s="1518"/>
    </row>
    <row r="135" spans="1:48" s="140" customFormat="1" ht="17" hidden="1" customHeight="1">
      <c r="B135" s="1800"/>
      <c r="C135" s="1537" t="s">
        <v>924</v>
      </c>
      <c r="D135" s="1466" t="s">
        <v>899</v>
      </c>
      <c r="E135" s="1467" t="s">
        <v>903</v>
      </c>
      <c r="F135" s="1468" t="s">
        <v>925</v>
      </c>
      <c r="G135" s="937"/>
      <c r="H135" s="1541">
        <v>45853</v>
      </c>
      <c r="I135" s="810">
        <v>46112</v>
      </c>
      <c r="J135" s="29"/>
      <c r="K135" s="1616"/>
      <c r="L135" s="1616"/>
      <c r="M135" s="1616"/>
      <c r="N135" s="1616"/>
      <c r="O135" s="1611"/>
      <c r="P135" s="1611"/>
      <c r="Q135" s="1611"/>
      <c r="R135" s="1611"/>
      <c r="S135" s="1611"/>
      <c r="T135" s="1611"/>
      <c r="U135" s="1611">
        <v>0.5</v>
      </c>
      <c r="V135" s="1611"/>
      <c r="W135" s="1611">
        <v>1</v>
      </c>
      <c r="X135" s="1611"/>
      <c r="Y135" s="1611">
        <v>1</v>
      </c>
      <c r="Z135" s="1611"/>
      <c r="AA135" s="1611">
        <v>1</v>
      </c>
      <c r="AB135" s="1611"/>
      <c r="AC135" s="1611">
        <v>1</v>
      </c>
      <c r="AD135" s="1611"/>
      <c r="AE135" s="1611">
        <v>1</v>
      </c>
      <c r="AF135" s="1611"/>
      <c r="AG135" s="1611">
        <v>1</v>
      </c>
      <c r="AH135" s="1611"/>
      <c r="AI135" s="1611">
        <v>1</v>
      </c>
      <c r="AJ135" s="1611"/>
      <c r="AK135" s="1611">
        <v>1</v>
      </c>
      <c r="AL135" s="1611"/>
      <c r="AM135" s="1611"/>
      <c r="AN135" s="25"/>
      <c r="AO135" s="721">
        <f t="shared" si="132"/>
        <v>8.5</v>
      </c>
      <c r="AP135" s="722">
        <f t="shared" si="133"/>
        <v>0</v>
      </c>
      <c r="AQ135" s="1035">
        <f t="shared" si="134"/>
        <v>8.5</v>
      </c>
      <c r="AR135" s="1039"/>
      <c r="AS135" s="1521">
        <v>8.5</v>
      </c>
      <c r="AT135" s="1528">
        <f t="shared" si="124"/>
        <v>0</v>
      </c>
      <c r="AU135" s="349"/>
      <c r="AV135" s="1518"/>
    </row>
    <row r="136" spans="1:48" s="140" customFormat="1" ht="17" hidden="1" customHeight="1">
      <c r="B136" s="1800"/>
      <c r="C136" s="1728" t="s">
        <v>926</v>
      </c>
      <c r="D136" s="1732" t="s">
        <v>22</v>
      </c>
      <c r="E136" s="1732" t="s">
        <v>101</v>
      </c>
      <c r="F136" s="1703" t="s">
        <v>74</v>
      </c>
      <c r="G136" s="937"/>
      <c r="H136" s="1541">
        <v>45853</v>
      </c>
      <c r="I136" s="1541">
        <v>46112</v>
      </c>
      <c r="J136" s="29"/>
      <c r="K136" s="1616"/>
      <c r="L136" s="1616"/>
      <c r="M136" s="1616"/>
      <c r="N136" s="1616"/>
      <c r="O136" s="1616"/>
      <c r="P136" s="1616"/>
      <c r="Q136" s="1616"/>
      <c r="R136" s="1616"/>
      <c r="S136" s="1616"/>
      <c r="T136" s="1616"/>
      <c r="U136" s="1616">
        <v>0.5</v>
      </c>
      <c r="V136" s="1616"/>
      <c r="W136" s="1616">
        <v>1</v>
      </c>
      <c r="X136" s="1616"/>
      <c r="Y136" s="1616">
        <v>1</v>
      </c>
      <c r="Z136" s="1616"/>
      <c r="AA136" s="1616">
        <v>1</v>
      </c>
      <c r="AB136" s="1616"/>
      <c r="AC136" s="1616">
        <v>1</v>
      </c>
      <c r="AD136" s="1616"/>
      <c r="AE136" s="1616">
        <v>1</v>
      </c>
      <c r="AF136" s="1616"/>
      <c r="AG136" s="1616">
        <v>1</v>
      </c>
      <c r="AH136" s="1616"/>
      <c r="AI136" s="1616">
        <v>1</v>
      </c>
      <c r="AJ136" s="1616"/>
      <c r="AK136" s="1616">
        <v>1</v>
      </c>
      <c r="AL136" s="1616"/>
      <c r="AM136" s="1616">
        <v>0.5</v>
      </c>
      <c r="AN136" s="25"/>
      <c r="AO136" s="1585">
        <f t="shared" si="132"/>
        <v>9</v>
      </c>
      <c r="AP136" s="722">
        <f t="shared" si="133"/>
        <v>0</v>
      </c>
      <c r="AQ136" s="1035">
        <f t="shared" si="134"/>
        <v>9</v>
      </c>
      <c r="AR136" s="1039"/>
      <c r="AS136" s="1521">
        <v>9</v>
      </c>
      <c r="AT136" s="1528">
        <f t="shared" si="124"/>
        <v>0</v>
      </c>
      <c r="AU136" s="349"/>
      <c r="AV136" s="1518"/>
    </row>
    <row r="137" spans="1:48" s="140" customFormat="1" ht="17" hidden="1" customHeight="1">
      <c r="B137" s="1800"/>
      <c r="C137" s="1731" t="s">
        <v>927</v>
      </c>
      <c r="D137" s="1733" t="s">
        <v>928</v>
      </c>
      <c r="E137" s="1733" t="s">
        <v>903</v>
      </c>
      <c r="F137" s="1468" t="s">
        <v>929</v>
      </c>
      <c r="G137" s="937"/>
      <c r="H137" s="809">
        <v>45677</v>
      </c>
      <c r="I137" s="1541">
        <v>46142</v>
      </c>
      <c r="J137" s="29"/>
      <c r="K137" s="1611">
        <v>1</v>
      </c>
      <c r="L137" s="1611">
        <v>1</v>
      </c>
      <c r="M137" s="1611">
        <v>1</v>
      </c>
      <c r="N137" s="1611">
        <v>1</v>
      </c>
      <c r="O137" s="1611">
        <v>1</v>
      </c>
      <c r="P137" s="1611">
        <v>1</v>
      </c>
      <c r="Q137" s="1611">
        <v>1</v>
      </c>
      <c r="R137" s="1611">
        <v>1</v>
      </c>
      <c r="S137" s="1611">
        <v>1</v>
      </c>
      <c r="T137" s="556">
        <f t="shared" ref="T137:T138" si="150">$T$1*S137</f>
        <v>0.6</v>
      </c>
      <c r="U137" s="1611">
        <v>1</v>
      </c>
      <c r="V137" s="1611"/>
      <c r="W137" s="1611">
        <v>1</v>
      </c>
      <c r="X137" s="1611"/>
      <c r="Y137" s="1611">
        <v>1</v>
      </c>
      <c r="Z137" s="1611"/>
      <c r="AA137" s="1611">
        <v>1</v>
      </c>
      <c r="AB137" s="1611"/>
      <c r="AC137" s="1611">
        <v>1</v>
      </c>
      <c r="AD137" s="1611"/>
      <c r="AE137" s="1611">
        <v>1</v>
      </c>
      <c r="AF137" s="1611"/>
      <c r="AG137" s="1611">
        <v>1</v>
      </c>
      <c r="AH137" s="1611"/>
      <c r="AI137" s="1611">
        <v>1</v>
      </c>
      <c r="AJ137" s="1611"/>
      <c r="AK137" s="1611">
        <v>1</v>
      </c>
      <c r="AL137" s="1611"/>
      <c r="AM137" s="1611">
        <v>1</v>
      </c>
      <c r="AN137" s="25"/>
      <c r="AO137" s="721">
        <f t="shared" si="132"/>
        <v>15</v>
      </c>
      <c r="AP137" s="722">
        <f t="shared" si="133"/>
        <v>4.5999999999999996</v>
      </c>
      <c r="AQ137" s="1035">
        <f t="shared" si="134"/>
        <v>10.4</v>
      </c>
      <c r="AR137" s="1039"/>
      <c r="AS137" s="1521">
        <v>15</v>
      </c>
      <c r="AT137" s="1528">
        <f t="shared" si="124"/>
        <v>0</v>
      </c>
      <c r="AU137" s="349"/>
      <c r="AV137" s="1518"/>
    </row>
    <row r="138" spans="1:48" s="863" customFormat="1" ht="17" hidden="1" customHeight="1">
      <c r="A138" s="140"/>
      <c r="B138" s="1800"/>
      <c r="C138" s="1731" t="s">
        <v>930</v>
      </c>
      <c r="D138" s="1733" t="s">
        <v>931</v>
      </c>
      <c r="E138" s="1733" t="s">
        <v>903</v>
      </c>
      <c r="F138" s="1468" t="s">
        <v>932</v>
      </c>
      <c r="G138" s="955"/>
      <c r="H138" s="806">
        <v>45810</v>
      </c>
      <c r="I138" s="1541">
        <v>46142</v>
      </c>
      <c r="J138" s="29"/>
      <c r="K138" s="1616"/>
      <c r="L138" s="1616"/>
      <c r="M138" s="1616"/>
      <c r="N138" s="1616"/>
      <c r="O138" s="1616"/>
      <c r="P138" s="1616"/>
      <c r="Q138" s="1616"/>
      <c r="R138" s="1616"/>
      <c r="S138" s="1611">
        <v>1</v>
      </c>
      <c r="T138" s="556">
        <f t="shared" si="150"/>
        <v>0.6</v>
      </c>
      <c r="U138" s="1611">
        <v>1</v>
      </c>
      <c r="V138" s="1611"/>
      <c r="W138" s="1611">
        <v>1</v>
      </c>
      <c r="X138" s="1611"/>
      <c r="Y138" s="1611">
        <v>1</v>
      </c>
      <c r="Z138" s="1611"/>
      <c r="AA138" s="1611">
        <v>1</v>
      </c>
      <c r="AB138" s="1611"/>
      <c r="AC138" s="1611">
        <v>1</v>
      </c>
      <c r="AD138" s="1611"/>
      <c r="AE138" s="1611">
        <v>1</v>
      </c>
      <c r="AF138" s="1611"/>
      <c r="AG138" s="1611">
        <v>1</v>
      </c>
      <c r="AH138" s="1611"/>
      <c r="AI138" s="1611">
        <v>1</v>
      </c>
      <c r="AJ138" s="1611"/>
      <c r="AK138" s="1611">
        <v>1</v>
      </c>
      <c r="AL138" s="1611"/>
      <c r="AM138" s="1611">
        <v>1</v>
      </c>
      <c r="AN138" s="25"/>
      <c r="AO138" s="1593">
        <f t="shared" si="132"/>
        <v>11</v>
      </c>
      <c r="AP138" s="1032">
        <f t="shared" si="133"/>
        <v>0.6</v>
      </c>
      <c r="AQ138" s="1036">
        <f t="shared" si="134"/>
        <v>10.4</v>
      </c>
      <c r="AR138" s="1039"/>
      <c r="AS138" s="1521">
        <v>11</v>
      </c>
      <c r="AT138" s="1528">
        <f t="shared" si="124"/>
        <v>0</v>
      </c>
      <c r="AU138" s="140"/>
    </row>
    <row r="139" spans="1:48" s="140" customFormat="1" ht="17" hidden="1" customHeight="1">
      <c r="B139" s="1800"/>
      <c r="C139" s="1728" t="s">
        <v>933</v>
      </c>
      <c r="D139" s="1732" t="s">
        <v>934</v>
      </c>
      <c r="E139" s="1732" t="s">
        <v>101</v>
      </c>
      <c r="F139" s="1703" t="s">
        <v>935</v>
      </c>
      <c r="G139" s="937"/>
      <c r="H139" s="806">
        <v>45853</v>
      </c>
      <c r="I139" s="1541">
        <v>46112</v>
      </c>
      <c r="J139" s="29"/>
      <c r="K139" s="1616"/>
      <c r="L139" s="1616"/>
      <c r="M139" s="1616"/>
      <c r="N139" s="1616"/>
      <c r="O139" s="1616"/>
      <c r="P139" s="1616"/>
      <c r="Q139" s="1616"/>
      <c r="R139" s="1616"/>
      <c r="S139" s="1616"/>
      <c r="T139" s="1616"/>
      <c r="U139" s="1616">
        <v>0.5</v>
      </c>
      <c r="V139" s="1616"/>
      <c r="W139" s="1616">
        <v>1</v>
      </c>
      <c r="X139" s="1616"/>
      <c r="Y139" s="1616">
        <v>1</v>
      </c>
      <c r="Z139" s="1616"/>
      <c r="AA139" s="1616">
        <v>1</v>
      </c>
      <c r="AB139" s="1616"/>
      <c r="AC139" s="1616">
        <v>1</v>
      </c>
      <c r="AD139" s="1616"/>
      <c r="AE139" s="1616">
        <v>1</v>
      </c>
      <c r="AF139" s="1616"/>
      <c r="AG139" s="1616">
        <v>1</v>
      </c>
      <c r="AH139" s="1616"/>
      <c r="AI139" s="1616">
        <v>1</v>
      </c>
      <c r="AJ139" s="1616"/>
      <c r="AK139" s="1616">
        <v>1</v>
      </c>
      <c r="AL139" s="1616"/>
      <c r="AM139" s="1616">
        <v>0.5</v>
      </c>
      <c r="AN139" s="25"/>
      <c r="AO139" s="1594">
        <f t="shared" si="132"/>
        <v>9</v>
      </c>
      <c r="AP139" s="722">
        <f t="shared" si="133"/>
        <v>0</v>
      </c>
      <c r="AQ139" s="1035">
        <f t="shared" si="134"/>
        <v>9</v>
      </c>
      <c r="AR139" s="1039"/>
      <c r="AS139" s="1521">
        <v>9</v>
      </c>
      <c r="AT139" s="1528">
        <f t="shared" si="124"/>
        <v>0</v>
      </c>
      <c r="AU139" s="349"/>
      <c r="AV139" s="1518"/>
    </row>
    <row r="140" spans="1:48" s="140" customFormat="1" ht="17" hidden="1" customHeight="1">
      <c r="B140" s="1800"/>
      <c r="C140" s="1731" t="s">
        <v>936</v>
      </c>
      <c r="D140" s="1732" t="s">
        <v>901</v>
      </c>
      <c r="E140" s="1733" t="s">
        <v>728</v>
      </c>
      <c r="F140" s="1717" t="s">
        <v>937</v>
      </c>
      <c r="G140" s="1714" t="s">
        <v>900</v>
      </c>
      <c r="H140" s="1716">
        <v>45733</v>
      </c>
      <c r="I140" s="1716">
        <v>46112</v>
      </c>
      <c r="J140" s="29"/>
      <c r="K140" s="1616"/>
      <c r="L140" s="1616"/>
      <c r="M140" s="1612">
        <v>0.5</v>
      </c>
      <c r="N140" s="1612">
        <v>0.5</v>
      </c>
      <c r="O140" s="1612">
        <v>0</v>
      </c>
      <c r="P140" s="1612">
        <v>1</v>
      </c>
      <c r="Q140" s="1613">
        <v>0</v>
      </c>
      <c r="R140" s="1613">
        <v>1</v>
      </c>
      <c r="S140" s="1611">
        <v>1</v>
      </c>
      <c r="T140" s="556">
        <f t="shared" ref="T140:T141" si="151">$T$1*S140</f>
        <v>0.6</v>
      </c>
      <c r="U140" s="1611">
        <v>1</v>
      </c>
      <c r="V140" s="1611"/>
      <c r="W140" s="1611">
        <v>1</v>
      </c>
      <c r="X140" s="1611"/>
      <c r="Y140" s="1611">
        <v>1</v>
      </c>
      <c r="Z140" s="1611"/>
      <c r="AA140" s="1611">
        <v>1</v>
      </c>
      <c r="AB140" s="1611"/>
      <c r="AC140" s="1611">
        <v>1</v>
      </c>
      <c r="AD140" s="1611"/>
      <c r="AE140" s="1611">
        <v>1</v>
      </c>
      <c r="AF140" s="1611"/>
      <c r="AG140" s="1611">
        <v>1</v>
      </c>
      <c r="AH140" s="1611"/>
      <c r="AI140" s="1611">
        <v>1</v>
      </c>
      <c r="AJ140" s="1611"/>
      <c r="AK140" s="1611">
        <v>1</v>
      </c>
      <c r="AL140" s="1611"/>
      <c r="AM140" s="1611"/>
      <c r="AN140" s="25"/>
      <c r="AO140" s="1593">
        <f t="shared" si="132"/>
        <v>10.5</v>
      </c>
      <c r="AP140" s="722">
        <f t="shared" si="133"/>
        <v>3.1</v>
      </c>
      <c r="AQ140" s="1035">
        <f t="shared" si="134"/>
        <v>7.4</v>
      </c>
      <c r="AR140" s="1039"/>
      <c r="AS140" s="1521">
        <v>11</v>
      </c>
      <c r="AT140" s="1528">
        <f t="shared" si="124"/>
        <v>-0.5</v>
      </c>
      <c r="AU140" s="349"/>
      <c r="AV140" s="1518"/>
    </row>
    <row r="141" spans="1:48" s="140" customFormat="1" ht="17" hidden="1" customHeight="1">
      <c r="B141" s="1800"/>
      <c r="C141" s="1731" t="s">
        <v>828</v>
      </c>
      <c r="D141" s="1732" t="s">
        <v>899</v>
      </c>
      <c r="E141" s="1733" t="s">
        <v>903</v>
      </c>
      <c r="F141" s="1468" t="s">
        <v>830</v>
      </c>
      <c r="H141" s="806">
        <v>45810</v>
      </c>
      <c r="I141" s="1541">
        <v>46142</v>
      </c>
      <c r="J141" s="29"/>
      <c r="K141" s="1616"/>
      <c r="L141" s="1616"/>
      <c r="M141" s="1616"/>
      <c r="N141" s="1616"/>
      <c r="O141" s="1616"/>
      <c r="P141" s="1616"/>
      <c r="Q141" s="1616"/>
      <c r="R141" s="1616"/>
      <c r="S141" s="1611">
        <v>1</v>
      </c>
      <c r="T141" s="556">
        <f t="shared" si="151"/>
        <v>0.6</v>
      </c>
      <c r="U141" s="1611">
        <v>1</v>
      </c>
      <c r="V141" s="1611"/>
      <c r="W141" s="1611">
        <v>1</v>
      </c>
      <c r="X141" s="1611"/>
      <c r="Y141" s="1611">
        <v>1</v>
      </c>
      <c r="Z141" s="1611"/>
      <c r="AA141" s="1611">
        <v>1</v>
      </c>
      <c r="AB141" s="1611"/>
      <c r="AC141" s="1611">
        <v>1</v>
      </c>
      <c r="AD141" s="1611"/>
      <c r="AE141" s="1611">
        <v>1</v>
      </c>
      <c r="AF141" s="1611"/>
      <c r="AG141" s="1611">
        <v>1</v>
      </c>
      <c r="AH141" s="1611"/>
      <c r="AI141" s="1611">
        <v>1</v>
      </c>
      <c r="AJ141" s="1611"/>
      <c r="AK141" s="1611">
        <v>1</v>
      </c>
      <c r="AL141" s="1611"/>
      <c r="AM141" s="1611">
        <v>1</v>
      </c>
      <c r="AN141" s="25"/>
      <c r="AO141" s="1593">
        <f t="shared" si="132"/>
        <v>11</v>
      </c>
      <c r="AP141" s="722">
        <f t="shared" si="133"/>
        <v>0.6</v>
      </c>
      <c r="AQ141" s="1035">
        <f t="shared" si="134"/>
        <v>10.4</v>
      </c>
      <c r="AR141" s="1039"/>
      <c r="AS141" s="1521">
        <v>11</v>
      </c>
      <c r="AT141" s="1528">
        <f t="shared" si="124"/>
        <v>0</v>
      </c>
      <c r="AU141" s="349"/>
      <c r="AV141" s="1518"/>
    </row>
    <row r="142" spans="1:48" s="863" customFormat="1" ht="17" hidden="1" customHeight="1">
      <c r="A142" s="140"/>
      <c r="B142" s="1800"/>
      <c r="C142" s="1728" t="s">
        <v>938</v>
      </c>
      <c r="D142" s="1732" t="s">
        <v>934</v>
      </c>
      <c r="E142" s="1732" t="s">
        <v>101</v>
      </c>
      <c r="F142" s="1703" t="s">
        <v>935</v>
      </c>
      <c r="G142" s="955"/>
      <c r="H142" s="806">
        <v>45839</v>
      </c>
      <c r="I142" s="806">
        <v>46081</v>
      </c>
      <c r="J142" s="29"/>
      <c r="K142" s="1616"/>
      <c r="L142" s="1616"/>
      <c r="M142" s="1616"/>
      <c r="N142" s="1616"/>
      <c r="O142" s="1616"/>
      <c r="P142" s="1616"/>
      <c r="Q142" s="1616"/>
      <c r="R142" s="1616"/>
      <c r="S142" s="1616"/>
      <c r="T142" s="1616"/>
      <c r="U142" s="1616">
        <v>0.5</v>
      </c>
      <c r="V142" s="1616"/>
      <c r="W142" s="1616">
        <v>1</v>
      </c>
      <c r="X142" s="1616"/>
      <c r="Y142" s="1616">
        <v>1</v>
      </c>
      <c r="Z142" s="1616"/>
      <c r="AA142" s="1616">
        <v>1</v>
      </c>
      <c r="AB142" s="1616"/>
      <c r="AC142" s="1616">
        <v>1</v>
      </c>
      <c r="AD142" s="1616"/>
      <c r="AE142" s="1616">
        <v>1</v>
      </c>
      <c r="AF142" s="1616"/>
      <c r="AG142" s="1616">
        <v>1</v>
      </c>
      <c r="AH142" s="1616"/>
      <c r="AI142" s="1616">
        <v>1</v>
      </c>
      <c r="AJ142" s="1616"/>
      <c r="AK142" s="1616">
        <v>1</v>
      </c>
      <c r="AL142" s="1616"/>
      <c r="AM142" s="1616">
        <v>1</v>
      </c>
      <c r="AN142" s="25"/>
      <c r="AO142" s="1594">
        <f t="shared" si="132"/>
        <v>9.5</v>
      </c>
      <c r="AP142" s="1032">
        <f t="shared" si="133"/>
        <v>0</v>
      </c>
      <c r="AQ142" s="1036">
        <f t="shared" si="134"/>
        <v>9.5</v>
      </c>
      <c r="AR142" s="1039"/>
      <c r="AS142" s="1521">
        <v>9.5</v>
      </c>
      <c r="AT142" s="1528">
        <f t="shared" si="124"/>
        <v>0</v>
      </c>
      <c r="AU142" s="140"/>
    </row>
    <row r="143" spans="1:48" s="140" customFormat="1" ht="17" hidden="1" customHeight="1">
      <c r="B143" s="1800"/>
      <c r="C143" s="1731" t="s">
        <v>939</v>
      </c>
      <c r="D143" s="1733" t="s">
        <v>940</v>
      </c>
      <c r="E143" s="1734" t="s">
        <v>903</v>
      </c>
      <c r="F143" s="1717" t="s">
        <v>834</v>
      </c>
      <c r="G143" s="1714" t="s">
        <v>684</v>
      </c>
      <c r="H143" s="1716">
        <v>45763</v>
      </c>
      <c r="I143" s="1716">
        <v>46142</v>
      </c>
      <c r="J143" s="29"/>
      <c r="K143" s="1611"/>
      <c r="L143" s="1611"/>
      <c r="M143" s="1611"/>
      <c r="N143" s="1611"/>
      <c r="O143" s="675">
        <v>0.5</v>
      </c>
      <c r="P143" s="419">
        <v>0.25</v>
      </c>
      <c r="Q143" s="419">
        <v>0</v>
      </c>
      <c r="R143" s="495">
        <v>1</v>
      </c>
      <c r="S143" s="1611">
        <v>1</v>
      </c>
      <c r="T143" s="556">
        <f>$T$1*S143</f>
        <v>0.6</v>
      </c>
      <c r="U143" s="1611">
        <v>1</v>
      </c>
      <c r="V143" s="1611"/>
      <c r="W143" s="1611">
        <v>1</v>
      </c>
      <c r="X143" s="1611"/>
      <c r="Y143" s="1611">
        <v>1</v>
      </c>
      <c r="Z143" s="1611"/>
      <c r="AA143" s="1611">
        <v>1</v>
      </c>
      <c r="AB143" s="1611"/>
      <c r="AC143" s="1611">
        <v>1</v>
      </c>
      <c r="AD143" s="1611"/>
      <c r="AE143" s="1611">
        <v>1</v>
      </c>
      <c r="AF143" s="1611"/>
      <c r="AG143" s="1611">
        <v>1</v>
      </c>
      <c r="AH143" s="1611"/>
      <c r="AI143" s="1611">
        <v>1</v>
      </c>
      <c r="AJ143" s="1611"/>
      <c r="AK143" s="1611">
        <v>1</v>
      </c>
      <c r="AL143" s="1611"/>
      <c r="AM143" s="1611">
        <v>1</v>
      </c>
      <c r="AN143" s="25"/>
      <c r="AO143" s="1593">
        <f t="shared" si="132"/>
        <v>11.5</v>
      </c>
      <c r="AP143" s="722">
        <f t="shared" si="133"/>
        <v>1.85</v>
      </c>
      <c r="AQ143" s="1035">
        <f t="shared" si="134"/>
        <v>9.65</v>
      </c>
      <c r="AR143" s="1039"/>
      <c r="AS143" s="1521">
        <v>12.5</v>
      </c>
      <c r="AT143" s="1528">
        <f t="shared" si="124"/>
        <v>-1</v>
      </c>
      <c r="AU143" s="349"/>
      <c r="AV143" s="1518"/>
    </row>
    <row r="144" spans="1:48" s="140" customFormat="1" ht="17" hidden="1" customHeight="1">
      <c r="B144" s="1800"/>
      <c r="C144" s="1731" t="s">
        <v>939</v>
      </c>
      <c r="D144" s="1732" t="s">
        <v>899</v>
      </c>
      <c r="E144" s="1733" t="s">
        <v>903</v>
      </c>
      <c r="F144" s="1468" t="s">
        <v>835</v>
      </c>
      <c r="G144" s="937"/>
      <c r="H144" s="1541">
        <v>45839</v>
      </c>
      <c r="I144" s="810">
        <v>46112</v>
      </c>
      <c r="J144" s="29"/>
      <c r="K144" s="1616"/>
      <c r="L144" s="1616"/>
      <c r="M144" s="1616"/>
      <c r="N144" s="1616"/>
      <c r="O144" s="1616"/>
      <c r="P144" s="1616"/>
      <c r="Q144" s="1616"/>
      <c r="R144" s="1616"/>
      <c r="S144" s="1611"/>
      <c r="T144" s="1611"/>
      <c r="U144" s="1611">
        <v>0.5</v>
      </c>
      <c r="V144" s="1611"/>
      <c r="W144" s="1611">
        <v>1</v>
      </c>
      <c r="X144" s="1611"/>
      <c r="Y144" s="1611">
        <v>1</v>
      </c>
      <c r="Z144" s="1611"/>
      <c r="AA144" s="1611">
        <v>1</v>
      </c>
      <c r="AB144" s="1611"/>
      <c r="AC144" s="1611">
        <v>1</v>
      </c>
      <c r="AD144" s="1611"/>
      <c r="AE144" s="1611">
        <v>1</v>
      </c>
      <c r="AF144" s="1611"/>
      <c r="AG144" s="1611">
        <v>1</v>
      </c>
      <c r="AH144" s="1611"/>
      <c r="AI144" s="1611">
        <v>1</v>
      </c>
      <c r="AJ144" s="1611"/>
      <c r="AK144" s="1611">
        <v>1</v>
      </c>
      <c r="AL144" s="1611"/>
      <c r="AM144" s="1611"/>
      <c r="AN144" s="25"/>
      <c r="AO144" s="1593">
        <f t="shared" si="132"/>
        <v>8.5</v>
      </c>
      <c r="AP144" s="722">
        <f t="shared" si="133"/>
        <v>0</v>
      </c>
      <c r="AQ144" s="1035">
        <f t="shared" si="134"/>
        <v>8.5</v>
      </c>
      <c r="AR144" s="1039"/>
      <c r="AS144" s="1521">
        <v>8.5</v>
      </c>
      <c r="AT144" s="1528">
        <f t="shared" si="124"/>
        <v>0</v>
      </c>
      <c r="AU144" s="349"/>
      <c r="AV144" s="1518"/>
    </row>
    <row r="145" spans="1:48" s="863" customFormat="1" ht="17" hidden="1" customHeight="1">
      <c r="A145" s="140"/>
      <c r="B145" s="1800"/>
      <c r="C145" s="1731" t="s">
        <v>941</v>
      </c>
      <c r="D145" s="1732" t="s">
        <v>901</v>
      </c>
      <c r="E145" s="1734" t="s">
        <v>903</v>
      </c>
      <c r="F145" s="1717" t="s">
        <v>837</v>
      </c>
      <c r="G145" s="1714" t="s">
        <v>900</v>
      </c>
      <c r="H145" s="1716">
        <v>45707</v>
      </c>
      <c r="I145" s="1716">
        <v>46142</v>
      </c>
      <c r="J145" s="29"/>
      <c r="K145" s="419">
        <v>0</v>
      </c>
      <c r="L145" s="419">
        <f>8/20</f>
        <v>0.4</v>
      </c>
      <c r="M145" s="419">
        <v>0</v>
      </c>
      <c r="N145" s="1028">
        <v>1</v>
      </c>
      <c r="O145" s="675">
        <v>0</v>
      </c>
      <c r="P145" s="419">
        <f>$O$1*$P$1</f>
        <v>1</v>
      </c>
      <c r="Q145" s="419">
        <v>0</v>
      </c>
      <c r="R145" s="495">
        <v>1</v>
      </c>
      <c r="S145" s="1611">
        <v>1</v>
      </c>
      <c r="T145" s="556">
        <f t="shared" ref="T145:T146" si="152">$T$1*S145</f>
        <v>0.6</v>
      </c>
      <c r="U145" s="1611">
        <v>1</v>
      </c>
      <c r="V145" s="1611"/>
      <c r="W145" s="1611">
        <v>1</v>
      </c>
      <c r="X145" s="1611"/>
      <c r="Y145" s="1611">
        <v>1</v>
      </c>
      <c r="Z145" s="1611"/>
      <c r="AA145" s="1611">
        <v>1</v>
      </c>
      <c r="AB145" s="1611"/>
      <c r="AC145" s="1611">
        <v>1</v>
      </c>
      <c r="AD145" s="1611"/>
      <c r="AE145" s="1611">
        <v>1</v>
      </c>
      <c r="AF145" s="1611"/>
      <c r="AG145" s="1611">
        <v>1</v>
      </c>
      <c r="AH145" s="1611"/>
      <c r="AI145" s="1611">
        <v>1</v>
      </c>
      <c r="AJ145" s="1611"/>
      <c r="AK145" s="1611">
        <v>1</v>
      </c>
      <c r="AL145" s="1611"/>
      <c r="AM145" s="1611">
        <v>1</v>
      </c>
      <c r="AN145" s="25"/>
      <c r="AO145" s="1593">
        <f t="shared" si="132"/>
        <v>11</v>
      </c>
      <c r="AP145" s="1032">
        <f t="shared" si="133"/>
        <v>4</v>
      </c>
      <c r="AQ145" s="1036">
        <f t="shared" si="134"/>
        <v>7</v>
      </c>
      <c r="AR145" s="1039"/>
      <c r="AS145" s="1521">
        <v>13.5</v>
      </c>
      <c r="AT145" s="1528">
        <f t="shared" si="124"/>
        <v>-2.5</v>
      </c>
      <c r="AU145" s="140"/>
    </row>
    <row r="146" spans="1:48" s="150" customFormat="1" ht="17" hidden="1" customHeight="1">
      <c r="A146" s="140"/>
      <c r="B146" s="1800"/>
      <c r="C146" s="1731" t="s">
        <v>942</v>
      </c>
      <c r="D146" s="1733" t="s">
        <v>765</v>
      </c>
      <c r="E146" s="1734" t="s">
        <v>903</v>
      </c>
      <c r="F146" s="1468" t="s">
        <v>839</v>
      </c>
      <c r="G146" s="937"/>
      <c r="H146" s="806">
        <v>45810</v>
      </c>
      <c r="I146" s="1541">
        <v>46142</v>
      </c>
      <c r="J146" s="29"/>
      <c r="K146" s="1611"/>
      <c r="L146" s="1611"/>
      <c r="M146" s="1611"/>
      <c r="N146" s="1611"/>
      <c r="O146" s="1611"/>
      <c r="P146" s="1611"/>
      <c r="Q146" s="1611"/>
      <c r="R146" s="1611"/>
      <c r="S146" s="1611">
        <v>1</v>
      </c>
      <c r="T146" s="556">
        <f t="shared" si="152"/>
        <v>0.6</v>
      </c>
      <c r="U146" s="1611">
        <v>1</v>
      </c>
      <c r="V146" s="1611"/>
      <c r="W146" s="1611">
        <v>1</v>
      </c>
      <c r="X146" s="1611"/>
      <c r="Y146" s="1611">
        <v>1</v>
      </c>
      <c r="Z146" s="1611"/>
      <c r="AA146" s="1611">
        <v>1</v>
      </c>
      <c r="AB146" s="1611"/>
      <c r="AC146" s="1611">
        <v>1</v>
      </c>
      <c r="AD146" s="1611"/>
      <c r="AE146" s="1611">
        <v>1</v>
      </c>
      <c r="AF146" s="1611"/>
      <c r="AG146" s="1611">
        <v>1</v>
      </c>
      <c r="AH146" s="1611"/>
      <c r="AI146" s="1611">
        <v>1</v>
      </c>
      <c r="AJ146" s="1611"/>
      <c r="AK146" s="1611">
        <v>1</v>
      </c>
      <c r="AL146" s="1611"/>
      <c r="AM146" s="1611">
        <v>1</v>
      </c>
      <c r="AN146" s="25"/>
      <c r="AO146" s="1593">
        <f t="shared" ref="AO146" si="153">+K146+M146+O146+Q146+S146+U146+W146+Y146+AA146+AC146+AE146+AG146+AI146+AK146+AM146</f>
        <v>11</v>
      </c>
      <c r="AP146" s="1032">
        <f t="shared" ref="AP146" si="154">+L146+N146+P146+R146+T146+V146+X146+Z146+AB146+AD146+AF146+AH146+AJ146+AL146+AN146</f>
        <v>0.6</v>
      </c>
      <c r="AQ146" s="1036">
        <f t="shared" ref="AQ146" si="155">AO146-AP146</f>
        <v>10.4</v>
      </c>
      <c r="AR146" s="1039"/>
      <c r="AS146" s="1521">
        <v>11</v>
      </c>
      <c r="AT146" s="1528">
        <f t="shared" si="124"/>
        <v>0</v>
      </c>
      <c r="AU146" s="349"/>
      <c r="AV146" s="1518"/>
    </row>
    <row r="147" spans="1:48" s="140" customFormat="1" ht="17" hidden="1" customHeight="1">
      <c r="B147" s="1800"/>
      <c r="C147" s="1735" t="s">
        <v>943</v>
      </c>
      <c r="D147" s="1732" t="s">
        <v>944</v>
      </c>
      <c r="E147" s="1732" t="s">
        <v>101</v>
      </c>
      <c r="F147" s="1703" t="s">
        <v>935</v>
      </c>
      <c r="G147" s="1006"/>
      <c r="H147" s="1541">
        <v>45853</v>
      </c>
      <c r="I147" s="1541">
        <v>46112</v>
      </c>
      <c r="J147" s="29"/>
      <c r="K147" s="1616"/>
      <c r="L147" s="1616"/>
      <c r="M147" s="1616"/>
      <c r="N147" s="1616"/>
      <c r="O147" s="1616"/>
      <c r="P147" s="1616"/>
      <c r="Q147" s="1616"/>
      <c r="R147" s="1616"/>
      <c r="S147" s="1616"/>
      <c r="T147" s="1616"/>
      <c r="U147" s="1616">
        <v>0.5</v>
      </c>
      <c r="V147" s="1616"/>
      <c r="W147" s="1616">
        <v>1</v>
      </c>
      <c r="X147" s="1616"/>
      <c r="Y147" s="1616">
        <v>1</v>
      </c>
      <c r="Z147" s="1616"/>
      <c r="AA147" s="1616">
        <v>1</v>
      </c>
      <c r="AB147" s="1616"/>
      <c r="AC147" s="1616">
        <v>1</v>
      </c>
      <c r="AD147" s="1616"/>
      <c r="AE147" s="1616">
        <v>1</v>
      </c>
      <c r="AF147" s="1616"/>
      <c r="AG147" s="1616">
        <v>1</v>
      </c>
      <c r="AH147" s="1616"/>
      <c r="AI147" s="1616">
        <v>1</v>
      </c>
      <c r="AJ147" s="1616"/>
      <c r="AK147" s="1616">
        <v>1</v>
      </c>
      <c r="AL147" s="1616"/>
      <c r="AM147" s="1616">
        <v>1</v>
      </c>
      <c r="AN147" s="25"/>
      <c r="AO147" s="1594">
        <f t="shared" si="132"/>
        <v>9.5</v>
      </c>
      <c r="AP147" s="722">
        <f t="shared" si="133"/>
        <v>0</v>
      </c>
      <c r="AQ147" s="1035">
        <f t="shared" si="134"/>
        <v>9.5</v>
      </c>
      <c r="AR147" s="1039"/>
      <c r="AS147" s="1521">
        <v>9.5</v>
      </c>
      <c r="AT147" s="1528">
        <f t="shared" si="124"/>
        <v>0</v>
      </c>
      <c r="AU147" s="349"/>
      <c r="AV147" s="1518"/>
    </row>
    <row r="148" spans="1:48" s="140" customFormat="1" ht="17" hidden="1" customHeight="1">
      <c r="B148" s="1800"/>
      <c r="C148" s="1731" t="s">
        <v>945</v>
      </c>
      <c r="D148" s="1732" t="s">
        <v>899</v>
      </c>
      <c r="E148" s="1733" t="s">
        <v>903</v>
      </c>
      <c r="F148" s="1468" t="s">
        <v>946</v>
      </c>
      <c r="G148" s="937"/>
      <c r="H148" s="806">
        <v>45810</v>
      </c>
      <c r="I148" s="1541">
        <v>46142</v>
      </c>
      <c r="J148" s="29"/>
      <c r="K148" s="1616"/>
      <c r="L148" s="1616"/>
      <c r="M148" s="1616"/>
      <c r="N148" s="1616"/>
      <c r="O148" s="1616"/>
      <c r="P148" s="1616"/>
      <c r="Q148" s="1616"/>
      <c r="R148" s="1616"/>
      <c r="S148" s="1611">
        <v>1</v>
      </c>
      <c r="T148" s="556">
        <f t="shared" ref="T148:T149" si="156">$T$1*S148</f>
        <v>0.6</v>
      </c>
      <c r="U148" s="1611">
        <v>1</v>
      </c>
      <c r="V148" s="1611"/>
      <c r="W148" s="1611">
        <v>1</v>
      </c>
      <c r="X148" s="1611"/>
      <c r="Y148" s="1611">
        <v>1</v>
      </c>
      <c r="Z148" s="1611"/>
      <c r="AA148" s="1611">
        <v>1</v>
      </c>
      <c r="AB148" s="1611"/>
      <c r="AC148" s="1611">
        <v>1</v>
      </c>
      <c r="AD148" s="1611"/>
      <c r="AE148" s="1611">
        <v>1</v>
      </c>
      <c r="AF148" s="1611"/>
      <c r="AG148" s="1611">
        <v>1</v>
      </c>
      <c r="AH148" s="1611"/>
      <c r="AI148" s="1611">
        <v>1</v>
      </c>
      <c r="AJ148" s="1611"/>
      <c r="AK148" s="1611">
        <v>1</v>
      </c>
      <c r="AL148" s="1611"/>
      <c r="AM148" s="1611">
        <v>1</v>
      </c>
      <c r="AN148" s="25"/>
      <c r="AO148" s="721">
        <f t="shared" si="132"/>
        <v>11</v>
      </c>
      <c r="AP148" s="722">
        <f t="shared" si="133"/>
        <v>0.6</v>
      </c>
      <c r="AQ148" s="1035">
        <f t="shared" si="134"/>
        <v>10.4</v>
      </c>
      <c r="AR148" s="1039"/>
      <c r="AS148" s="1521">
        <v>11</v>
      </c>
      <c r="AT148" s="1528">
        <f t="shared" si="124"/>
        <v>0</v>
      </c>
      <c r="AU148" s="349"/>
      <c r="AV148" s="1518"/>
    </row>
    <row r="149" spans="1:48" s="140" customFormat="1" ht="17" hidden="1" customHeight="1">
      <c r="B149" s="1800"/>
      <c r="C149" s="1537" t="s">
        <v>772</v>
      </c>
      <c r="D149" s="1466" t="s">
        <v>899</v>
      </c>
      <c r="E149" s="1467" t="s">
        <v>903</v>
      </c>
      <c r="F149" s="1468" t="s">
        <v>947</v>
      </c>
      <c r="H149" s="806">
        <v>45810</v>
      </c>
      <c r="I149" s="1541">
        <v>46142</v>
      </c>
      <c r="J149" s="29"/>
      <c r="K149" s="1616"/>
      <c r="L149" s="1616"/>
      <c r="M149" s="1616"/>
      <c r="N149" s="1616"/>
      <c r="O149" s="1616"/>
      <c r="P149" s="1616"/>
      <c r="Q149" s="1616"/>
      <c r="R149" s="1616"/>
      <c r="S149" s="1611">
        <v>1</v>
      </c>
      <c r="T149" s="556">
        <f t="shared" si="156"/>
        <v>0.6</v>
      </c>
      <c r="U149" s="1611">
        <v>1</v>
      </c>
      <c r="V149" s="1611"/>
      <c r="W149" s="1611">
        <v>1</v>
      </c>
      <c r="X149" s="1611"/>
      <c r="Y149" s="1611">
        <v>1</v>
      </c>
      <c r="Z149" s="1611"/>
      <c r="AA149" s="1611">
        <v>1</v>
      </c>
      <c r="AB149" s="1611"/>
      <c r="AC149" s="1611">
        <v>1</v>
      </c>
      <c r="AD149" s="1611"/>
      <c r="AE149" s="1611">
        <v>1</v>
      </c>
      <c r="AF149" s="1611"/>
      <c r="AG149" s="1611">
        <v>1</v>
      </c>
      <c r="AH149" s="1611"/>
      <c r="AI149" s="1611">
        <v>1</v>
      </c>
      <c r="AJ149" s="1611"/>
      <c r="AK149" s="1611">
        <v>1</v>
      </c>
      <c r="AL149" s="1611"/>
      <c r="AM149" s="1611">
        <v>1</v>
      </c>
      <c r="AN149" s="25"/>
      <c r="AO149" s="721">
        <f t="shared" si="132"/>
        <v>11</v>
      </c>
      <c r="AP149" s="722">
        <f t="shared" si="133"/>
        <v>0.6</v>
      </c>
      <c r="AQ149" s="1035">
        <f t="shared" si="134"/>
        <v>10.4</v>
      </c>
      <c r="AR149" s="1039"/>
      <c r="AS149" s="1521">
        <v>11</v>
      </c>
      <c r="AT149" s="1528">
        <f t="shared" si="124"/>
        <v>0</v>
      </c>
      <c r="AU149" s="349"/>
      <c r="AV149" s="1518"/>
    </row>
    <row r="150" spans="1:48" s="140" customFormat="1" ht="17" hidden="1" customHeight="1">
      <c r="B150" s="1800"/>
      <c r="C150" s="1537" t="s">
        <v>948</v>
      </c>
      <c r="D150" s="1466" t="s">
        <v>899</v>
      </c>
      <c r="E150" s="1467" t="s">
        <v>728</v>
      </c>
      <c r="F150" s="1468" t="s">
        <v>846</v>
      </c>
      <c r="G150" s="937"/>
      <c r="H150" s="1541">
        <v>45853</v>
      </c>
      <c r="I150" s="810">
        <v>46112</v>
      </c>
      <c r="J150" s="29"/>
      <c r="K150" s="1616"/>
      <c r="L150" s="1616"/>
      <c r="M150" s="1616"/>
      <c r="N150" s="1616"/>
      <c r="O150" s="1616"/>
      <c r="P150" s="1616"/>
      <c r="Q150" s="1616"/>
      <c r="R150" s="1616"/>
      <c r="S150" s="1611"/>
      <c r="T150" s="1611"/>
      <c r="U150" s="1611">
        <v>0.5</v>
      </c>
      <c r="V150" s="1611"/>
      <c r="W150" s="1611">
        <v>1</v>
      </c>
      <c r="X150" s="1611"/>
      <c r="Y150" s="1611">
        <v>1</v>
      </c>
      <c r="Z150" s="1611"/>
      <c r="AA150" s="1611">
        <v>1</v>
      </c>
      <c r="AB150" s="1611"/>
      <c r="AC150" s="1611">
        <v>1</v>
      </c>
      <c r="AD150" s="1611"/>
      <c r="AE150" s="1611">
        <v>1</v>
      </c>
      <c r="AF150" s="1611"/>
      <c r="AG150" s="1611">
        <v>1</v>
      </c>
      <c r="AH150" s="1611"/>
      <c r="AI150" s="1611">
        <v>1</v>
      </c>
      <c r="AJ150" s="1611"/>
      <c r="AK150" s="1611">
        <v>1</v>
      </c>
      <c r="AL150" s="1611"/>
      <c r="AM150" s="1611">
        <v>1</v>
      </c>
      <c r="AN150" s="25"/>
      <c r="AO150" s="721">
        <f t="shared" si="132"/>
        <v>9.5</v>
      </c>
      <c r="AP150" s="722">
        <f t="shared" si="133"/>
        <v>0</v>
      </c>
      <c r="AQ150" s="1035">
        <f t="shared" si="134"/>
        <v>9.5</v>
      </c>
      <c r="AR150" s="1039"/>
      <c r="AS150" s="1521">
        <v>8.5</v>
      </c>
      <c r="AT150" s="1528">
        <f t="shared" si="124"/>
        <v>1</v>
      </c>
      <c r="AU150" s="349"/>
      <c r="AV150" s="1518"/>
    </row>
    <row r="151" spans="1:48" s="140" customFormat="1" ht="17" hidden="1" customHeight="1">
      <c r="B151" s="1800"/>
      <c r="C151" s="1537" t="s">
        <v>949</v>
      </c>
      <c r="D151" s="1466" t="s">
        <v>899</v>
      </c>
      <c r="E151" s="1467" t="s">
        <v>728</v>
      </c>
      <c r="F151" s="1468" t="s">
        <v>950</v>
      </c>
      <c r="G151" s="937"/>
      <c r="H151" s="1541">
        <v>45810</v>
      </c>
      <c r="I151" s="1541">
        <v>46142</v>
      </c>
      <c r="J151" s="29"/>
      <c r="K151" s="1616"/>
      <c r="L151" s="1616"/>
      <c r="M151" s="1616"/>
      <c r="N151" s="1616"/>
      <c r="O151" s="1616"/>
      <c r="P151" s="1616"/>
      <c r="Q151" s="1616"/>
      <c r="R151" s="1616"/>
      <c r="S151" s="1611">
        <v>1</v>
      </c>
      <c r="T151" s="556">
        <f>$T$1*S151</f>
        <v>0.6</v>
      </c>
      <c r="U151" s="1611">
        <v>1</v>
      </c>
      <c r="V151" s="1611"/>
      <c r="W151" s="1611">
        <v>1</v>
      </c>
      <c r="X151" s="1611"/>
      <c r="Y151" s="1611">
        <v>1</v>
      </c>
      <c r="Z151" s="1611"/>
      <c r="AA151" s="1611">
        <v>1</v>
      </c>
      <c r="AB151" s="1611"/>
      <c r="AC151" s="1611">
        <v>1</v>
      </c>
      <c r="AD151" s="1611"/>
      <c r="AE151" s="1611">
        <v>1</v>
      </c>
      <c r="AF151" s="1611"/>
      <c r="AG151" s="1611">
        <v>1</v>
      </c>
      <c r="AH151" s="1611"/>
      <c r="AI151" s="1611">
        <v>1</v>
      </c>
      <c r="AJ151" s="1611"/>
      <c r="AK151" s="1611">
        <v>1</v>
      </c>
      <c r="AL151" s="1611"/>
      <c r="AM151" s="1611">
        <v>1</v>
      </c>
      <c r="AN151" s="25"/>
      <c r="AO151" s="721">
        <f t="shared" si="132"/>
        <v>11</v>
      </c>
      <c r="AP151" s="722">
        <f t="shared" si="133"/>
        <v>0.6</v>
      </c>
      <c r="AQ151" s="1035">
        <f t="shared" si="134"/>
        <v>10.4</v>
      </c>
      <c r="AR151" s="1039"/>
      <c r="AS151" s="1521">
        <v>11</v>
      </c>
      <c r="AT151" s="1528">
        <f t="shared" si="124"/>
        <v>0</v>
      </c>
      <c r="AU151" s="349"/>
      <c r="AV151" s="1518"/>
    </row>
    <row r="152" spans="1:48" s="140" customFormat="1" ht="17" hidden="1" customHeight="1">
      <c r="B152" s="1800"/>
      <c r="C152" s="1537" t="s">
        <v>849</v>
      </c>
      <c r="D152" s="1466" t="s">
        <v>899</v>
      </c>
      <c r="E152" s="1467" t="s">
        <v>903</v>
      </c>
      <c r="F152" s="1468" t="s">
        <v>951</v>
      </c>
      <c r="G152" s="937"/>
      <c r="H152" s="1541">
        <v>45853</v>
      </c>
      <c r="I152" s="810">
        <v>46112</v>
      </c>
      <c r="J152" s="29"/>
      <c r="K152" s="1616"/>
      <c r="L152" s="1616"/>
      <c r="M152" s="1616"/>
      <c r="N152" s="1616"/>
      <c r="O152" s="1616"/>
      <c r="P152" s="1616"/>
      <c r="Q152" s="1616"/>
      <c r="R152" s="1616"/>
      <c r="S152" s="1611"/>
      <c r="T152" s="1611"/>
      <c r="U152" s="1611">
        <v>0.5</v>
      </c>
      <c r="V152" s="1611"/>
      <c r="W152" s="1611">
        <v>1</v>
      </c>
      <c r="X152" s="1611"/>
      <c r="Y152" s="1611">
        <v>1</v>
      </c>
      <c r="Z152" s="1611"/>
      <c r="AA152" s="1611">
        <v>1</v>
      </c>
      <c r="AB152" s="1611"/>
      <c r="AC152" s="1611">
        <v>1</v>
      </c>
      <c r="AD152" s="1611"/>
      <c r="AE152" s="1611">
        <v>1</v>
      </c>
      <c r="AF152" s="1611"/>
      <c r="AG152" s="1611">
        <v>1</v>
      </c>
      <c r="AH152" s="1611"/>
      <c r="AI152" s="1611">
        <v>1</v>
      </c>
      <c r="AJ152" s="1611"/>
      <c r="AK152" s="1611">
        <v>1</v>
      </c>
      <c r="AL152" s="1611"/>
      <c r="AM152" s="1611">
        <v>1</v>
      </c>
      <c r="AN152" s="25"/>
      <c r="AO152" s="721">
        <f t="shared" si="132"/>
        <v>9.5</v>
      </c>
      <c r="AP152" s="722">
        <f t="shared" si="133"/>
        <v>0</v>
      </c>
      <c r="AQ152" s="1035">
        <f t="shared" si="134"/>
        <v>9.5</v>
      </c>
      <c r="AR152" s="1039"/>
      <c r="AS152" s="1521">
        <v>8.5</v>
      </c>
      <c r="AT152" s="1528">
        <f t="shared" si="124"/>
        <v>1</v>
      </c>
      <c r="AU152" s="349"/>
      <c r="AV152" s="1518"/>
    </row>
    <row r="153" spans="1:48" s="140" customFormat="1" ht="17" hidden="1" customHeight="1">
      <c r="B153" s="1800"/>
      <c r="C153" s="1537" t="s">
        <v>121</v>
      </c>
      <c r="D153" s="1466" t="s">
        <v>901</v>
      </c>
      <c r="E153" s="1467" t="s">
        <v>903</v>
      </c>
      <c r="F153" s="1468" t="s">
        <v>952</v>
      </c>
      <c r="G153" s="937"/>
      <c r="H153" s="806">
        <v>45810</v>
      </c>
      <c r="I153" s="1541">
        <v>46142</v>
      </c>
      <c r="J153" s="1617"/>
      <c r="K153" s="1616"/>
      <c r="L153" s="1616"/>
      <c r="M153" s="1616"/>
      <c r="N153" s="1616"/>
      <c r="O153" s="1616"/>
      <c r="P153" s="1616"/>
      <c r="Q153" s="1616"/>
      <c r="R153" s="1616"/>
      <c r="S153" s="1611">
        <v>1</v>
      </c>
      <c r="T153" s="556">
        <f t="shared" ref="T153:T154" si="157">$T$1*S153</f>
        <v>0.6</v>
      </c>
      <c r="U153" s="1611">
        <v>1</v>
      </c>
      <c r="V153" s="1611"/>
      <c r="W153" s="1611">
        <v>1</v>
      </c>
      <c r="X153" s="1611"/>
      <c r="Y153" s="1611">
        <v>1</v>
      </c>
      <c r="Z153" s="1611"/>
      <c r="AA153" s="1611">
        <v>1</v>
      </c>
      <c r="AB153" s="1611"/>
      <c r="AC153" s="1611">
        <v>1</v>
      </c>
      <c r="AD153" s="1611"/>
      <c r="AE153" s="1611">
        <v>1</v>
      </c>
      <c r="AF153" s="1611"/>
      <c r="AG153" s="1611">
        <v>1</v>
      </c>
      <c r="AH153" s="1611"/>
      <c r="AI153" s="1611">
        <v>1</v>
      </c>
      <c r="AJ153" s="1611"/>
      <c r="AK153" s="1611">
        <v>1</v>
      </c>
      <c r="AL153" s="1611"/>
      <c r="AM153" s="1611">
        <v>1</v>
      </c>
      <c r="AN153" s="25"/>
      <c r="AO153" s="721">
        <f t="shared" si="132"/>
        <v>11</v>
      </c>
      <c r="AP153" s="722">
        <f t="shared" si="133"/>
        <v>0.6</v>
      </c>
      <c r="AQ153" s="1035">
        <f t="shared" si="134"/>
        <v>10.4</v>
      </c>
      <c r="AR153" s="1039"/>
      <c r="AS153" s="1521">
        <v>11</v>
      </c>
      <c r="AT153" s="1528">
        <f t="shared" si="124"/>
        <v>0</v>
      </c>
      <c r="AU153" s="349"/>
      <c r="AV153" s="1518"/>
    </row>
    <row r="154" spans="1:48" s="863" customFormat="1" ht="17" hidden="1" customHeight="1">
      <c r="A154" s="140"/>
      <c r="B154" s="1800"/>
      <c r="C154" s="1537" t="s">
        <v>121</v>
      </c>
      <c r="D154" s="1467" t="s">
        <v>899</v>
      </c>
      <c r="E154" s="1467" t="s">
        <v>903</v>
      </c>
      <c r="F154" s="1468" t="s">
        <v>917</v>
      </c>
      <c r="G154" s="1006"/>
      <c r="H154" s="810">
        <v>45677</v>
      </c>
      <c r="I154" s="1541">
        <v>46142</v>
      </c>
      <c r="J154" s="1617"/>
      <c r="K154" s="1611"/>
      <c r="L154" s="1611"/>
      <c r="M154" s="1611"/>
      <c r="N154" s="1611"/>
      <c r="O154" s="1611"/>
      <c r="P154" s="1611"/>
      <c r="Q154" s="1611"/>
      <c r="R154" s="1611"/>
      <c r="S154" s="1611">
        <v>1</v>
      </c>
      <c r="T154" s="556">
        <f t="shared" si="157"/>
        <v>0.6</v>
      </c>
      <c r="U154" s="1611">
        <v>1</v>
      </c>
      <c r="V154" s="1611"/>
      <c r="W154" s="1611">
        <v>1</v>
      </c>
      <c r="X154" s="1611"/>
      <c r="Y154" s="1611">
        <v>1</v>
      </c>
      <c r="Z154" s="1611"/>
      <c r="AA154" s="1611">
        <v>1</v>
      </c>
      <c r="AB154" s="1611"/>
      <c r="AC154" s="1611">
        <v>1</v>
      </c>
      <c r="AD154" s="1611"/>
      <c r="AE154" s="1611">
        <v>1</v>
      </c>
      <c r="AF154" s="1611"/>
      <c r="AG154" s="1611">
        <v>1</v>
      </c>
      <c r="AH154" s="1611"/>
      <c r="AI154" s="1611">
        <v>1</v>
      </c>
      <c r="AJ154" s="1611"/>
      <c r="AK154" s="1611">
        <v>1</v>
      </c>
      <c r="AL154" s="1611"/>
      <c r="AM154" s="1611">
        <v>1</v>
      </c>
      <c r="AN154" s="25"/>
      <c r="AO154" s="1593">
        <f t="shared" ref="AO154:AO155" si="158">+K154+M154+O154+Q154+S154+U154+W154+Y154+AA154+AC154+AE154+AG154+AI154+AK154+AM154</f>
        <v>11</v>
      </c>
      <c r="AP154" s="1032">
        <f t="shared" ref="AP154:AP155" si="159">+L154+N154+P154+R154+T154+V154+X154+Z154+AB154+AD154+AF154+AH154+AJ154+AL154+AN154</f>
        <v>0.6</v>
      </c>
      <c r="AQ154" s="1036">
        <f t="shared" ref="AQ154:AQ155" si="160">AO154-AP154</f>
        <v>10.4</v>
      </c>
      <c r="AR154" s="1039"/>
      <c r="AS154" s="1521">
        <v>11</v>
      </c>
      <c r="AT154" s="1528">
        <f t="shared" si="124"/>
        <v>0</v>
      </c>
      <c r="AU154" s="140"/>
    </row>
    <row r="155" spans="1:48" s="863" customFormat="1" ht="17" hidden="1" customHeight="1" thickBot="1">
      <c r="A155" s="140"/>
      <c r="B155" s="1800"/>
      <c r="C155" s="1538" t="s">
        <v>121</v>
      </c>
      <c r="D155" s="1539" t="s">
        <v>918</v>
      </c>
      <c r="E155" s="1539" t="s">
        <v>903</v>
      </c>
      <c r="F155" s="1540" t="s">
        <v>953</v>
      </c>
      <c r="G155" s="956"/>
      <c r="H155" s="1542">
        <v>45853</v>
      </c>
      <c r="I155" s="1571">
        <v>46112</v>
      </c>
      <c r="J155" s="360"/>
      <c r="K155" s="1618"/>
      <c r="L155" s="1618"/>
      <c r="M155" s="1618"/>
      <c r="N155" s="1618"/>
      <c r="O155" s="1618"/>
      <c r="P155" s="1618"/>
      <c r="Q155" s="1618"/>
      <c r="R155" s="1618"/>
      <c r="S155" s="1619"/>
      <c r="T155" s="1619"/>
      <c r="U155" s="1619">
        <v>0.5</v>
      </c>
      <c r="V155" s="1619"/>
      <c r="W155" s="1619">
        <v>1</v>
      </c>
      <c r="X155" s="1619"/>
      <c r="Y155" s="1619">
        <v>1</v>
      </c>
      <c r="Z155" s="1619"/>
      <c r="AA155" s="1619">
        <v>1</v>
      </c>
      <c r="AB155" s="1619"/>
      <c r="AC155" s="1619">
        <v>1</v>
      </c>
      <c r="AD155" s="1619"/>
      <c r="AE155" s="1619">
        <v>1</v>
      </c>
      <c r="AF155" s="1619"/>
      <c r="AG155" s="1619">
        <v>1</v>
      </c>
      <c r="AH155" s="1619"/>
      <c r="AI155" s="1619">
        <v>1</v>
      </c>
      <c r="AJ155" s="1619"/>
      <c r="AK155" s="1619">
        <v>1</v>
      </c>
      <c r="AL155" s="1619"/>
      <c r="AM155" s="1619">
        <v>1</v>
      </c>
      <c r="AN155" s="122"/>
      <c r="AO155" s="1593">
        <f t="shared" si="158"/>
        <v>9.5</v>
      </c>
      <c r="AP155" s="1032">
        <f t="shared" si="159"/>
        <v>0</v>
      </c>
      <c r="AQ155" s="1036">
        <f t="shared" si="160"/>
        <v>9.5</v>
      </c>
      <c r="AR155" s="1039"/>
      <c r="AS155" s="1521">
        <v>8.5</v>
      </c>
      <c r="AT155" s="1528">
        <f t="shared" si="124"/>
        <v>1</v>
      </c>
      <c r="AU155" s="140"/>
    </row>
    <row r="156" spans="1:48" s="150" customFormat="1" ht="17" hidden="1" customHeight="1">
      <c r="A156" s="140"/>
      <c r="B156" s="1800"/>
      <c r="C156" s="169" t="s">
        <v>508</v>
      </c>
      <c r="D156" s="31" t="s">
        <v>13</v>
      </c>
      <c r="E156" s="784" t="s">
        <v>58</v>
      </c>
      <c r="F156" s="32" t="s">
        <v>359</v>
      </c>
      <c r="G156" s="784"/>
      <c r="H156" s="774">
        <v>45677</v>
      </c>
      <c r="I156" s="1572">
        <v>46127</v>
      </c>
      <c r="J156" s="28"/>
      <c r="K156" s="28">
        <v>1</v>
      </c>
      <c r="L156" s="28">
        <v>1</v>
      </c>
      <c r="M156" s="28">
        <v>1</v>
      </c>
      <c r="N156" s="28">
        <f t="shared" ref="N156:N235" si="161">M156*N$1</f>
        <v>1</v>
      </c>
      <c r="O156" s="28">
        <v>1</v>
      </c>
      <c r="P156" s="28">
        <f t="shared" ref="P156:P164" si="162">$P$1*O156</f>
        <v>1</v>
      </c>
      <c r="Q156" s="28">
        <v>1</v>
      </c>
      <c r="R156" s="28">
        <f>$Q$1*Q156</f>
        <v>1</v>
      </c>
      <c r="S156" s="28">
        <v>1</v>
      </c>
      <c r="T156" s="28">
        <f t="shared" ref="T156:T163" si="163">$T$1*S156</f>
        <v>0.6</v>
      </c>
      <c r="U156" s="28">
        <v>1</v>
      </c>
      <c r="V156" s="28"/>
      <c r="W156" s="28">
        <v>1</v>
      </c>
      <c r="X156" s="28"/>
      <c r="Y156" s="28">
        <v>1</v>
      </c>
      <c r="Z156" s="28"/>
      <c r="AA156" s="28">
        <v>1</v>
      </c>
      <c r="AB156" s="28"/>
      <c r="AC156" s="28">
        <v>1</v>
      </c>
      <c r="AD156" s="28"/>
      <c r="AE156" s="28">
        <v>1</v>
      </c>
      <c r="AF156" s="28"/>
      <c r="AG156" s="28">
        <v>1</v>
      </c>
      <c r="AH156" s="28"/>
      <c r="AI156" s="28">
        <v>1</v>
      </c>
      <c r="AJ156" s="28"/>
      <c r="AK156" s="28">
        <v>1</v>
      </c>
      <c r="AL156" s="28"/>
      <c r="AM156" s="28">
        <v>0.5</v>
      </c>
      <c r="AN156" s="28"/>
      <c r="AO156" s="1665">
        <f t="shared" si="132"/>
        <v>14.5</v>
      </c>
      <c r="AP156" s="722">
        <f t="shared" si="133"/>
        <v>4.5999999999999996</v>
      </c>
      <c r="AQ156" s="1035">
        <f t="shared" si="134"/>
        <v>9.9</v>
      </c>
      <c r="AR156" s="1039" t="s">
        <v>1018</v>
      </c>
      <c r="AS156" s="1521">
        <v>14.5</v>
      </c>
      <c r="AT156" s="349"/>
      <c r="AU156" s="349"/>
    </row>
    <row r="157" spans="1:48" s="150" customFormat="1" ht="17" hidden="1" customHeight="1">
      <c r="A157" s="140"/>
      <c r="B157" s="1800"/>
      <c r="C157" s="169" t="s">
        <v>508</v>
      </c>
      <c r="D157" s="31" t="s">
        <v>13</v>
      </c>
      <c r="E157" s="937" t="s">
        <v>58</v>
      </c>
      <c r="F157" s="32" t="s">
        <v>659</v>
      </c>
      <c r="G157" s="937"/>
      <c r="H157" s="775">
        <v>45789</v>
      </c>
      <c r="I157" s="1573">
        <v>45839</v>
      </c>
      <c r="J157" s="28"/>
      <c r="K157" s="28"/>
      <c r="L157" s="28"/>
      <c r="M157" s="28"/>
      <c r="N157" s="28"/>
      <c r="O157" s="28"/>
      <c r="P157" s="28"/>
      <c r="Q157" s="28">
        <v>0.7</v>
      </c>
      <c r="R157" s="28">
        <f>$Q$1*Q157</f>
        <v>0.7</v>
      </c>
      <c r="S157" s="28">
        <v>1</v>
      </c>
      <c r="T157" s="28">
        <f t="shared" si="163"/>
        <v>0.6</v>
      </c>
      <c r="U157" s="28">
        <v>1</v>
      </c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1665">
        <f t="shared" ref="AO157" si="164">+K157+M157+O157+Q157+S157+U157+W157+Y157+AA157+AC157+AE157+AG157+AI157+AK157+AM157</f>
        <v>2.7</v>
      </c>
      <c r="AP157" s="722">
        <f t="shared" ref="AP157" si="165">+L157+N157+P157+R157+T157+V157+X157+Z157+AB157+AD157+AF157+AH157+AJ157+AL157+AN157</f>
        <v>1.2999999999999998</v>
      </c>
      <c r="AQ157" s="1035">
        <f t="shared" ref="AQ157" si="166">AO157-AP157</f>
        <v>1.4000000000000004</v>
      </c>
      <c r="AR157" s="1039" t="s">
        <v>1017</v>
      </c>
      <c r="AS157" s="1521">
        <v>2.7</v>
      </c>
      <c r="AT157" s="349"/>
      <c r="AU157" s="349"/>
    </row>
    <row r="158" spans="1:48" s="150" customFormat="1" ht="17" hidden="1" customHeight="1">
      <c r="A158" s="140"/>
      <c r="B158" s="1800"/>
      <c r="C158" s="177" t="s">
        <v>190</v>
      </c>
      <c r="D158" s="63" t="s">
        <v>13</v>
      </c>
      <c r="E158" s="1561" t="s">
        <v>58</v>
      </c>
      <c r="F158" s="1568" t="s">
        <v>360</v>
      </c>
      <c r="G158" s="1561"/>
      <c r="H158" s="735">
        <v>45677</v>
      </c>
      <c r="I158" s="1573">
        <v>45838</v>
      </c>
      <c r="J158" s="28"/>
      <c r="K158" s="28">
        <v>1</v>
      </c>
      <c r="L158" s="28">
        <v>1</v>
      </c>
      <c r="M158" s="28">
        <v>1</v>
      </c>
      <c r="N158" s="28">
        <f t="shared" si="161"/>
        <v>1</v>
      </c>
      <c r="O158" s="28">
        <v>1</v>
      </c>
      <c r="P158" s="28">
        <f t="shared" si="162"/>
        <v>1</v>
      </c>
      <c r="Q158" s="28">
        <v>1</v>
      </c>
      <c r="R158" s="28">
        <f t="shared" ref="R158:R164" si="167">$Q$1*Q158</f>
        <v>1</v>
      </c>
      <c r="S158" s="28">
        <v>1</v>
      </c>
      <c r="T158" s="28">
        <f t="shared" si="163"/>
        <v>0.6</v>
      </c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1667">
        <f t="shared" si="132"/>
        <v>5</v>
      </c>
      <c r="AP158" s="1044">
        <f t="shared" si="133"/>
        <v>4.5999999999999996</v>
      </c>
      <c r="AQ158" s="1045">
        <f t="shared" si="134"/>
        <v>0.40000000000000036</v>
      </c>
      <c r="AR158" s="1046" t="s">
        <v>1017</v>
      </c>
      <c r="AS158" s="1521">
        <v>5</v>
      </c>
      <c r="AT158" s="349"/>
      <c r="AU158" s="349"/>
    </row>
    <row r="159" spans="1:48" s="150" customFormat="1" ht="17" hidden="1" customHeight="1">
      <c r="A159" s="140"/>
      <c r="B159" s="1800"/>
      <c r="C159" s="73" t="s">
        <v>1011</v>
      </c>
      <c r="D159" s="31" t="s">
        <v>1003</v>
      </c>
      <c r="E159" s="937" t="s">
        <v>1004</v>
      </c>
      <c r="F159" s="32" t="s">
        <v>1033</v>
      </c>
      <c r="G159" s="937"/>
      <c r="H159" s="775">
        <v>45817</v>
      </c>
      <c r="I159" s="1573">
        <v>46096</v>
      </c>
      <c r="J159" s="28"/>
      <c r="K159" s="28"/>
      <c r="L159" s="28"/>
      <c r="M159" s="28"/>
      <c r="N159" s="28"/>
      <c r="O159" s="28"/>
      <c r="P159" s="28"/>
      <c r="Q159" s="28"/>
      <c r="R159" s="28"/>
      <c r="S159" s="28">
        <v>0.75</v>
      </c>
      <c r="T159" s="28">
        <f t="shared" si="163"/>
        <v>0.44999999999999996</v>
      </c>
      <c r="U159" s="28">
        <v>0</v>
      </c>
      <c r="V159" s="28"/>
      <c r="W159" s="28">
        <v>0</v>
      </c>
      <c r="X159" s="28"/>
      <c r="Y159" s="28">
        <v>0</v>
      </c>
      <c r="Z159" s="28"/>
      <c r="AA159" s="28">
        <v>0</v>
      </c>
      <c r="AB159" s="28"/>
      <c r="AC159" s="28">
        <v>0</v>
      </c>
      <c r="AD159" s="28"/>
      <c r="AE159" s="28">
        <v>0</v>
      </c>
      <c r="AF159" s="28"/>
      <c r="AG159" s="28">
        <v>0</v>
      </c>
      <c r="AH159" s="28"/>
      <c r="AI159" s="28">
        <v>0</v>
      </c>
      <c r="AJ159" s="28"/>
      <c r="AK159" s="28">
        <v>0</v>
      </c>
      <c r="AL159" s="28"/>
      <c r="AM159" s="28"/>
      <c r="AN159" s="28"/>
      <c r="AO159" s="1576">
        <f t="shared" ref="AO159:AO163" si="168">+K159+M159+O159+Q159+S159+U159+W159+Y159+AA159+AC159+AE159+AG159+AI159+AK159+AM159</f>
        <v>0.75</v>
      </c>
      <c r="AP159" s="1044">
        <f t="shared" ref="AP159:AP163" si="169">+L159+N159+P159+R159+T159+V159+X159+Z159+AB159+AD159+AF159+AH159+AJ159+AL159+AN159</f>
        <v>0.44999999999999996</v>
      </c>
      <c r="AQ159" s="1045">
        <f t="shared" ref="AQ159:AQ163" si="170">AO159-AP159</f>
        <v>0.30000000000000004</v>
      </c>
      <c r="AR159" s="1560"/>
      <c r="AS159" s="1521"/>
      <c r="AT159" s="349"/>
      <c r="AU159" s="349"/>
    </row>
    <row r="160" spans="1:48" s="150" customFormat="1" ht="17" hidden="1" customHeight="1">
      <c r="A160" s="140"/>
      <c r="B160" s="1800"/>
      <c r="C160" s="73" t="s">
        <v>1011</v>
      </c>
      <c r="D160" s="31" t="s">
        <v>1003</v>
      </c>
      <c r="E160" s="937" t="s">
        <v>1004</v>
      </c>
      <c r="F160" s="32" t="s">
        <v>1034</v>
      </c>
      <c r="G160" s="937"/>
      <c r="H160" s="775">
        <v>45817</v>
      </c>
      <c r="I160" s="1573">
        <v>46096</v>
      </c>
      <c r="J160" s="28"/>
      <c r="K160" s="28"/>
      <c r="L160" s="28"/>
      <c r="M160" s="28"/>
      <c r="N160" s="28"/>
      <c r="O160" s="28"/>
      <c r="P160" s="28"/>
      <c r="Q160" s="28"/>
      <c r="R160" s="28"/>
      <c r="S160" s="28">
        <v>0.75</v>
      </c>
      <c r="T160" s="28">
        <f t="shared" si="163"/>
        <v>0.44999999999999996</v>
      </c>
      <c r="U160" s="28">
        <v>1</v>
      </c>
      <c r="V160" s="28"/>
      <c r="W160" s="28">
        <v>1</v>
      </c>
      <c r="X160" s="28"/>
      <c r="Y160" s="28">
        <v>1</v>
      </c>
      <c r="Z160" s="28"/>
      <c r="AA160" s="28">
        <v>1</v>
      </c>
      <c r="AB160" s="28"/>
      <c r="AC160" s="28">
        <v>1</v>
      </c>
      <c r="AD160" s="28"/>
      <c r="AE160" s="28">
        <v>0.2</v>
      </c>
      <c r="AF160" s="28"/>
      <c r="AG160" s="28"/>
      <c r="AH160" s="28"/>
      <c r="AI160" s="28"/>
      <c r="AJ160" s="28"/>
      <c r="AK160" s="28"/>
      <c r="AL160" s="28"/>
      <c r="AM160" s="28"/>
      <c r="AN160" s="28"/>
      <c r="AO160" s="1576">
        <f t="shared" si="168"/>
        <v>5.95</v>
      </c>
      <c r="AP160" s="1044">
        <f t="shared" si="169"/>
        <v>0.44999999999999996</v>
      </c>
      <c r="AQ160" s="1045">
        <f t="shared" si="170"/>
        <v>5.5</v>
      </c>
      <c r="AR160" s="1560"/>
      <c r="AS160" s="1521"/>
      <c r="AT160" s="349"/>
      <c r="AU160" s="349"/>
    </row>
    <row r="161" spans="1:47" s="150" customFormat="1" ht="17" hidden="1" customHeight="1">
      <c r="A161" s="140"/>
      <c r="B161" s="1800"/>
      <c r="C161" s="73" t="s">
        <v>1011</v>
      </c>
      <c r="D161" s="31" t="s">
        <v>1003</v>
      </c>
      <c r="E161" s="937" t="s">
        <v>1004</v>
      </c>
      <c r="F161" s="32" t="s">
        <v>1035</v>
      </c>
      <c r="G161" s="937"/>
      <c r="H161" s="775">
        <v>45817</v>
      </c>
      <c r="I161" s="1573">
        <v>46096</v>
      </c>
      <c r="J161" s="28"/>
      <c r="K161" s="28"/>
      <c r="L161" s="28"/>
      <c r="M161" s="28"/>
      <c r="N161" s="28"/>
      <c r="O161" s="28"/>
      <c r="P161" s="28"/>
      <c r="Q161" s="28"/>
      <c r="R161" s="28"/>
      <c r="S161" s="28">
        <v>0.75</v>
      </c>
      <c r="T161" s="28">
        <f t="shared" si="163"/>
        <v>0.44999999999999996</v>
      </c>
      <c r="U161" s="28">
        <v>1</v>
      </c>
      <c r="V161" s="28"/>
      <c r="W161" s="28">
        <v>1</v>
      </c>
      <c r="X161" s="28"/>
      <c r="Y161" s="28">
        <v>1</v>
      </c>
      <c r="Z161" s="28"/>
      <c r="AA161" s="28">
        <v>1</v>
      </c>
      <c r="AB161" s="28"/>
      <c r="AC161" s="28">
        <v>1</v>
      </c>
      <c r="AD161" s="28"/>
      <c r="AE161" s="28">
        <v>1</v>
      </c>
      <c r="AF161" s="28"/>
      <c r="AG161" s="28"/>
      <c r="AH161" s="28"/>
      <c r="AI161" s="28"/>
      <c r="AJ161" s="28"/>
      <c r="AK161" s="28"/>
      <c r="AL161" s="28"/>
      <c r="AM161" s="28"/>
      <c r="AN161" s="28"/>
      <c r="AO161" s="1576">
        <f t="shared" si="168"/>
        <v>6.75</v>
      </c>
      <c r="AP161" s="1044">
        <f t="shared" si="169"/>
        <v>0.44999999999999996</v>
      </c>
      <c r="AQ161" s="1045">
        <f t="shared" si="170"/>
        <v>6.3</v>
      </c>
      <c r="AR161" s="1560"/>
      <c r="AS161" s="1521"/>
      <c r="AT161" s="349"/>
      <c r="AU161" s="349"/>
    </row>
    <row r="162" spans="1:47" s="150" customFormat="1" ht="17" hidden="1" customHeight="1">
      <c r="A162" s="140"/>
      <c r="B162" s="1800"/>
      <c r="C162" s="73" t="s">
        <v>1011</v>
      </c>
      <c r="D162" s="31" t="s">
        <v>1003</v>
      </c>
      <c r="E162" s="937" t="s">
        <v>1004</v>
      </c>
      <c r="F162" s="32" t="s">
        <v>1036</v>
      </c>
      <c r="G162" s="937"/>
      <c r="H162" s="775">
        <v>45817</v>
      </c>
      <c r="I162" s="1573">
        <v>46096</v>
      </c>
      <c r="J162" s="28"/>
      <c r="K162" s="28"/>
      <c r="L162" s="28"/>
      <c r="M162" s="28"/>
      <c r="N162" s="28"/>
      <c r="O162" s="28"/>
      <c r="P162" s="28"/>
      <c r="Q162" s="28"/>
      <c r="R162" s="28"/>
      <c r="S162" s="28">
        <v>0.75</v>
      </c>
      <c r="T162" s="28">
        <f t="shared" si="163"/>
        <v>0.44999999999999996</v>
      </c>
      <c r="U162" s="28">
        <v>1</v>
      </c>
      <c r="V162" s="28"/>
      <c r="W162" s="28">
        <v>1</v>
      </c>
      <c r="X162" s="28"/>
      <c r="Y162" s="28">
        <v>1</v>
      </c>
      <c r="Z162" s="28"/>
      <c r="AA162" s="28">
        <v>1</v>
      </c>
      <c r="AB162" s="28"/>
      <c r="AC162" s="28">
        <v>1</v>
      </c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1576">
        <f t="shared" si="168"/>
        <v>5.75</v>
      </c>
      <c r="AP162" s="1044">
        <f t="shared" si="169"/>
        <v>0.44999999999999996</v>
      </c>
      <c r="AQ162" s="1045">
        <f t="shared" si="170"/>
        <v>5.3</v>
      </c>
      <c r="AR162" s="1560"/>
      <c r="AS162" s="1521"/>
      <c r="AT162" s="349"/>
      <c r="AU162" s="349"/>
    </row>
    <row r="163" spans="1:47" s="150" customFormat="1" ht="17" hidden="1" customHeight="1" thickBot="1">
      <c r="A163" s="140"/>
      <c r="B163" s="1800"/>
      <c r="C163" s="73" t="s">
        <v>1011</v>
      </c>
      <c r="D163" s="31" t="s">
        <v>1003</v>
      </c>
      <c r="E163" s="937" t="s">
        <v>1004</v>
      </c>
      <c r="F163" s="32" t="s">
        <v>1037</v>
      </c>
      <c r="G163" s="937"/>
      <c r="H163" s="775">
        <v>45817</v>
      </c>
      <c r="I163" s="1573">
        <v>46096</v>
      </c>
      <c r="J163" s="28"/>
      <c r="K163" s="28"/>
      <c r="L163" s="28"/>
      <c r="M163" s="28"/>
      <c r="N163" s="28"/>
      <c r="O163" s="28"/>
      <c r="P163" s="28"/>
      <c r="Q163" s="28"/>
      <c r="R163" s="28"/>
      <c r="S163" s="28">
        <v>0.75</v>
      </c>
      <c r="T163" s="28">
        <f t="shared" si="163"/>
        <v>0.44999999999999996</v>
      </c>
      <c r="U163" s="28">
        <v>1</v>
      </c>
      <c r="V163" s="28"/>
      <c r="W163" s="28">
        <v>1</v>
      </c>
      <c r="X163" s="28"/>
      <c r="Y163" s="28">
        <v>1</v>
      </c>
      <c r="Z163" s="28"/>
      <c r="AA163" s="28">
        <v>1</v>
      </c>
      <c r="AB163" s="28"/>
      <c r="AC163" s="28">
        <v>1</v>
      </c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1576">
        <f t="shared" si="168"/>
        <v>5.75</v>
      </c>
      <c r="AP163" s="1044">
        <f t="shared" si="169"/>
        <v>0.44999999999999996</v>
      </c>
      <c r="AQ163" s="1045">
        <f t="shared" si="170"/>
        <v>5.3</v>
      </c>
      <c r="AR163" s="1560"/>
      <c r="AS163" s="1521"/>
      <c r="AT163" s="349"/>
      <c r="AU163" s="349"/>
    </row>
    <row r="164" spans="1:47" s="150" customFormat="1" ht="17" hidden="1" customHeight="1" thickBot="1">
      <c r="A164" s="140"/>
      <c r="B164" s="1800"/>
      <c r="C164" s="271" t="s">
        <v>190</v>
      </c>
      <c r="D164" s="1762" t="s">
        <v>19</v>
      </c>
      <c r="E164" s="1763" t="s">
        <v>58</v>
      </c>
      <c r="F164" s="1764" t="s">
        <v>358</v>
      </c>
      <c r="G164" s="1763" t="s">
        <v>871</v>
      </c>
      <c r="H164" s="1765">
        <v>45726</v>
      </c>
      <c r="I164" s="1766">
        <v>45800</v>
      </c>
      <c r="J164" s="28"/>
      <c r="K164" s="28"/>
      <c r="L164" s="28"/>
      <c r="M164" s="357">
        <v>0.7</v>
      </c>
      <c r="N164" s="28">
        <f t="shared" si="161"/>
        <v>0.7</v>
      </c>
      <c r="O164" s="28">
        <v>1</v>
      </c>
      <c r="P164" s="28">
        <f t="shared" si="162"/>
        <v>1</v>
      </c>
      <c r="Q164" s="28">
        <v>0.8</v>
      </c>
      <c r="R164" s="28">
        <f t="shared" si="167"/>
        <v>0.8</v>
      </c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1668">
        <f t="shared" si="132"/>
        <v>2.5</v>
      </c>
      <c r="AP164" s="512">
        <f t="shared" si="133"/>
        <v>2.5</v>
      </c>
      <c r="AQ164" s="1034">
        <f t="shared" si="134"/>
        <v>0</v>
      </c>
      <c r="AR164" s="1047" t="s">
        <v>1017</v>
      </c>
      <c r="AS164" s="1521">
        <v>2.5</v>
      </c>
      <c r="AT164" s="349"/>
      <c r="AU164" s="349"/>
    </row>
    <row r="165" spans="1:47" s="150" customFormat="1" ht="17" hidden="1" customHeight="1">
      <c r="A165" s="140"/>
      <c r="B165" s="1800"/>
      <c r="C165" s="271" t="s">
        <v>190</v>
      </c>
      <c r="D165" s="137" t="s">
        <v>869</v>
      </c>
      <c r="E165" s="901" t="s">
        <v>58</v>
      </c>
      <c r="F165" s="1569" t="s">
        <v>870</v>
      </c>
      <c r="G165" s="901"/>
      <c r="H165" s="817">
        <v>45803</v>
      </c>
      <c r="I165" s="1574">
        <v>46022</v>
      </c>
      <c r="J165" s="28"/>
      <c r="K165" s="28"/>
      <c r="L165" s="28"/>
      <c r="M165" s="357"/>
      <c r="N165" s="28"/>
      <c r="O165" s="28"/>
      <c r="P165" s="28"/>
      <c r="Q165" s="28">
        <v>0.2</v>
      </c>
      <c r="R165" s="28">
        <f t="shared" ref="R165" si="171">$Q$1*Q165</f>
        <v>0.2</v>
      </c>
      <c r="S165" s="28">
        <v>1</v>
      </c>
      <c r="T165" s="28">
        <f t="shared" ref="T165:T168" si="172">$T$1*S165</f>
        <v>0.6</v>
      </c>
      <c r="U165" s="28">
        <v>1</v>
      </c>
      <c r="V165" s="28"/>
      <c r="W165" s="28">
        <v>1</v>
      </c>
      <c r="X165" s="28"/>
      <c r="Y165" s="28">
        <v>1</v>
      </c>
      <c r="Z165" s="28"/>
      <c r="AA165" s="28">
        <v>1</v>
      </c>
      <c r="AB165" s="28"/>
      <c r="AC165" s="28">
        <v>1</v>
      </c>
      <c r="AD165" s="28"/>
      <c r="AE165" s="28">
        <v>1</v>
      </c>
      <c r="AF165" s="28"/>
      <c r="AG165" s="28"/>
      <c r="AH165" s="28"/>
      <c r="AI165" s="28"/>
      <c r="AJ165" s="28"/>
      <c r="AK165" s="28"/>
      <c r="AL165" s="28"/>
      <c r="AM165" s="28"/>
      <c r="AN165" s="28"/>
      <c r="AO165" s="1668">
        <f t="shared" ref="AO165" si="173">+K165+M165+O165+Q165+S165+U165+W165+Y165+AA165+AC165+AE165+AG165+AI165+AK165+AM165</f>
        <v>7.2</v>
      </c>
      <c r="AP165" s="512">
        <f t="shared" ref="AP165" si="174">+L165+N165+P165+R165+T165+V165+X165+Z165+AB165+AD165+AF165+AH165+AJ165+AL165+AN165</f>
        <v>0.8</v>
      </c>
      <c r="AQ165" s="1034">
        <f t="shared" ref="AQ165" si="175">AO165-AP165</f>
        <v>6.4</v>
      </c>
      <c r="AR165" s="1047" t="s">
        <v>1017</v>
      </c>
      <c r="AS165" s="1666">
        <v>7.2</v>
      </c>
      <c r="AT165" s="349"/>
      <c r="AU165" s="349"/>
    </row>
    <row r="166" spans="1:47" s="150" customFormat="1" ht="17" hidden="1" customHeight="1">
      <c r="A166" s="140"/>
      <c r="B166" s="1800"/>
      <c r="C166" s="169" t="s">
        <v>673</v>
      </c>
      <c r="D166" s="31" t="s">
        <v>19</v>
      </c>
      <c r="E166" s="937" t="s">
        <v>58</v>
      </c>
      <c r="F166" s="1718" t="s">
        <v>625</v>
      </c>
      <c r="G166" s="1714" t="s">
        <v>684</v>
      </c>
      <c r="H166" s="1719">
        <v>45796</v>
      </c>
      <c r="I166" s="1720">
        <v>46022</v>
      </c>
      <c r="J166" s="28"/>
      <c r="K166" s="28"/>
      <c r="L166" s="28"/>
      <c r="M166" s="28"/>
      <c r="N166" s="28"/>
      <c r="O166" s="28"/>
      <c r="P166" s="28"/>
      <c r="Q166" s="1125">
        <v>0</v>
      </c>
      <c r="R166" s="1125">
        <v>1</v>
      </c>
      <c r="S166" s="28">
        <v>1</v>
      </c>
      <c r="T166" s="28">
        <f t="shared" si="172"/>
        <v>0.6</v>
      </c>
      <c r="U166" s="28">
        <v>1</v>
      </c>
      <c r="V166" s="28"/>
      <c r="W166" s="28">
        <v>1</v>
      </c>
      <c r="X166" s="28"/>
      <c r="Y166" s="28">
        <v>1</v>
      </c>
      <c r="Z166" s="28"/>
      <c r="AA166" s="28">
        <v>1</v>
      </c>
      <c r="AB166" s="28"/>
      <c r="AC166" s="28">
        <v>1</v>
      </c>
      <c r="AD166" s="28"/>
      <c r="AE166" s="28">
        <v>1</v>
      </c>
      <c r="AF166" s="28"/>
      <c r="AG166" s="28"/>
      <c r="AH166" s="28"/>
      <c r="AI166" s="28"/>
      <c r="AJ166" s="28"/>
      <c r="AK166" s="28"/>
      <c r="AL166" s="28"/>
      <c r="AM166" s="28"/>
      <c r="AN166" s="28"/>
      <c r="AO166" s="1665">
        <f t="shared" si="132"/>
        <v>7</v>
      </c>
      <c r="AP166" s="722">
        <f t="shared" si="133"/>
        <v>1.6</v>
      </c>
      <c r="AQ166" s="1035">
        <f t="shared" si="134"/>
        <v>5.4</v>
      </c>
      <c r="AR166" s="1039" t="s">
        <v>1019</v>
      </c>
      <c r="AS166" s="1521">
        <v>7</v>
      </c>
      <c r="AT166" s="349"/>
      <c r="AU166" s="349"/>
    </row>
    <row r="167" spans="1:47" s="150" customFormat="1" ht="17" hidden="1" customHeight="1">
      <c r="A167" s="140"/>
      <c r="B167" s="1800"/>
      <c r="C167" s="272" t="s">
        <v>674</v>
      </c>
      <c r="D167" s="31" t="s">
        <v>13</v>
      </c>
      <c r="E167" s="937" t="s">
        <v>58</v>
      </c>
      <c r="F167" s="1718" t="s">
        <v>679</v>
      </c>
      <c r="G167" s="1714" t="s">
        <v>684</v>
      </c>
      <c r="H167" s="1719">
        <v>45796</v>
      </c>
      <c r="I167" s="1720">
        <v>46022</v>
      </c>
      <c r="J167" s="28"/>
      <c r="K167" s="28"/>
      <c r="L167" s="28"/>
      <c r="M167" s="28"/>
      <c r="N167" s="28"/>
      <c r="O167" s="28"/>
      <c r="P167" s="28"/>
      <c r="Q167" s="1125">
        <v>0</v>
      </c>
      <c r="R167" s="1125">
        <v>1</v>
      </c>
      <c r="S167" s="28">
        <v>0.5</v>
      </c>
      <c r="T167" s="28">
        <f t="shared" si="172"/>
        <v>0.3</v>
      </c>
      <c r="U167" s="28">
        <v>1</v>
      </c>
      <c r="V167" s="28"/>
      <c r="W167" s="28">
        <v>1</v>
      </c>
      <c r="X167" s="28"/>
      <c r="Y167" s="28">
        <v>1</v>
      </c>
      <c r="Z167" s="28"/>
      <c r="AA167" s="28">
        <v>1</v>
      </c>
      <c r="AB167" s="28"/>
      <c r="AC167" s="28">
        <v>1</v>
      </c>
      <c r="AD167" s="28"/>
      <c r="AE167" s="28">
        <v>1</v>
      </c>
      <c r="AF167" s="28"/>
      <c r="AG167" s="28"/>
      <c r="AH167" s="28"/>
      <c r="AI167" s="28"/>
      <c r="AJ167" s="28"/>
      <c r="AK167" s="28"/>
      <c r="AL167" s="28"/>
      <c r="AM167" s="28"/>
      <c r="AN167" s="28"/>
      <c r="AO167" s="1665">
        <f t="shared" si="132"/>
        <v>6.5</v>
      </c>
      <c r="AP167" s="722">
        <f t="shared" si="133"/>
        <v>1.3</v>
      </c>
      <c r="AQ167" s="1035">
        <f t="shared" si="134"/>
        <v>5.2</v>
      </c>
      <c r="AR167" s="1039" t="s">
        <v>1017</v>
      </c>
      <c r="AS167" s="1666">
        <v>6.5</v>
      </c>
      <c r="AT167" s="349"/>
      <c r="AU167" s="349"/>
    </row>
    <row r="168" spans="1:47" s="150" customFormat="1" ht="17" hidden="1" customHeight="1">
      <c r="A168" s="140"/>
      <c r="B168" s="1800"/>
      <c r="C168" s="169" t="s">
        <v>193</v>
      </c>
      <c r="D168" s="31" t="s">
        <v>13</v>
      </c>
      <c r="E168" s="937" t="s">
        <v>58</v>
      </c>
      <c r="F168" s="1058" t="s">
        <v>626</v>
      </c>
      <c r="G168" s="937"/>
      <c r="H168" s="775">
        <v>45761</v>
      </c>
      <c r="I168" s="1573">
        <v>45716</v>
      </c>
      <c r="J168" s="28"/>
      <c r="K168" s="28"/>
      <c r="L168" s="28"/>
      <c r="M168" s="28"/>
      <c r="N168" s="28"/>
      <c r="O168" s="1125">
        <v>0</v>
      </c>
      <c r="P168" s="28">
        <v>0.5</v>
      </c>
      <c r="Q168" s="28">
        <v>0.5</v>
      </c>
      <c r="R168" s="28">
        <f t="shared" ref="R168:R177" si="176">$Q$1*Q168</f>
        <v>0.5</v>
      </c>
      <c r="S168" s="28">
        <v>1</v>
      </c>
      <c r="T168" s="28">
        <f t="shared" si="172"/>
        <v>0.6</v>
      </c>
      <c r="U168" s="28">
        <v>1</v>
      </c>
      <c r="V168" s="28"/>
      <c r="W168" s="28">
        <v>1</v>
      </c>
      <c r="X168" s="28"/>
      <c r="Y168" s="28">
        <v>1</v>
      </c>
      <c r="Z168" s="28"/>
      <c r="AA168" s="28">
        <v>1</v>
      </c>
      <c r="AB168" s="28"/>
      <c r="AC168" s="28">
        <v>1</v>
      </c>
      <c r="AD168" s="28"/>
      <c r="AE168" s="28">
        <v>1</v>
      </c>
      <c r="AF168" s="28"/>
      <c r="AG168" s="28">
        <v>1</v>
      </c>
      <c r="AH168" s="28"/>
      <c r="AI168" s="28">
        <v>0.3</v>
      </c>
      <c r="AJ168" s="28"/>
      <c r="AK168" s="28"/>
      <c r="AL168" s="28"/>
      <c r="AM168" s="28"/>
      <c r="AN168" s="28"/>
      <c r="AO168" s="1665">
        <f t="shared" si="132"/>
        <v>8.8000000000000007</v>
      </c>
      <c r="AP168" s="722">
        <f t="shared" si="133"/>
        <v>1.6</v>
      </c>
      <c r="AQ168" s="1035">
        <f t="shared" si="134"/>
        <v>7.2000000000000011</v>
      </c>
      <c r="AR168" s="1039" t="s">
        <v>1017</v>
      </c>
      <c r="AS168" s="1521">
        <v>8.8000000000000007</v>
      </c>
      <c r="AT168" s="349"/>
      <c r="AU168" s="349"/>
    </row>
    <row r="169" spans="1:47" s="150" customFormat="1" ht="17" hidden="1" customHeight="1">
      <c r="A169" s="140"/>
      <c r="B169" s="1800"/>
      <c r="C169" s="169" t="s">
        <v>193</v>
      </c>
      <c r="D169" s="1767" t="s">
        <v>19</v>
      </c>
      <c r="E169" s="1739" t="s">
        <v>58</v>
      </c>
      <c r="F169" s="1768" t="s">
        <v>583</v>
      </c>
      <c r="G169" s="1739" t="s">
        <v>672</v>
      </c>
      <c r="H169" s="1769">
        <v>45726</v>
      </c>
      <c r="I169" s="1770">
        <v>45793</v>
      </c>
      <c r="J169" s="28"/>
      <c r="K169" s="28"/>
      <c r="L169" s="28"/>
      <c r="M169" s="1563">
        <v>0.7</v>
      </c>
      <c r="N169" s="1563">
        <v>0.7</v>
      </c>
      <c r="O169" s="28">
        <v>1</v>
      </c>
      <c r="P169" s="28">
        <f t="shared" ref="P169" si="177">$P$1*O169</f>
        <v>1</v>
      </c>
      <c r="Q169" s="28">
        <v>0.5</v>
      </c>
      <c r="R169" s="28">
        <f t="shared" si="176"/>
        <v>0.5</v>
      </c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1665">
        <f>+K169+M169+O169+Q169+S169+U169+W169+Y169+AA169+AC169+AE169+AG169+AI169+AK169+AM169</f>
        <v>2.2000000000000002</v>
      </c>
      <c r="AP169" s="722">
        <f t="shared" si="133"/>
        <v>2.2000000000000002</v>
      </c>
      <c r="AQ169" s="1035">
        <f t="shared" si="134"/>
        <v>0</v>
      </c>
      <c r="AR169" s="1039" t="s">
        <v>1017</v>
      </c>
      <c r="AS169" s="1521">
        <v>2.2000000000000002</v>
      </c>
      <c r="AT169" s="349"/>
      <c r="AU169" s="349"/>
    </row>
    <row r="170" spans="1:47" s="150" customFormat="1" ht="17" hidden="1" customHeight="1">
      <c r="A170" s="140"/>
      <c r="B170" s="1800"/>
      <c r="C170" s="169" t="s">
        <v>193</v>
      </c>
      <c r="D170" s="31" t="s">
        <v>657</v>
      </c>
      <c r="E170" s="937" t="s">
        <v>58</v>
      </c>
      <c r="F170" s="1718" t="s">
        <v>655</v>
      </c>
      <c r="G170" s="1714" t="s">
        <v>684</v>
      </c>
      <c r="H170" s="1719">
        <v>45785</v>
      </c>
      <c r="I170" s="1720">
        <v>45868</v>
      </c>
      <c r="J170" s="28"/>
      <c r="K170" s="28"/>
      <c r="L170" s="28"/>
      <c r="M170" s="1563"/>
      <c r="N170" s="357"/>
      <c r="O170" s="28"/>
      <c r="P170" s="28"/>
      <c r="Q170" s="28">
        <v>0.7</v>
      </c>
      <c r="R170" s="28">
        <f t="shared" si="176"/>
        <v>0.7</v>
      </c>
      <c r="S170" s="28">
        <v>1</v>
      </c>
      <c r="T170" s="28">
        <f t="shared" ref="T170:T172" si="178">$T$1*S170</f>
        <v>0.6</v>
      </c>
      <c r="U170" s="28">
        <v>1</v>
      </c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1665">
        <f t="shared" ref="AO170:AO176" si="179">+K170+M170+O170+Q170+S170+U170+W170+Y170+AA170+AC170+AE170+AG170+AI170+AK170+AM170</f>
        <v>2.7</v>
      </c>
      <c r="AP170" s="722">
        <f t="shared" ref="AP170:AP176" si="180">+L170+N170+P170+R170+T170+V170+X170+Z170+AB170+AD170+AF170+AH170+AJ170+AL170+AN170</f>
        <v>1.2999999999999998</v>
      </c>
      <c r="AQ170" s="1035">
        <f t="shared" ref="AQ170:AQ176" si="181">AO170-AP170</f>
        <v>1.4000000000000004</v>
      </c>
      <c r="AR170" s="1039" t="s">
        <v>1017</v>
      </c>
      <c r="AS170" s="1521">
        <v>2.7</v>
      </c>
      <c r="AT170" s="427"/>
      <c r="AU170" s="427"/>
    </row>
    <row r="171" spans="1:47" s="150" customFormat="1" ht="17" hidden="1" customHeight="1">
      <c r="A171" s="140"/>
      <c r="B171" s="1800"/>
      <c r="C171" s="177" t="s">
        <v>193</v>
      </c>
      <c r="D171" s="63" t="s">
        <v>658</v>
      </c>
      <c r="E171" s="1561" t="s">
        <v>58</v>
      </c>
      <c r="F171" s="1568" t="s">
        <v>656</v>
      </c>
      <c r="G171" s="937"/>
      <c r="H171" s="735">
        <v>45785</v>
      </c>
      <c r="I171" s="1573">
        <v>46081</v>
      </c>
      <c r="J171" s="28"/>
      <c r="K171" s="28"/>
      <c r="L171" s="28"/>
      <c r="M171" s="1563"/>
      <c r="N171" s="357"/>
      <c r="O171" s="28"/>
      <c r="P171" s="28"/>
      <c r="Q171" s="419">
        <v>0</v>
      </c>
      <c r="R171" s="419">
        <v>1</v>
      </c>
      <c r="S171" s="28">
        <v>1</v>
      </c>
      <c r="T171" s="28">
        <f t="shared" si="178"/>
        <v>0.6</v>
      </c>
      <c r="U171" s="28">
        <v>1</v>
      </c>
      <c r="V171" s="28"/>
      <c r="W171" s="28">
        <v>1</v>
      </c>
      <c r="X171" s="28"/>
      <c r="Y171" s="28">
        <v>1</v>
      </c>
      <c r="Z171" s="28"/>
      <c r="AA171" s="28">
        <v>1</v>
      </c>
      <c r="AB171" s="28"/>
      <c r="AC171" s="28">
        <v>1</v>
      </c>
      <c r="AD171" s="28"/>
      <c r="AE171" s="28">
        <v>1</v>
      </c>
      <c r="AF171" s="28"/>
      <c r="AG171" s="28">
        <v>1</v>
      </c>
      <c r="AH171" s="28"/>
      <c r="AI171" s="28">
        <v>1</v>
      </c>
      <c r="AJ171" s="28"/>
      <c r="AK171" s="28"/>
      <c r="AL171" s="28"/>
      <c r="AM171" s="28"/>
      <c r="AN171" s="28"/>
      <c r="AO171" s="1665">
        <f t="shared" si="179"/>
        <v>9</v>
      </c>
      <c r="AP171" s="722">
        <f t="shared" si="180"/>
        <v>1.6</v>
      </c>
      <c r="AQ171" s="1035">
        <f t="shared" si="181"/>
        <v>7.4</v>
      </c>
      <c r="AR171" s="1046" t="s">
        <v>1017</v>
      </c>
      <c r="AS171" s="1521">
        <v>9</v>
      </c>
      <c r="AT171" s="349"/>
      <c r="AU171" s="349"/>
    </row>
    <row r="172" spans="1:47" s="150" customFormat="1" ht="17" hidden="1" customHeight="1">
      <c r="A172" s="140"/>
      <c r="B172" s="1545"/>
      <c r="C172" s="73" t="s">
        <v>1013</v>
      </c>
      <c r="D172" s="31" t="s">
        <v>1006</v>
      </c>
      <c r="E172" s="937" t="s">
        <v>58</v>
      </c>
      <c r="F172" s="32" t="s">
        <v>1007</v>
      </c>
      <c r="G172" s="937"/>
      <c r="H172" s="775">
        <v>45824</v>
      </c>
      <c r="I172" s="1573">
        <v>46326</v>
      </c>
      <c r="J172" s="28"/>
      <c r="K172" s="28"/>
      <c r="L172" s="28"/>
      <c r="M172" s="1563"/>
      <c r="N172" s="357"/>
      <c r="O172" s="28"/>
      <c r="P172" s="28"/>
      <c r="Q172" s="28"/>
      <c r="R172" s="28"/>
      <c r="S172" s="28">
        <v>0.5</v>
      </c>
      <c r="T172" s="28">
        <f t="shared" si="178"/>
        <v>0.3</v>
      </c>
      <c r="U172" s="28">
        <v>1</v>
      </c>
      <c r="V172" s="28"/>
      <c r="W172" s="28">
        <v>1</v>
      </c>
      <c r="X172" s="28"/>
      <c r="Y172" s="28">
        <v>1</v>
      </c>
      <c r="Z172" s="28"/>
      <c r="AA172" s="28">
        <v>0.5</v>
      </c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1665">
        <f t="shared" si="179"/>
        <v>4</v>
      </c>
      <c r="AP172" s="722">
        <f t="shared" si="180"/>
        <v>0.3</v>
      </c>
      <c r="AQ172" s="1035">
        <f t="shared" si="181"/>
        <v>3.7</v>
      </c>
      <c r="AR172" s="1564" t="s">
        <v>1019</v>
      </c>
      <c r="AS172" s="1521">
        <v>5</v>
      </c>
      <c r="AT172" s="349"/>
      <c r="AU172" s="349"/>
    </row>
    <row r="173" spans="1:47" s="150" customFormat="1" ht="17" hidden="1" customHeight="1">
      <c r="A173" s="140"/>
      <c r="B173" s="1545"/>
      <c r="C173" s="73" t="s">
        <v>1012</v>
      </c>
      <c r="D173" s="31" t="s">
        <v>1008</v>
      </c>
      <c r="E173" s="937" t="s">
        <v>58</v>
      </c>
      <c r="F173" s="32" t="s">
        <v>1005</v>
      </c>
      <c r="G173" s="937"/>
      <c r="H173" s="775"/>
      <c r="I173" s="1573"/>
      <c r="J173" s="28"/>
      <c r="K173" s="28"/>
      <c r="L173" s="28"/>
      <c r="M173" s="1563"/>
      <c r="N173" s="357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1562">
        <f t="shared" si="179"/>
        <v>0</v>
      </c>
      <c r="AP173" s="722">
        <f t="shared" si="180"/>
        <v>0</v>
      </c>
      <c r="AQ173" s="1035">
        <f t="shared" si="181"/>
        <v>0</v>
      </c>
      <c r="AR173" s="1564"/>
      <c r="AS173" s="1521"/>
      <c r="AT173" s="349"/>
      <c r="AU173" s="349"/>
    </row>
    <row r="174" spans="1:47" s="150" customFormat="1" ht="17" hidden="1" customHeight="1">
      <c r="A174" s="140"/>
      <c r="B174" s="1545"/>
      <c r="C174" s="73" t="s">
        <v>1009</v>
      </c>
      <c r="D174" s="31" t="s">
        <v>1008</v>
      </c>
      <c r="E174" s="937" t="s">
        <v>58</v>
      </c>
      <c r="F174" s="32" t="s">
        <v>1005</v>
      </c>
      <c r="G174" s="937"/>
      <c r="H174" s="775"/>
      <c r="I174" s="1573"/>
      <c r="J174" s="28"/>
      <c r="K174" s="28"/>
      <c r="L174" s="28"/>
      <c r="M174" s="1563"/>
      <c r="N174" s="357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1562">
        <f t="shared" si="179"/>
        <v>0</v>
      </c>
      <c r="AP174" s="722">
        <f t="shared" si="180"/>
        <v>0</v>
      </c>
      <c r="AQ174" s="1035">
        <f t="shared" si="181"/>
        <v>0</v>
      </c>
      <c r="AR174" s="1564"/>
      <c r="AS174" s="1521"/>
      <c r="AT174" s="349"/>
      <c r="AU174" s="349"/>
    </row>
    <row r="175" spans="1:47" s="150" customFormat="1" ht="17" hidden="1" customHeight="1">
      <c r="A175" s="140"/>
      <c r="B175" s="1545"/>
      <c r="C175" s="73" t="s">
        <v>1010</v>
      </c>
      <c r="D175" s="31" t="s">
        <v>1008</v>
      </c>
      <c r="E175" s="937" t="s">
        <v>58</v>
      </c>
      <c r="F175" s="32" t="s">
        <v>1005</v>
      </c>
      <c r="G175" s="937"/>
      <c r="H175" s="775"/>
      <c r="I175" s="1573"/>
      <c r="J175" s="28"/>
      <c r="K175" s="28"/>
      <c r="L175" s="28"/>
      <c r="M175" s="1563"/>
      <c r="N175" s="357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1562">
        <f t="shared" si="179"/>
        <v>0</v>
      </c>
      <c r="AP175" s="722">
        <f t="shared" si="180"/>
        <v>0</v>
      </c>
      <c r="AQ175" s="1035">
        <f t="shared" si="181"/>
        <v>0</v>
      </c>
      <c r="AR175" s="1564"/>
      <c r="AS175" s="1521"/>
      <c r="AT175" s="349"/>
      <c r="AU175" s="349"/>
    </row>
    <row r="176" spans="1:47" s="150" customFormat="1" ht="17" hidden="1" customHeight="1" thickBot="1">
      <c r="A176" s="140"/>
      <c r="B176" s="1565"/>
      <c r="C176" s="1566" t="s">
        <v>1010</v>
      </c>
      <c r="D176" s="1567" t="s">
        <v>1008</v>
      </c>
      <c r="E176" s="785" t="s">
        <v>58</v>
      </c>
      <c r="F176" s="1570" t="s">
        <v>1005</v>
      </c>
      <c r="G176" s="785"/>
      <c r="H176" s="1022"/>
      <c r="I176" s="1575"/>
      <c r="J176" s="28"/>
      <c r="K176" s="28"/>
      <c r="L176" s="28"/>
      <c r="M176" s="1563"/>
      <c r="N176" s="357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1562">
        <f t="shared" si="179"/>
        <v>0</v>
      </c>
      <c r="AP176" s="722">
        <f t="shared" si="180"/>
        <v>0</v>
      </c>
      <c r="AQ176" s="1035">
        <f t="shared" si="181"/>
        <v>0</v>
      </c>
      <c r="AR176" s="1564"/>
      <c r="AS176" s="1521"/>
      <c r="AT176" s="349"/>
      <c r="AU176" s="349"/>
    </row>
    <row r="177" spans="1:47" s="150" customFormat="1" ht="17" hidden="1" customHeight="1">
      <c r="A177" s="140"/>
      <c r="B177" s="1095"/>
      <c r="C177" s="271" t="s">
        <v>418</v>
      </c>
      <c r="D177" s="1771" t="s">
        <v>19</v>
      </c>
      <c r="E177" s="1771" t="s">
        <v>603</v>
      </c>
      <c r="F177" s="1772" t="s">
        <v>627</v>
      </c>
      <c r="G177" s="1763" t="s">
        <v>688</v>
      </c>
      <c r="H177" s="1773">
        <v>45762</v>
      </c>
      <c r="I177" s="1765">
        <v>45791</v>
      </c>
      <c r="J177" s="366"/>
      <c r="K177" s="53"/>
      <c r="L177" s="53"/>
      <c r="M177" s="53"/>
      <c r="N177" s="383"/>
      <c r="O177" s="52">
        <v>0.5</v>
      </c>
      <c r="P177" s="53">
        <v>0.25</v>
      </c>
      <c r="Q177" s="53">
        <v>0.5</v>
      </c>
      <c r="R177" s="383">
        <f t="shared" si="176"/>
        <v>0.5</v>
      </c>
      <c r="S177" s="556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4"/>
      <c r="AE177" s="366"/>
      <c r="AF177" s="366"/>
      <c r="AG177" s="53"/>
      <c r="AH177" s="383"/>
      <c r="AI177" s="383"/>
      <c r="AJ177" s="900"/>
      <c r="AK177" s="52"/>
      <c r="AL177" s="53"/>
      <c r="AM177" s="53"/>
      <c r="AN177" s="54"/>
      <c r="AO177" s="1030">
        <f t="shared" ref="AO177:AO181" si="182">+K177+M177+O177+Q177+S177+U177+W177+Y177+AA177+AC177+AE177+AG177+AI177+AK177+AM177</f>
        <v>1</v>
      </c>
      <c r="AP177" s="524">
        <f t="shared" ref="AP177:AP181" si="183">+L177+N177+P177+R177+T177+V177+X177+Z177+AB177+AD177+AF177+AH177+AJ177+AL177+AN177</f>
        <v>0.75</v>
      </c>
      <c r="AQ177" s="525">
        <f t="shared" ref="AQ177:AQ181" si="184">AO177-AP177</f>
        <v>0.25</v>
      </c>
      <c r="AR177" s="687"/>
      <c r="AS177" s="1521"/>
      <c r="AT177" s="349"/>
      <c r="AU177" s="349"/>
    </row>
    <row r="178" spans="1:47" s="150" customFormat="1" ht="17" hidden="1" customHeight="1">
      <c r="A178" s="140"/>
      <c r="B178" s="1095"/>
      <c r="C178" s="272" t="s">
        <v>604</v>
      </c>
      <c r="D178" s="2" t="s">
        <v>641</v>
      </c>
      <c r="E178" s="2" t="s">
        <v>603</v>
      </c>
      <c r="F178" s="2" t="s">
        <v>639</v>
      </c>
      <c r="G178" s="599"/>
      <c r="H178" s="862">
        <v>45784</v>
      </c>
      <c r="I178" s="804">
        <v>45869</v>
      </c>
      <c r="J178" s="29"/>
      <c r="K178" s="28"/>
      <c r="L178" s="28"/>
      <c r="M178" s="28"/>
      <c r="N178" s="383"/>
      <c r="O178" s="27"/>
      <c r="P178" s="28"/>
      <c r="Q178" s="28">
        <v>1</v>
      </c>
      <c r="R178" s="374">
        <v>1</v>
      </c>
      <c r="S178" s="376">
        <v>1</v>
      </c>
      <c r="T178" s="556">
        <f t="shared" ref="T178:T179" si="185">$T$1*S178</f>
        <v>0.6</v>
      </c>
      <c r="U178" s="28">
        <v>1</v>
      </c>
      <c r="V178" s="28"/>
      <c r="W178" s="28"/>
      <c r="X178" s="28"/>
      <c r="Y178" s="28"/>
      <c r="Z178" s="28"/>
      <c r="AA178" s="28"/>
      <c r="AB178" s="28"/>
      <c r="AC178" s="28"/>
      <c r="AD178" s="25"/>
      <c r="AE178" s="366"/>
      <c r="AF178" s="366"/>
      <c r="AG178" s="53"/>
      <c r="AH178" s="383"/>
      <c r="AI178" s="383"/>
      <c r="AJ178" s="900"/>
      <c r="AK178" s="27"/>
      <c r="AL178" s="28"/>
      <c r="AM178" s="28"/>
      <c r="AN178" s="25"/>
      <c r="AO178" s="1030">
        <f t="shared" si="182"/>
        <v>3</v>
      </c>
      <c r="AP178" s="524">
        <f t="shared" si="183"/>
        <v>1.6</v>
      </c>
      <c r="AQ178" s="525">
        <f t="shared" si="184"/>
        <v>1.4</v>
      </c>
      <c r="AR178" s="639"/>
      <c r="AS178" s="1521"/>
      <c r="AT178" s="349"/>
      <c r="AU178" s="349"/>
    </row>
    <row r="179" spans="1:47" s="150" customFormat="1" ht="17" hidden="1" customHeight="1">
      <c r="A179" s="140"/>
      <c r="B179" s="1095"/>
      <c r="C179" s="272" t="s">
        <v>599</v>
      </c>
      <c r="D179" s="2" t="s">
        <v>642</v>
      </c>
      <c r="E179" s="2" t="s">
        <v>603</v>
      </c>
      <c r="F179" s="2" t="s">
        <v>640</v>
      </c>
      <c r="G179" s="599"/>
      <c r="H179" s="862">
        <v>45784</v>
      </c>
      <c r="I179" s="804">
        <v>45869</v>
      </c>
      <c r="J179" s="29"/>
      <c r="K179" s="28"/>
      <c r="L179" s="28"/>
      <c r="M179" s="28"/>
      <c r="N179" s="383"/>
      <c r="O179" s="27"/>
      <c r="P179" s="28"/>
      <c r="Q179" s="28">
        <v>1</v>
      </c>
      <c r="R179" s="374">
        <v>1</v>
      </c>
      <c r="S179" s="536">
        <v>1</v>
      </c>
      <c r="T179" s="556">
        <f t="shared" si="185"/>
        <v>0.6</v>
      </c>
      <c r="U179" s="28">
        <v>1</v>
      </c>
      <c r="V179" s="28"/>
      <c r="W179" s="28"/>
      <c r="X179" s="28"/>
      <c r="Y179" s="28"/>
      <c r="Z179" s="28"/>
      <c r="AA179" s="28"/>
      <c r="AB179" s="28"/>
      <c r="AC179" s="28"/>
      <c r="AD179" s="25"/>
      <c r="AE179" s="366"/>
      <c r="AF179" s="366"/>
      <c r="AG179" s="53"/>
      <c r="AH179" s="383"/>
      <c r="AI179" s="383"/>
      <c r="AJ179" s="900"/>
      <c r="AK179" s="27"/>
      <c r="AL179" s="28"/>
      <c r="AM179" s="28"/>
      <c r="AN179" s="25"/>
      <c r="AO179" s="1030">
        <f t="shared" si="182"/>
        <v>3</v>
      </c>
      <c r="AP179" s="524">
        <f t="shared" si="183"/>
        <v>1.6</v>
      </c>
      <c r="AQ179" s="525">
        <f t="shared" si="184"/>
        <v>1.4</v>
      </c>
      <c r="AR179" s="639"/>
      <c r="AS179" s="1521"/>
      <c r="AT179" s="349"/>
      <c r="AU179" s="349"/>
    </row>
    <row r="180" spans="1:47" s="150" customFormat="1" ht="17" hidden="1" customHeight="1">
      <c r="A180" s="140"/>
      <c r="B180" s="1095"/>
      <c r="C180" s="169" t="s">
        <v>600</v>
      </c>
      <c r="D180" s="30" t="s">
        <v>19</v>
      </c>
      <c r="E180" s="30" t="s">
        <v>602</v>
      </c>
      <c r="F180" s="30" t="s">
        <v>605</v>
      </c>
      <c r="G180" s="786" t="s">
        <v>682</v>
      </c>
      <c r="H180" s="782">
        <v>45870</v>
      </c>
      <c r="I180" s="775">
        <v>46112</v>
      </c>
      <c r="J180" s="29"/>
      <c r="K180" s="28"/>
      <c r="L180" s="28"/>
      <c r="M180" s="28"/>
      <c r="N180" s="383"/>
      <c r="O180" s="27"/>
      <c r="P180" s="28"/>
      <c r="Q180" s="28"/>
      <c r="R180" s="374"/>
      <c r="S180" s="27"/>
      <c r="T180" s="28"/>
      <c r="U180" s="28"/>
      <c r="V180" s="28"/>
      <c r="W180" s="28">
        <v>1</v>
      </c>
      <c r="X180" s="28"/>
      <c r="Y180" s="28">
        <v>0.2</v>
      </c>
      <c r="Z180" s="28"/>
      <c r="AA180" s="28">
        <v>0.2</v>
      </c>
      <c r="AB180" s="28"/>
      <c r="AC180" s="28">
        <v>0.2</v>
      </c>
      <c r="AD180" s="25"/>
      <c r="AE180" s="366">
        <v>0.2</v>
      </c>
      <c r="AF180" s="366"/>
      <c r="AG180" s="53">
        <v>0.2</v>
      </c>
      <c r="AH180" s="383"/>
      <c r="AI180" s="383">
        <v>0.2</v>
      </c>
      <c r="AJ180" s="900"/>
      <c r="AK180" s="27">
        <v>0.2</v>
      </c>
      <c r="AL180" s="28"/>
      <c r="AM180" s="28"/>
      <c r="AN180" s="25"/>
      <c r="AO180" s="1030">
        <f t="shared" si="182"/>
        <v>2.4</v>
      </c>
      <c r="AP180" s="524">
        <f t="shared" si="183"/>
        <v>0</v>
      </c>
      <c r="AQ180" s="525">
        <f t="shared" si="184"/>
        <v>2.4</v>
      </c>
      <c r="AR180" s="639"/>
      <c r="AS180" s="1521"/>
      <c r="AT180" s="349"/>
      <c r="AU180" s="349"/>
    </row>
    <row r="181" spans="1:47" s="150" customFormat="1" ht="17" hidden="1" customHeight="1" thickBot="1">
      <c r="A181" s="140"/>
      <c r="B181" s="1095"/>
      <c r="C181" s="694" t="s">
        <v>601</v>
      </c>
      <c r="D181" s="695" t="s">
        <v>19</v>
      </c>
      <c r="E181" s="695" t="s">
        <v>602</v>
      </c>
      <c r="F181" s="695" t="s">
        <v>606</v>
      </c>
      <c r="G181" s="785"/>
      <c r="H181" s="782">
        <v>45870</v>
      </c>
      <c r="I181" s="735">
        <v>45898</v>
      </c>
      <c r="J181" s="360"/>
      <c r="K181" s="40"/>
      <c r="L181" s="40"/>
      <c r="M181" s="760"/>
      <c r="N181" s="1042"/>
      <c r="O181" s="51"/>
      <c r="P181" s="592"/>
      <c r="Q181" s="592"/>
      <c r="R181" s="595"/>
      <c r="S181" s="51"/>
      <c r="T181" s="592"/>
      <c r="U181" s="592"/>
      <c r="V181" s="592"/>
      <c r="W181" s="592">
        <v>1</v>
      </c>
      <c r="X181" s="592"/>
      <c r="Y181" s="592"/>
      <c r="Z181" s="592"/>
      <c r="AA181" s="592"/>
      <c r="AB181" s="592"/>
      <c r="AC181" s="592"/>
      <c r="AD181" s="593"/>
      <c r="AE181" s="366"/>
      <c r="AF181" s="366"/>
      <c r="AG181" s="53"/>
      <c r="AH181" s="383"/>
      <c r="AI181" s="383"/>
      <c r="AJ181" s="900"/>
      <c r="AK181" s="51"/>
      <c r="AL181" s="592"/>
      <c r="AM181" s="592"/>
      <c r="AN181" s="593"/>
      <c r="AO181" s="1031">
        <f t="shared" si="182"/>
        <v>1</v>
      </c>
      <c r="AP181" s="520">
        <f t="shared" si="183"/>
        <v>0</v>
      </c>
      <c r="AQ181" s="521">
        <f t="shared" si="184"/>
        <v>1</v>
      </c>
      <c r="AR181" s="697"/>
      <c r="AS181" s="1521"/>
      <c r="AT181" s="349"/>
      <c r="AU181" s="349"/>
    </row>
    <row r="182" spans="1:47" s="150" customFormat="1" ht="17" hidden="1" customHeight="1">
      <c r="A182" s="140"/>
      <c r="B182" s="1096" t="s">
        <v>664</v>
      </c>
      <c r="C182" s="271" t="s">
        <v>357</v>
      </c>
      <c r="D182" s="57" t="s">
        <v>42</v>
      </c>
      <c r="E182" s="532" t="s">
        <v>256</v>
      </c>
      <c r="F182" s="688" t="s">
        <v>352</v>
      </c>
      <c r="G182" s="688"/>
      <c r="H182" s="787">
        <v>45691</v>
      </c>
      <c r="I182" s="814">
        <v>46142</v>
      </c>
      <c r="J182" s="359"/>
      <c r="K182" s="585">
        <v>1</v>
      </c>
      <c r="L182" s="49">
        <f t="shared" ref="L182:L183" si="186">K182*$L$1</f>
        <v>1</v>
      </c>
      <c r="M182" s="585">
        <v>1</v>
      </c>
      <c r="N182" s="49">
        <f t="shared" si="161"/>
        <v>1</v>
      </c>
      <c r="O182" s="739">
        <v>1</v>
      </c>
      <c r="P182" s="53">
        <f t="shared" ref="P182:P183" si="187">$P$1*O182</f>
        <v>1</v>
      </c>
      <c r="Q182" s="1264">
        <v>1</v>
      </c>
      <c r="R182" s="506">
        <f t="shared" ref="R182:R184" si="188">$Q$1*Q182</f>
        <v>1</v>
      </c>
      <c r="S182" s="1154">
        <v>1</v>
      </c>
      <c r="T182" s="556">
        <f t="shared" ref="T182:T184" si="189">$T$1*S182</f>
        <v>0.6</v>
      </c>
      <c r="U182" s="1155">
        <v>1</v>
      </c>
      <c r="V182" s="1155"/>
      <c r="W182" s="1155">
        <v>1</v>
      </c>
      <c r="X182" s="1155"/>
      <c r="Y182" s="1155">
        <v>1</v>
      </c>
      <c r="Z182" s="1155"/>
      <c r="AA182" s="1155">
        <v>1</v>
      </c>
      <c r="AB182" s="1155"/>
      <c r="AC182" s="1155">
        <v>1</v>
      </c>
      <c r="AD182" s="1156"/>
      <c r="AE182" s="1157">
        <v>1</v>
      </c>
      <c r="AF182" s="1158"/>
      <c r="AG182" s="1159">
        <v>1</v>
      </c>
      <c r="AH182" s="1160"/>
      <c r="AI182" s="1160">
        <v>1</v>
      </c>
      <c r="AJ182" s="1161"/>
      <c r="AK182" s="1265">
        <v>0</v>
      </c>
      <c r="AL182" s="1266"/>
      <c r="AM182" s="1266">
        <v>0</v>
      </c>
      <c r="AN182" s="1264"/>
      <c r="AO182" s="1579">
        <f t="shared" si="132"/>
        <v>13</v>
      </c>
      <c r="AP182" s="512">
        <f t="shared" si="133"/>
        <v>4.5999999999999996</v>
      </c>
      <c r="AQ182" s="513">
        <f t="shared" si="134"/>
        <v>8.4</v>
      </c>
      <c r="AR182" s="639" t="s">
        <v>77</v>
      </c>
      <c r="AS182" s="1521"/>
      <c r="AT182" s="349"/>
      <c r="AU182" s="349"/>
    </row>
    <row r="183" spans="1:47" s="150" customFormat="1" ht="17" hidden="1" customHeight="1">
      <c r="A183" s="140"/>
      <c r="B183" s="1096"/>
      <c r="C183" s="169" t="s">
        <v>251</v>
      </c>
      <c r="D183" s="30" t="s">
        <v>42</v>
      </c>
      <c r="E183" s="446" t="s">
        <v>256</v>
      </c>
      <c r="F183" s="618" t="s">
        <v>353</v>
      </c>
      <c r="G183" s="618"/>
      <c r="H183" s="788">
        <v>45691</v>
      </c>
      <c r="I183" s="775">
        <v>46142</v>
      </c>
      <c r="J183" s="29"/>
      <c r="K183" s="583">
        <v>1</v>
      </c>
      <c r="L183" s="3">
        <f t="shared" si="186"/>
        <v>1</v>
      </c>
      <c r="M183" s="583">
        <v>1</v>
      </c>
      <c r="N183" s="28">
        <f t="shared" si="161"/>
        <v>1</v>
      </c>
      <c r="O183" s="583">
        <v>1</v>
      </c>
      <c r="P183" s="53">
        <f t="shared" si="187"/>
        <v>1</v>
      </c>
      <c r="Q183" s="1267">
        <v>1</v>
      </c>
      <c r="R183" s="506">
        <f t="shared" si="188"/>
        <v>1</v>
      </c>
      <c r="S183" s="1163">
        <v>1</v>
      </c>
      <c r="T183" s="556">
        <f t="shared" si="189"/>
        <v>0.6</v>
      </c>
      <c r="U183" s="1164">
        <v>1</v>
      </c>
      <c r="V183" s="1164"/>
      <c r="W183" s="1164">
        <v>1</v>
      </c>
      <c r="X183" s="1164"/>
      <c r="Y183" s="1164">
        <v>1</v>
      </c>
      <c r="Z183" s="1164"/>
      <c r="AA183" s="1164">
        <v>1</v>
      </c>
      <c r="AB183" s="1164"/>
      <c r="AC183" s="1164">
        <v>1</v>
      </c>
      <c r="AD183" s="1268"/>
      <c r="AE183" s="1166">
        <v>1</v>
      </c>
      <c r="AF183" s="1167"/>
      <c r="AG183" s="1164">
        <v>1</v>
      </c>
      <c r="AH183" s="1162"/>
      <c r="AI183" s="1162">
        <v>1</v>
      </c>
      <c r="AJ183" s="1267"/>
      <c r="AK183" s="1269">
        <v>1</v>
      </c>
      <c r="AL183" s="1270"/>
      <c r="AM183" s="1270">
        <v>0</v>
      </c>
      <c r="AN183" s="1267"/>
      <c r="AO183" s="719">
        <f t="shared" si="132"/>
        <v>14</v>
      </c>
      <c r="AP183" s="524">
        <f t="shared" si="133"/>
        <v>4.5999999999999996</v>
      </c>
      <c r="AQ183" s="525">
        <f t="shared" si="134"/>
        <v>9.4</v>
      </c>
      <c r="AR183" s="639" t="s">
        <v>77</v>
      </c>
      <c r="AS183" s="1521"/>
      <c r="AT183" s="349"/>
      <c r="AU183" s="349"/>
    </row>
    <row r="184" spans="1:47" s="150" customFormat="1" ht="17" hidden="1" customHeight="1">
      <c r="A184" s="140"/>
      <c r="B184" s="1096"/>
      <c r="C184" s="169" t="s">
        <v>190</v>
      </c>
      <c r="D184" s="30" t="s">
        <v>42</v>
      </c>
      <c r="E184" s="446" t="s">
        <v>256</v>
      </c>
      <c r="F184" s="828" t="s">
        <v>613</v>
      </c>
      <c r="G184" s="618"/>
      <c r="H184" s="789">
        <v>45775</v>
      </c>
      <c r="I184" s="775">
        <v>46142</v>
      </c>
      <c r="J184" s="29"/>
      <c r="K184" s="734"/>
      <c r="L184" s="734"/>
      <c r="M184" s="734"/>
      <c r="N184" s="28"/>
      <c r="O184" s="734"/>
      <c r="P184" s="219"/>
      <c r="Q184" s="1267">
        <v>1</v>
      </c>
      <c r="R184" s="506">
        <f t="shared" si="188"/>
        <v>1</v>
      </c>
      <c r="S184" s="1163">
        <v>1</v>
      </c>
      <c r="T184" s="556">
        <f t="shared" si="189"/>
        <v>0.6</v>
      </c>
      <c r="U184" s="1164">
        <v>1</v>
      </c>
      <c r="V184" s="1164"/>
      <c r="W184" s="1164">
        <v>1</v>
      </c>
      <c r="X184" s="1164"/>
      <c r="Y184" s="1164">
        <v>1</v>
      </c>
      <c r="Z184" s="1164"/>
      <c r="AA184" s="1164">
        <v>1</v>
      </c>
      <c r="AB184" s="1164"/>
      <c r="AC184" s="1164">
        <v>1</v>
      </c>
      <c r="AD184" s="1268"/>
      <c r="AE184" s="1166">
        <v>1</v>
      </c>
      <c r="AF184" s="1167"/>
      <c r="AG184" s="1164">
        <v>1</v>
      </c>
      <c r="AH184" s="1162"/>
      <c r="AI184" s="1162">
        <v>1</v>
      </c>
      <c r="AJ184" s="1267"/>
      <c r="AK184" s="1269">
        <v>1</v>
      </c>
      <c r="AL184" s="1270"/>
      <c r="AM184" s="1270">
        <v>0</v>
      </c>
      <c r="AN184" s="1267"/>
      <c r="AO184" s="719">
        <f t="shared" si="132"/>
        <v>11</v>
      </c>
      <c r="AP184" s="524">
        <f t="shared" si="133"/>
        <v>1.6</v>
      </c>
      <c r="AQ184" s="525">
        <f t="shared" si="134"/>
        <v>9.4</v>
      </c>
      <c r="AR184" s="639" t="s">
        <v>42</v>
      </c>
      <c r="AS184" s="1521"/>
      <c r="AT184" s="349"/>
      <c r="AU184" s="349"/>
    </row>
    <row r="185" spans="1:47" s="150" customFormat="1" ht="17" hidden="1" customHeight="1">
      <c r="A185" s="140"/>
      <c r="B185" s="1096"/>
      <c r="C185" s="272" t="s">
        <v>190</v>
      </c>
      <c r="D185" s="2" t="s">
        <v>42</v>
      </c>
      <c r="E185" s="533" t="s">
        <v>256</v>
      </c>
      <c r="F185" s="828" t="s">
        <v>74</v>
      </c>
      <c r="G185" s="618"/>
      <c r="H185" s="611">
        <v>45839</v>
      </c>
      <c r="I185" s="775">
        <v>46053</v>
      </c>
      <c r="J185" s="29"/>
      <c r="K185" s="734"/>
      <c r="L185" s="734"/>
      <c r="M185" s="734"/>
      <c r="N185" s="28"/>
      <c r="O185" s="761"/>
      <c r="P185" s="219"/>
      <c r="Q185" s="1267"/>
      <c r="R185" s="1271"/>
      <c r="S185" s="1163"/>
      <c r="T185" s="1164"/>
      <c r="U185" s="1164">
        <v>1</v>
      </c>
      <c r="V185" s="1164"/>
      <c r="W185" s="1164">
        <v>1</v>
      </c>
      <c r="X185" s="1164"/>
      <c r="Y185" s="1164">
        <v>1</v>
      </c>
      <c r="Z185" s="1164"/>
      <c r="AA185" s="1164">
        <v>1</v>
      </c>
      <c r="AB185" s="1164"/>
      <c r="AC185" s="1164">
        <v>1</v>
      </c>
      <c r="AD185" s="1268"/>
      <c r="AE185" s="1166">
        <v>1</v>
      </c>
      <c r="AF185" s="1167"/>
      <c r="AG185" s="1164">
        <v>1</v>
      </c>
      <c r="AH185" s="1162"/>
      <c r="AI185" s="1162"/>
      <c r="AJ185" s="1267"/>
      <c r="AK185" s="1269"/>
      <c r="AL185" s="1270"/>
      <c r="AM185" s="1270"/>
      <c r="AN185" s="1267"/>
      <c r="AO185" s="719">
        <f>+K185+M185+O185+Q185+S185+U185+W185+Y185+AA185+AC185+AE185+AG185+AI185+AK185+AM185</f>
        <v>7</v>
      </c>
      <c r="AP185" s="524">
        <f>+L185+N185+P185+R185+T185+V185+X185+Z185+AB185+AD185+AF185+AH185+AJ185+AL185+AN185</f>
        <v>0</v>
      </c>
      <c r="AQ185" s="525">
        <f t="shared" si="134"/>
        <v>7</v>
      </c>
      <c r="AR185" s="639" t="s">
        <v>42</v>
      </c>
      <c r="AS185" s="1521"/>
      <c r="AT185" s="349"/>
      <c r="AU185" s="349"/>
    </row>
    <row r="186" spans="1:47" s="150" customFormat="1" ht="17" hidden="1" customHeight="1">
      <c r="A186" s="140"/>
      <c r="B186" s="1096"/>
      <c r="C186" s="272" t="s">
        <v>252</v>
      </c>
      <c r="D186" s="2" t="s">
        <v>42</v>
      </c>
      <c r="E186" s="533" t="s">
        <v>256</v>
      </c>
      <c r="F186" s="828" t="s">
        <v>74</v>
      </c>
      <c r="G186" s="618"/>
      <c r="H186" s="611">
        <v>45839</v>
      </c>
      <c r="I186" s="775">
        <v>46053</v>
      </c>
      <c r="J186" s="29"/>
      <c r="K186" s="734"/>
      <c r="L186" s="734"/>
      <c r="M186" s="734"/>
      <c r="N186" s="28"/>
      <c r="O186" s="761"/>
      <c r="P186" s="219"/>
      <c r="Q186" s="1267"/>
      <c r="R186" s="1271"/>
      <c r="S186" s="1163"/>
      <c r="T186" s="1164"/>
      <c r="U186" s="1164">
        <v>1</v>
      </c>
      <c r="V186" s="1164"/>
      <c r="W186" s="1164">
        <v>1</v>
      </c>
      <c r="X186" s="1164"/>
      <c r="Y186" s="1164">
        <v>1</v>
      </c>
      <c r="Z186" s="1164"/>
      <c r="AA186" s="1164">
        <v>1</v>
      </c>
      <c r="AB186" s="1164"/>
      <c r="AC186" s="1164">
        <v>1</v>
      </c>
      <c r="AD186" s="1268"/>
      <c r="AE186" s="1166">
        <v>1</v>
      </c>
      <c r="AF186" s="1167"/>
      <c r="AG186" s="1164">
        <v>1</v>
      </c>
      <c r="AH186" s="1162"/>
      <c r="AI186" s="1162"/>
      <c r="AJ186" s="1267"/>
      <c r="AK186" s="1269"/>
      <c r="AL186" s="1270"/>
      <c r="AM186" s="1270"/>
      <c r="AN186" s="1267"/>
      <c r="AO186" s="719">
        <f t="shared" si="132"/>
        <v>7</v>
      </c>
      <c r="AP186" s="524">
        <f t="shared" si="133"/>
        <v>0</v>
      </c>
      <c r="AQ186" s="525">
        <f t="shared" si="134"/>
        <v>7</v>
      </c>
      <c r="AR186" s="639" t="s">
        <v>42</v>
      </c>
      <c r="AS186" s="1521"/>
      <c r="AT186" s="349"/>
      <c r="AU186" s="349"/>
    </row>
    <row r="187" spans="1:47" s="150" customFormat="1" ht="17" hidden="1" customHeight="1">
      <c r="A187" s="140"/>
      <c r="B187" s="1096"/>
      <c r="C187" s="272" t="s">
        <v>252</v>
      </c>
      <c r="D187" s="2" t="s">
        <v>42</v>
      </c>
      <c r="E187" s="533" t="s">
        <v>256</v>
      </c>
      <c r="F187" s="828" t="s">
        <v>74</v>
      </c>
      <c r="G187" s="618"/>
      <c r="H187" s="789">
        <v>45839</v>
      </c>
      <c r="I187" s="775">
        <v>46080</v>
      </c>
      <c r="J187" s="29"/>
      <c r="K187" s="734"/>
      <c r="L187" s="734"/>
      <c r="M187" s="734"/>
      <c r="N187" s="28"/>
      <c r="O187" s="734"/>
      <c r="P187" s="219"/>
      <c r="Q187" s="1267"/>
      <c r="R187" s="1271"/>
      <c r="S187" s="1163"/>
      <c r="T187" s="1164"/>
      <c r="U187" s="1164">
        <v>1</v>
      </c>
      <c r="V187" s="1164"/>
      <c r="W187" s="1164">
        <v>1</v>
      </c>
      <c r="X187" s="1164"/>
      <c r="Y187" s="1164">
        <v>1</v>
      </c>
      <c r="Z187" s="1164"/>
      <c r="AA187" s="1164">
        <v>1</v>
      </c>
      <c r="AB187" s="1164"/>
      <c r="AC187" s="1164">
        <v>1</v>
      </c>
      <c r="AD187" s="1268"/>
      <c r="AE187" s="1166">
        <v>1</v>
      </c>
      <c r="AF187" s="1167"/>
      <c r="AG187" s="1164">
        <v>1</v>
      </c>
      <c r="AH187" s="1162"/>
      <c r="AI187" s="1162">
        <v>1</v>
      </c>
      <c r="AJ187" s="1267"/>
      <c r="AK187" s="1269"/>
      <c r="AL187" s="1270"/>
      <c r="AM187" s="1270"/>
      <c r="AN187" s="1267"/>
      <c r="AO187" s="719">
        <f t="shared" si="132"/>
        <v>8</v>
      </c>
      <c r="AP187" s="524">
        <f t="shared" si="133"/>
        <v>0</v>
      </c>
      <c r="AQ187" s="525">
        <f t="shared" si="134"/>
        <v>8</v>
      </c>
      <c r="AR187" s="639" t="s">
        <v>42</v>
      </c>
      <c r="AS187" s="1521"/>
      <c r="AT187" s="349"/>
      <c r="AU187" s="349"/>
    </row>
    <row r="188" spans="1:47" s="150" customFormat="1" ht="17" hidden="1" customHeight="1">
      <c r="A188" s="140"/>
      <c r="B188" s="1096"/>
      <c r="C188" s="169" t="s">
        <v>252</v>
      </c>
      <c r="D188" s="30" t="s">
        <v>42</v>
      </c>
      <c r="E188" s="446" t="s">
        <v>256</v>
      </c>
      <c r="F188" s="618" t="s">
        <v>354</v>
      </c>
      <c r="G188" s="618"/>
      <c r="H188" s="789">
        <v>45733</v>
      </c>
      <c r="I188" s="810">
        <v>46142</v>
      </c>
      <c r="J188" s="29"/>
      <c r="K188" s="734"/>
      <c r="L188" s="734"/>
      <c r="M188" s="761">
        <v>0.5</v>
      </c>
      <c r="N188" s="28">
        <f t="shared" ref="N188:N189" si="190">M188*N$1</f>
        <v>0.5</v>
      </c>
      <c r="O188" s="758">
        <v>1</v>
      </c>
      <c r="P188" s="53">
        <f t="shared" ref="P188:P193" si="191">$P$1*O188</f>
        <v>1</v>
      </c>
      <c r="Q188" s="1272">
        <v>1</v>
      </c>
      <c r="R188" s="506">
        <f t="shared" ref="R188:R192" si="192">$Q$1*Q188</f>
        <v>1</v>
      </c>
      <c r="S188" s="1273">
        <v>1</v>
      </c>
      <c r="T188" s="556">
        <f t="shared" ref="T188:T191" si="193">$T$1*S188</f>
        <v>0.6</v>
      </c>
      <c r="U188" s="1274">
        <v>1</v>
      </c>
      <c r="V188" s="1164"/>
      <c r="W188" s="1274">
        <v>1</v>
      </c>
      <c r="X188" s="1164"/>
      <c r="Y188" s="1274">
        <v>1</v>
      </c>
      <c r="Z188" s="1164"/>
      <c r="AA188" s="1274">
        <v>1</v>
      </c>
      <c r="AB188" s="1164"/>
      <c r="AC188" s="1274">
        <v>1</v>
      </c>
      <c r="AD188" s="1268"/>
      <c r="AE188" s="1275">
        <v>1</v>
      </c>
      <c r="AF188" s="1167"/>
      <c r="AG188" s="1274">
        <v>1</v>
      </c>
      <c r="AH188" s="1162"/>
      <c r="AI188" s="1276">
        <v>1</v>
      </c>
      <c r="AJ188" s="1267"/>
      <c r="AK188" s="1277">
        <v>1</v>
      </c>
      <c r="AL188" s="1270"/>
      <c r="AM188" s="1278">
        <v>0</v>
      </c>
      <c r="AN188" s="1267"/>
      <c r="AO188" s="719">
        <f t="shared" si="132"/>
        <v>12.5</v>
      </c>
      <c r="AP188" s="524">
        <f t="shared" si="133"/>
        <v>3.1</v>
      </c>
      <c r="AQ188" s="525">
        <f t="shared" si="134"/>
        <v>9.4</v>
      </c>
      <c r="AR188" s="639" t="s">
        <v>42</v>
      </c>
      <c r="AS188" s="1521"/>
      <c r="AT188" s="349"/>
      <c r="AU188" s="349"/>
    </row>
    <row r="189" spans="1:47" s="150" customFormat="1" ht="17" hidden="1" customHeight="1" thickBot="1">
      <c r="A189" s="140"/>
      <c r="B189" s="1096"/>
      <c r="C189" s="694" t="s">
        <v>252</v>
      </c>
      <c r="D189" s="695" t="s">
        <v>283</v>
      </c>
      <c r="E189" s="696" t="s">
        <v>256</v>
      </c>
      <c r="F189" s="736" t="s">
        <v>355</v>
      </c>
      <c r="G189" s="736"/>
      <c r="H189" s="790">
        <v>45733</v>
      </c>
      <c r="I189" s="816">
        <v>46142</v>
      </c>
      <c r="J189" s="597"/>
      <c r="K189" s="742"/>
      <c r="L189" s="742"/>
      <c r="M189" s="762">
        <v>0.5</v>
      </c>
      <c r="N189" s="592">
        <f t="shared" si="190"/>
        <v>0.5</v>
      </c>
      <c r="O189" s="1049">
        <v>1</v>
      </c>
      <c r="P189" s="40">
        <f t="shared" si="191"/>
        <v>1</v>
      </c>
      <c r="Q189" s="1279">
        <v>1</v>
      </c>
      <c r="R189" s="779">
        <f t="shared" si="192"/>
        <v>1</v>
      </c>
      <c r="S189" s="1280">
        <v>1</v>
      </c>
      <c r="T189" s="556">
        <f t="shared" si="193"/>
        <v>0.6</v>
      </c>
      <c r="U189" s="1282">
        <v>1</v>
      </c>
      <c r="V189" s="1281"/>
      <c r="W189" s="1282">
        <v>1</v>
      </c>
      <c r="X189" s="1281"/>
      <c r="Y189" s="1282">
        <v>1</v>
      </c>
      <c r="Z189" s="1281"/>
      <c r="AA189" s="1282">
        <v>1</v>
      </c>
      <c r="AB189" s="1281"/>
      <c r="AC189" s="1282">
        <v>1</v>
      </c>
      <c r="AD189" s="1283"/>
      <c r="AE189" s="1284">
        <v>1</v>
      </c>
      <c r="AF189" s="1285"/>
      <c r="AG189" s="1282">
        <v>1</v>
      </c>
      <c r="AH189" s="1286"/>
      <c r="AI189" s="1287">
        <v>1</v>
      </c>
      <c r="AJ189" s="1288"/>
      <c r="AK189" s="1289">
        <v>1</v>
      </c>
      <c r="AL189" s="1290"/>
      <c r="AM189" s="1291">
        <v>0</v>
      </c>
      <c r="AN189" s="1288"/>
      <c r="AO189" s="1580">
        <f t="shared" si="132"/>
        <v>12.5</v>
      </c>
      <c r="AP189" s="690">
        <f t="shared" si="133"/>
        <v>3.1</v>
      </c>
      <c r="AQ189" s="691">
        <f t="shared" si="134"/>
        <v>9.4</v>
      </c>
      <c r="AR189" s="639" t="s">
        <v>283</v>
      </c>
      <c r="AS189" s="1521"/>
      <c r="AT189" s="349"/>
      <c r="AU189" s="349"/>
    </row>
    <row r="190" spans="1:47" s="150" customFormat="1" ht="17" hidden="1" customHeight="1">
      <c r="A190" s="140"/>
      <c r="B190" s="1096"/>
      <c r="C190" s="271" t="s">
        <v>253</v>
      </c>
      <c r="D190" s="57" t="s">
        <v>42</v>
      </c>
      <c r="E190" s="532" t="s">
        <v>256</v>
      </c>
      <c r="F190" s="746" t="s">
        <v>356</v>
      </c>
      <c r="G190" s="770"/>
      <c r="H190" s="774">
        <v>45720</v>
      </c>
      <c r="I190" s="815">
        <v>46142</v>
      </c>
      <c r="J190" s="366"/>
      <c r="K190" s="757"/>
      <c r="L190" s="757"/>
      <c r="M190" s="739">
        <v>1</v>
      </c>
      <c r="N190" s="383">
        <f t="shared" si="161"/>
        <v>1</v>
      </c>
      <c r="O190" s="741">
        <v>1</v>
      </c>
      <c r="P190" s="49">
        <f t="shared" si="191"/>
        <v>1</v>
      </c>
      <c r="Q190" s="1160">
        <v>1</v>
      </c>
      <c r="R190" s="548">
        <f t="shared" si="192"/>
        <v>1</v>
      </c>
      <c r="S190" s="1158">
        <v>1</v>
      </c>
      <c r="T190" s="556">
        <f t="shared" si="193"/>
        <v>0.6</v>
      </c>
      <c r="U190" s="1159">
        <v>1</v>
      </c>
      <c r="V190" s="1155"/>
      <c r="W190" s="1159">
        <v>1</v>
      </c>
      <c r="X190" s="1155"/>
      <c r="Y190" s="1159">
        <v>1</v>
      </c>
      <c r="Z190" s="1155"/>
      <c r="AA190" s="1159">
        <v>1</v>
      </c>
      <c r="AB190" s="1155"/>
      <c r="AC190" s="1159">
        <v>1</v>
      </c>
      <c r="AD190" s="1156"/>
      <c r="AE190" s="1157">
        <v>1</v>
      </c>
      <c r="AF190" s="1292"/>
      <c r="AG190" s="1159">
        <v>1</v>
      </c>
      <c r="AH190" s="1153"/>
      <c r="AI190" s="1160">
        <v>1</v>
      </c>
      <c r="AJ190" s="1264"/>
      <c r="AK190" s="1293">
        <v>1</v>
      </c>
      <c r="AL190" s="1266"/>
      <c r="AM190" s="1294">
        <v>0</v>
      </c>
      <c r="AN190" s="1264"/>
      <c r="AO190" s="1579">
        <f t="shared" si="132"/>
        <v>13</v>
      </c>
      <c r="AP190" s="524">
        <f t="shared" si="133"/>
        <v>3.6</v>
      </c>
      <c r="AQ190" s="513">
        <f t="shared" si="134"/>
        <v>9.4</v>
      </c>
      <c r="AR190" s="639" t="s">
        <v>42</v>
      </c>
      <c r="AS190" s="1521"/>
      <c r="AT190" s="349"/>
      <c r="AU190" s="349"/>
    </row>
    <row r="191" spans="1:47" s="150" customFormat="1" ht="17" hidden="1" customHeight="1">
      <c r="A191" s="140"/>
      <c r="B191" s="1096"/>
      <c r="C191" s="169" t="s">
        <v>190</v>
      </c>
      <c r="D191" s="30" t="s">
        <v>13</v>
      </c>
      <c r="E191" s="446" t="s">
        <v>40</v>
      </c>
      <c r="F191" s="828" t="s">
        <v>584</v>
      </c>
      <c r="G191" s="771"/>
      <c r="H191" s="775">
        <v>45740</v>
      </c>
      <c r="I191" s="775">
        <v>46112</v>
      </c>
      <c r="J191" s="366"/>
      <c r="K191" s="757"/>
      <c r="L191" s="757"/>
      <c r="M191" s="739">
        <v>0.2</v>
      </c>
      <c r="N191" s="383">
        <f t="shared" si="161"/>
        <v>0.2</v>
      </c>
      <c r="O191" s="740">
        <v>0.8</v>
      </c>
      <c r="P191" s="53">
        <f t="shared" si="191"/>
        <v>0.8</v>
      </c>
      <c r="Q191" s="1153">
        <v>1</v>
      </c>
      <c r="R191" s="557">
        <f t="shared" si="192"/>
        <v>1</v>
      </c>
      <c r="S191" s="1292">
        <v>1</v>
      </c>
      <c r="T191" s="556">
        <f t="shared" si="193"/>
        <v>0.6</v>
      </c>
      <c r="U191" s="1155">
        <v>1</v>
      </c>
      <c r="V191" s="1155"/>
      <c r="W191" s="1155">
        <v>1</v>
      </c>
      <c r="X191" s="1155"/>
      <c r="Y191" s="1155">
        <v>1</v>
      </c>
      <c r="Z191" s="1155"/>
      <c r="AA191" s="1155">
        <v>1</v>
      </c>
      <c r="AB191" s="1155"/>
      <c r="AC191" s="1155">
        <v>1</v>
      </c>
      <c r="AD191" s="1156"/>
      <c r="AE191" s="1295">
        <v>1</v>
      </c>
      <c r="AF191" s="1292"/>
      <c r="AG191" s="1155">
        <v>1</v>
      </c>
      <c r="AH191" s="1153"/>
      <c r="AI191" s="1153">
        <v>1</v>
      </c>
      <c r="AJ191" s="1264"/>
      <c r="AK191" s="1265">
        <v>0.75</v>
      </c>
      <c r="AL191" s="1266"/>
      <c r="AM191" s="1266"/>
      <c r="AN191" s="1264"/>
      <c r="AO191" s="719">
        <f t="shared" ref="AO191" si="194">+K191+M191+O191+Q191+S191+U191+W191+Y191+AA191+AC191+AE191+AG191+AI191+AK191+AM191</f>
        <v>11.75</v>
      </c>
      <c r="AP191" s="524">
        <f t="shared" si="133"/>
        <v>2.6</v>
      </c>
      <c r="AQ191" s="525">
        <f t="shared" ref="AQ191" si="195">AO191-AP191</f>
        <v>9.15</v>
      </c>
      <c r="AR191" s="639"/>
      <c r="AS191" s="1521"/>
      <c r="AT191" s="349"/>
      <c r="AU191" s="349"/>
    </row>
    <row r="192" spans="1:47" s="150" customFormat="1" ht="17" hidden="1" customHeight="1" thickBot="1">
      <c r="A192" s="140"/>
      <c r="B192" s="1096"/>
      <c r="C192" s="169" t="s">
        <v>190</v>
      </c>
      <c r="D192" s="30" t="s">
        <v>13</v>
      </c>
      <c r="E192" s="446" t="s">
        <v>256</v>
      </c>
      <c r="F192" s="828" t="s">
        <v>579</v>
      </c>
      <c r="G192" s="771"/>
      <c r="H192" s="775">
        <v>45726</v>
      </c>
      <c r="I192" s="775">
        <v>45808</v>
      </c>
      <c r="J192" s="29"/>
      <c r="K192" s="734"/>
      <c r="L192" s="734"/>
      <c r="M192" s="759">
        <v>0.75</v>
      </c>
      <c r="N192" s="1048">
        <f>2/20</f>
        <v>0.1</v>
      </c>
      <c r="O192" s="594">
        <v>1</v>
      </c>
      <c r="P192" s="53">
        <f t="shared" si="191"/>
        <v>1</v>
      </c>
      <c r="Q192" s="1162">
        <v>1</v>
      </c>
      <c r="R192" s="557">
        <f t="shared" si="192"/>
        <v>1</v>
      </c>
      <c r="S192" s="1167"/>
      <c r="T192" s="1164"/>
      <c r="U192" s="1164"/>
      <c r="V192" s="1164"/>
      <c r="W192" s="1164"/>
      <c r="X192" s="1164"/>
      <c r="Y192" s="1164"/>
      <c r="Z192" s="1164"/>
      <c r="AA192" s="1164"/>
      <c r="AB192" s="1164"/>
      <c r="AC192" s="1164"/>
      <c r="AD192" s="1268"/>
      <c r="AE192" s="1166"/>
      <c r="AF192" s="1167"/>
      <c r="AG192" s="1164"/>
      <c r="AH192" s="1162"/>
      <c r="AI192" s="1162"/>
      <c r="AJ192" s="1267"/>
      <c r="AK192" s="1269"/>
      <c r="AL192" s="1270"/>
      <c r="AM192" s="1270"/>
      <c r="AN192" s="1267"/>
      <c r="AO192" s="719">
        <f t="shared" si="132"/>
        <v>2.75</v>
      </c>
      <c r="AP192" s="524">
        <f t="shared" si="133"/>
        <v>2.1</v>
      </c>
      <c r="AQ192" s="525">
        <f t="shared" si="134"/>
        <v>0.64999999999999991</v>
      </c>
      <c r="AR192" s="639" t="s">
        <v>42</v>
      </c>
      <c r="AS192" s="1521"/>
      <c r="AT192" s="349"/>
      <c r="AU192" s="349"/>
    </row>
    <row r="193" spans="1:47" s="150" customFormat="1" ht="17" hidden="1" customHeight="1">
      <c r="A193" s="140"/>
      <c r="B193" s="1096"/>
      <c r="C193" s="169" t="s">
        <v>190</v>
      </c>
      <c r="D193" s="1774" t="s">
        <v>21</v>
      </c>
      <c r="E193" s="1757" t="s">
        <v>256</v>
      </c>
      <c r="F193" s="1775" t="s">
        <v>609</v>
      </c>
      <c r="G193" s="1745" t="s">
        <v>628</v>
      </c>
      <c r="H193" s="1769">
        <v>45726</v>
      </c>
      <c r="I193" s="1769">
        <v>45757</v>
      </c>
      <c r="J193" s="29"/>
      <c r="K193" s="734"/>
      <c r="L193" s="734"/>
      <c r="M193" s="759">
        <v>0.75</v>
      </c>
      <c r="N193" s="1048">
        <f>2/20</f>
        <v>0.1</v>
      </c>
      <c r="O193" s="594">
        <v>0.25</v>
      </c>
      <c r="P193" s="53">
        <f t="shared" si="191"/>
        <v>0.25</v>
      </c>
      <c r="Q193" s="1270"/>
      <c r="R193" s="1267"/>
      <c r="S193" s="1167"/>
      <c r="T193" s="1164"/>
      <c r="U193" s="1164"/>
      <c r="V193" s="1164"/>
      <c r="W193" s="1164"/>
      <c r="X193" s="1164"/>
      <c r="Y193" s="1164"/>
      <c r="Z193" s="1164"/>
      <c r="AA193" s="1164"/>
      <c r="AB193" s="1164"/>
      <c r="AC193" s="1164"/>
      <c r="AD193" s="1268"/>
      <c r="AE193" s="1166"/>
      <c r="AF193" s="1167"/>
      <c r="AG193" s="1164"/>
      <c r="AH193" s="1162"/>
      <c r="AI193" s="1162"/>
      <c r="AJ193" s="1267"/>
      <c r="AK193" s="1269"/>
      <c r="AL193" s="1270"/>
      <c r="AM193" s="1270"/>
      <c r="AN193" s="1267"/>
      <c r="AO193" s="719">
        <f t="shared" si="132"/>
        <v>1</v>
      </c>
      <c r="AP193" s="524">
        <f t="shared" si="133"/>
        <v>0.35</v>
      </c>
      <c r="AQ193" s="525">
        <f t="shared" si="134"/>
        <v>0.65</v>
      </c>
      <c r="AR193" s="639" t="s">
        <v>42</v>
      </c>
      <c r="AS193" s="1521"/>
      <c r="AT193" s="349"/>
      <c r="AU193" s="349"/>
    </row>
    <row r="194" spans="1:47" s="150" customFormat="1" ht="17" hidden="1" customHeight="1">
      <c r="A194" s="140"/>
      <c r="B194" s="1096"/>
      <c r="C194" s="169" t="s">
        <v>190</v>
      </c>
      <c r="D194" s="30" t="s">
        <v>13</v>
      </c>
      <c r="E194" s="446" t="s">
        <v>40</v>
      </c>
      <c r="F194" s="1721" t="s">
        <v>614</v>
      </c>
      <c r="G194" s="1722" t="s">
        <v>687</v>
      </c>
      <c r="H194" s="1719">
        <v>45763</v>
      </c>
      <c r="I194" s="1719">
        <v>46080</v>
      </c>
      <c r="J194" s="29"/>
      <c r="K194" s="734"/>
      <c r="L194" s="734"/>
      <c r="M194" s="759"/>
      <c r="N194" s="1048"/>
      <c r="O194" s="958">
        <v>0</v>
      </c>
      <c r="P194" s="765">
        <v>0.25</v>
      </c>
      <c r="Q194" s="983">
        <v>1</v>
      </c>
      <c r="R194" s="557">
        <f t="shared" ref="R194:R195" si="196">$Q$1*Q194</f>
        <v>1</v>
      </c>
      <c r="S194" s="988">
        <v>1</v>
      </c>
      <c r="T194" s="556">
        <f>$T$1*S194</f>
        <v>0.6</v>
      </c>
      <c r="U194" s="984">
        <v>1</v>
      </c>
      <c r="V194" s="984"/>
      <c r="W194" s="984">
        <v>1</v>
      </c>
      <c r="X194" s="984"/>
      <c r="Y194" s="984">
        <v>1</v>
      </c>
      <c r="Z194" s="984"/>
      <c r="AA194" s="984">
        <v>1</v>
      </c>
      <c r="AB194" s="984"/>
      <c r="AC194" s="985">
        <v>1</v>
      </c>
      <c r="AD194" s="986"/>
      <c r="AE194" s="987">
        <v>1</v>
      </c>
      <c r="AF194" s="988"/>
      <c r="AG194" s="984">
        <v>1</v>
      </c>
      <c r="AH194" s="985"/>
      <c r="AI194" s="985">
        <v>1</v>
      </c>
      <c r="AJ194" s="1267"/>
      <c r="AK194" s="1269"/>
      <c r="AL194" s="1270"/>
      <c r="AM194" s="1270"/>
      <c r="AN194" s="1267"/>
      <c r="AO194" s="719">
        <f t="shared" si="132"/>
        <v>10</v>
      </c>
      <c r="AP194" s="524">
        <f t="shared" ref="AP194:AP196" si="197">+L194+N194+P194+R194+T194+V194+X194+Z194+AB194+AD194+AF194+AH194+AJ194+AL194+AN194</f>
        <v>1.85</v>
      </c>
      <c r="AQ194" s="525">
        <f t="shared" ref="AQ194:AQ196" si="198">AO194-AP194</f>
        <v>8.15</v>
      </c>
      <c r="AR194" s="639"/>
      <c r="AS194" s="1521"/>
      <c r="AT194" s="349"/>
      <c r="AU194" s="349"/>
    </row>
    <row r="195" spans="1:47" s="150" customFormat="1" ht="17" hidden="1" customHeight="1">
      <c r="A195" s="140"/>
      <c r="B195" s="1096"/>
      <c r="C195" s="169" t="s">
        <v>190</v>
      </c>
      <c r="D195" s="30" t="s">
        <v>21</v>
      </c>
      <c r="E195" s="446" t="s">
        <v>40</v>
      </c>
      <c r="F195" s="828" t="s">
        <v>615</v>
      </c>
      <c r="G195" s="772"/>
      <c r="H195" s="775">
        <v>45768</v>
      </c>
      <c r="I195" s="775">
        <v>45838</v>
      </c>
      <c r="J195" s="29"/>
      <c r="K195" s="734"/>
      <c r="L195" s="734"/>
      <c r="M195" s="759"/>
      <c r="N195" s="1048"/>
      <c r="O195" s="75">
        <v>0.3</v>
      </c>
      <c r="P195" s="53"/>
      <c r="Q195" s="1270">
        <v>1</v>
      </c>
      <c r="R195" s="557">
        <f t="shared" si="196"/>
        <v>1</v>
      </c>
      <c r="S195" s="1167">
        <v>1</v>
      </c>
      <c r="T195" s="28">
        <f>$T$1*S195</f>
        <v>0.6</v>
      </c>
      <c r="U195" s="1164"/>
      <c r="V195" s="1164"/>
      <c r="W195" s="1164"/>
      <c r="X195" s="1164"/>
      <c r="Y195" s="1164"/>
      <c r="Z195" s="1164"/>
      <c r="AA195" s="1164"/>
      <c r="AB195" s="1164"/>
      <c r="AC195" s="1162"/>
      <c r="AD195" s="1268"/>
      <c r="AE195" s="1166"/>
      <c r="AF195" s="1167"/>
      <c r="AG195" s="1164"/>
      <c r="AH195" s="1162"/>
      <c r="AI195" s="1162"/>
      <c r="AJ195" s="1267"/>
      <c r="AK195" s="1269"/>
      <c r="AL195" s="1270"/>
      <c r="AM195" s="1270"/>
      <c r="AN195" s="1267"/>
      <c r="AO195" s="719">
        <f t="shared" ref="AO195:AO196" si="199">+K195+M195+O195+Q195+S195+U195+W195+Y195+AA195+AC195+AE195+AG195+AI195+AK195+AM195</f>
        <v>2.2999999999999998</v>
      </c>
      <c r="AP195" s="524">
        <f t="shared" si="197"/>
        <v>1.6</v>
      </c>
      <c r="AQ195" s="525">
        <f t="shared" si="198"/>
        <v>0.69999999999999973</v>
      </c>
      <c r="AR195" s="639"/>
      <c r="AS195" s="1521"/>
      <c r="AT195" s="349"/>
      <c r="AU195" s="349"/>
    </row>
    <row r="196" spans="1:47" s="150" customFormat="1" ht="17" hidden="1" customHeight="1">
      <c r="A196" s="140"/>
      <c r="B196" s="1096"/>
      <c r="C196" s="169" t="s">
        <v>190</v>
      </c>
      <c r="D196" s="30" t="s">
        <v>42</v>
      </c>
      <c r="E196" s="446" t="s">
        <v>40</v>
      </c>
      <c r="F196" s="1091" t="s">
        <v>573</v>
      </c>
      <c r="G196" s="830" t="s">
        <v>650</v>
      </c>
      <c r="H196" s="924">
        <v>45720</v>
      </c>
      <c r="I196" s="924">
        <v>45838</v>
      </c>
      <c r="J196" s="676"/>
      <c r="K196" s="751"/>
      <c r="L196" s="751"/>
      <c r="M196" s="745"/>
      <c r="N196" s="495">
        <v>0.25</v>
      </c>
      <c r="O196" s="958">
        <v>0</v>
      </c>
      <c r="P196" s="765">
        <f>$O$1*$P$1</f>
        <v>1</v>
      </c>
      <c r="Q196" s="1126">
        <v>0</v>
      </c>
      <c r="R196" s="767">
        <f>R$1*Q1</f>
        <v>1</v>
      </c>
      <c r="S196" s="1364">
        <v>0</v>
      </c>
      <c r="T196" s="1125">
        <f>$T$1</f>
        <v>0.6</v>
      </c>
      <c r="U196" s="1164"/>
      <c r="V196" s="1164"/>
      <c r="W196" s="1164"/>
      <c r="X196" s="1164"/>
      <c r="Y196" s="1164"/>
      <c r="Z196" s="1164"/>
      <c r="AA196" s="1620"/>
      <c r="AB196" s="1620"/>
      <c r="AC196" s="1621"/>
      <c r="AD196" s="1298"/>
      <c r="AE196" s="1166"/>
      <c r="AF196" s="1167"/>
      <c r="AG196" s="1164"/>
      <c r="AH196" s="1162"/>
      <c r="AI196" s="1162"/>
      <c r="AJ196" s="1267"/>
      <c r="AK196" s="1269"/>
      <c r="AL196" s="1270"/>
      <c r="AM196" s="1270"/>
      <c r="AN196" s="1267"/>
      <c r="AO196" s="719">
        <f t="shared" si="199"/>
        <v>0</v>
      </c>
      <c r="AP196" s="524">
        <f t="shared" si="197"/>
        <v>2.85</v>
      </c>
      <c r="AQ196" s="525">
        <f t="shared" si="198"/>
        <v>-2.85</v>
      </c>
      <c r="AR196" s="639" t="s">
        <v>42</v>
      </c>
      <c r="AS196" s="1521"/>
      <c r="AT196" s="349"/>
      <c r="AU196" s="349"/>
    </row>
    <row r="197" spans="1:47" s="150" customFormat="1" ht="17" hidden="1" customHeight="1">
      <c r="A197" s="140"/>
      <c r="B197" s="1096"/>
      <c r="C197" s="858" t="s">
        <v>558</v>
      </c>
      <c r="D197" s="26" t="s">
        <v>561</v>
      </c>
      <c r="E197" s="908" t="s">
        <v>559</v>
      </c>
      <c r="F197" s="895" t="s">
        <v>302</v>
      </c>
      <c r="G197" s="773"/>
      <c r="H197" s="735">
        <v>45992</v>
      </c>
      <c r="I197" s="775">
        <v>46112</v>
      </c>
      <c r="J197" s="29"/>
      <c r="K197" s="734"/>
      <c r="L197" s="734"/>
      <c r="M197" s="583"/>
      <c r="N197" s="374"/>
      <c r="O197" s="75"/>
      <c r="P197" s="587"/>
      <c r="Q197" s="1162"/>
      <c r="R197" s="1268"/>
      <c r="S197" s="1167"/>
      <c r="T197" s="1164"/>
      <c r="U197" s="1164"/>
      <c r="V197" s="1164"/>
      <c r="W197" s="1164"/>
      <c r="X197" s="1164"/>
      <c r="Y197" s="1164"/>
      <c r="Z197" s="1164"/>
      <c r="AA197" s="1164"/>
      <c r="AB197" s="1164"/>
      <c r="AC197" s="1164"/>
      <c r="AD197" s="1268"/>
      <c r="AE197" s="1166">
        <v>1</v>
      </c>
      <c r="AF197" s="1167"/>
      <c r="AG197" s="1164">
        <v>1</v>
      </c>
      <c r="AH197" s="1162"/>
      <c r="AI197" s="1162">
        <v>1</v>
      </c>
      <c r="AJ197" s="1267"/>
      <c r="AK197" s="1269">
        <v>0</v>
      </c>
      <c r="AL197" s="1270"/>
      <c r="AM197" s="1270"/>
      <c r="AN197" s="1267"/>
      <c r="AO197" s="719">
        <f t="shared" ref="AO197" si="200">+K197+M197+O197+Q197+S197+U197+W197+Y197+AA197+AC197+AE197+AG197+AI197+AK197+AM197</f>
        <v>3</v>
      </c>
      <c r="AP197" s="524">
        <f t="shared" ref="AP197" si="201">+L197+N197+P197+R197+T197+V197+X197+Z197+AB197+AD197+AF197+AH197+AJ197+AL197+AN197</f>
        <v>0</v>
      </c>
      <c r="AQ197" s="525">
        <f t="shared" ref="AQ197" si="202">AO197-AP197</f>
        <v>3</v>
      </c>
      <c r="AR197" s="639"/>
      <c r="AS197" s="1521"/>
      <c r="AT197" s="349"/>
      <c r="AU197" s="349"/>
    </row>
    <row r="198" spans="1:47" s="150" customFormat="1" ht="17" hidden="1" customHeight="1" thickBot="1">
      <c r="A198" s="140"/>
      <c r="B198" s="1096"/>
      <c r="C198" s="909" t="s">
        <v>252</v>
      </c>
      <c r="D198" s="910" t="s">
        <v>560</v>
      </c>
      <c r="E198" s="860" t="s">
        <v>256</v>
      </c>
      <c r="F198" s="915" t="s">
        <v>302</v>
      </c>
      <c r="G198" s="599" t="s">
        <v>638</v>
      </c>
      <c r="H198" s="861">
        <v>45839</v>
      </c>
      <c r="I198" s="816">
        <v>46112</v>
      </c>
      <c r="J198" s="597"/>
      <c r="K198" s="742"/>
      <c r="L198" s="742"/>
      <c r="M198" s="590"/>
      <c r="N198" s="595"/>
      <c r="O198" s="1050"/>
      <c r="P198" s="591"/>
      <c r="Q198" s="1286"/>
      <c r="R198" s="1283"/>
      <c r="S198" s="1285"/>
      <c r="T198" s="1281"/>
      <c r="U198" s="1281">
        <v>1</v>
      </c>
      <c r="V198" s="1281"/>
      <c r="W198" s="1281">
        <v>1</v>
      </c>
      <c r="X198" s="1281"/>
      <c r="Y198" s="1281">
        <v>1</v>
      </c>
      <c r="Z198" s="1281"/>
      <c r="AA198" s="1281">
        <v>1</v>
      </c>
      <c r="AB198" s="1281"/>
      <c r="AC198" s="1281">
        <v>1</v>
      </c>
      <c r="AD198" s="1283"/>
      <c r="AE198" s="1299">
        <v>1</v>
      </c>
      <c r="AF198" s="1285"/>
      <c r="AG198" s="1281">
        <v>1</v>
      </c>
      <c r="AH198" s="1286"/>
      <c r="AI198" s="1286">
        <v>1</v>
      </c>
      <c r="AJ198" s="1288"/>
      <c r="AK198" s="1300">
        <v>0</v>
      </c>
      <c r="AL198" s="1290"/>
      <c r="AM198" s="1290"/>
      <c r="AN198" s="1288"/>
      <c r="AO198" s="1580">
        <f t="shared" si="132"/>
        <v>8</v>
      </c>
      <c r="AP198" s="690">
        <f t="shared" si="133"/>
        <v>0</v>
      </c>
      <c r="AQ198" s="691">
        <f t="shared" si="134"/>
        <v>8</v>
      </c>
      <c r="AR198" s="639"/>
      <c r="AS198" s="1521"/>
      <c r="AT198" s="349"/>
      <c r="AU198" s="349"/>
    </row>
    <row r="199" spans="1:47" s="150" customFormat="1" ht="17" hidden="1" customHeight="1">
      <c r="A199" s="140"/>
      <c r="B199" s="1096"/>
      <c r="C199" s="911" t="s">
        <v>254</v>
      </c>
      <c r="D199" s="6" t="s">
        <v>42</v>
      </c>
      <c r="E199" s="912" t="s">
        <v>256</v>
      </c>
      <c r="F199" s="916" t="s">
        <v>302</v>
      </c>
      <c r="G199" s="688"/>
      <c r="H199" s="600">
        <v>45839</v>
      </c>
      <c r="I199" s="735">
        <v>46112</v>
      </c>
      <c r="J199" s="366"/>
      <c r="K199" s="738"/>
      <c r="L199" s="738"/>
      <c r="M199" s="738"/>
      <c r="N199" s="383"/>
      <c r="O199" s="1051"/>
      <c r="P199" s="1052"/>
      <c r="Q199" s="1160"/>
      <c r="R199" s="1301"/>
      <c r="S199" s="1292"/>
      <c r="T199" s="1155"/>
      <c r="U199" s="1155">
        <v>1</v>
      </c>
      <c r="V199" s="1155"/>
      <c r="W199" s="1155">
        <v>1</v>
      </c>
      <c r="X199" s="1155"/>
      <c r="Y199" s="1155">
        <v>1</v>
      </c>
      <c r="Z199" s="1155"/>
      <c r="AA199" s="1155">
        <v>1</v>
      </c>
      <c r="AB199" s="1155"/>
      <c r="AC199" s="1155">
        <v>1</v>
      </c>
      <c r="AD199" s="1156"/>
      <c r="AE199" s="1295">
        <v>1</v>
      </c>
      <c r="AF199" s="1292"/>
      <c r="AG199" s="1155">
        <v>1</v>
      </c>
      <c r="AH199" s="1153"/>
      <c r="AI199" s="1153">
        <v>1</v>
      </c>
      <c r="AJ199" s="1264"/>
      <c r="AK199" s="1265">
        <v>0</v>
      </c>
      <c r="AL199" s="1266"/>
      <c r="AM199" s="1302"/>
      <c r="AN199" s="1264"/>
      <c r="AO199" s="719">
        <f t="shared" si="132"/>
        <v>8</v>
      </c>
      <c r="AP199" s="524">
        <f t="shared" si="133"/>
        <v>0</v>
      </c>
      <c r="AQ199" s="525">
        <f t="shared" si="134"/>
        <v>8</v>
      </c>
      <c r="AR199" s="639" t="s">
        <v>42</v>
      </c>
      <c r="AS199" s="1521"/>
      <c r="AT199" s="349"/>
      <c r="AU199" s="349"/>
    </row>
    <row r="200" spans="1:47" s="150" customFormat="1" ht="17" hidden="1" customHeight="1">
      <c r="A200" s="140"/>
      <c r="B200" s="1096"/>
      <c r="C200" s="272" t="s">
        <v>254</v>
      </c>
      <c r="D200" s="2" t="s">
        <v>283</v>
      </c>
      <c r="E200" s="533" t="s">
        <v>256</v>
      </c>
      <c r="F200" s="828" t="s">
        <v>302</v>
      </c>
      <c r="G200" s="618"/>
      <c r="H200" s="600">
        <v>45839</v>
      </c>
      <c r="I200" s="735">
        <v>46112</v>
      </c>
      <c r="J200" s="29"/>
      <c r="K200" s="219"/>
      <c r="L200" s="219"/>
      <c r="M200" s="219"/>
      <c r="N200" s="383"/>
      <c r="O200" s="75"/>
      <c r="P200" s="379"/>
      <c r="Q200" s="1162"/>
      <c r="R200" s="1268"/>
      <c r="S200" s="1167"/>
      <c r="T200" s="1164"/>
      <c r="U200" s="1164">
        <v>1</v>
      </c>
      <c r="V200" s="1164"/>
      <c r="W200" s="1164">
        <v>1</v>
      </c>
      <c r="X200" s="1164"/>
      <c r="Y200" s="1164">
        <v>1</v>
      </c>
      <c r="Z200" s="1164"/>
      <c r="AA200" s="1164">
        <v>1</v>
      </c>
      <c r="AB200" s="1164"/>
      <c r="AC200" s="1164">
        <v>1</v>
      </c>
      <c r="AD200" s="1268"/>
      <c r="AE200" s="1166">
        <v>1</v>
      </c>
      <c r="AF200" s="1167"/>
      <c r="AG200" s="1164">
        <v>1</v>
      </c>
      <c r="AH200" s="1162"/>
      <c r="AI200" s="1162">
        <v>1</v>
      </c>
      <c r="AJ200" s="1267"/>
      <c r="AK200" s="1269">
        <v>0</v>
      </c>
      <c r="AL200" s="1270"/>
      <c r="AM200" s="1270"/>
      <c r="AN200" s="1267"/>
      <c r="AO200" s="719">
        <f t="shared" si="132"/>
        <v>8</v>
      </c>
      <c r="AP200" s="524">
        <f t="shared" si="133"/>
        <v>0</v>
      </c>
      <c r="AQ200" s="525">
        <f t="shared" si="134"/>
        <v>8</v>
      </c>
      <c r="AR200" s="639" t="s">
        <v>283</v>
      </c>
      <c r="AS200" s="1521"/>
      <c r="AT200" s="349"/>
      <c r="AU200" s="349"/>
    </row>
    <row r="201" spans="1:47" s="150" customFormat="1" ht="17" hidden="1" customHeight="1">
      <c r="A201" s="140"/>
      <c r="B201" s="1096"/>
      <c r="C201" s="272" t="s">
        <v>255</v>
      </c>
      <c r="D201" s="2" t="s">
        <v>42</v>
      </c>
      <c r="E201" s="533" t="s">
        <v>256</v>
      </c>
      <c r="F201" s="828" t="s">
        <v>302</v>
      </c>
      <c r="G201" s="618"/>
      <c r="H201" s="792">
        <v>45839</v>
      </c>
      <c r="I201" s="810">
        <v>46142</v>
      </c>
      <c r="J201" s="29"/>
      <c r="K201" s="219"/>
      <c r="L201" s="219"/>
      <c r="M201" s="219"/>
      <c r="N201" s="383"/>
      <c r="O201" s="75"/>
      <c r="P201" s="379"/>
      <c r="Q201" s="1162"/>
      <c r="R201" s="1268"/>
      <c r="S201" s="1167"/>
      <c r="T201" s="1164"/>
      <c r="U201" s="1164">
        <v>1</v>
      </c>
      <c r="V201" s="1164"/>
      <c r="W201" s="1164">
        <v>1</v>
      </c>
      <c r="X201" s="1164"/>
      <c r="Y201" s="1164">
        <v>1</v>
      </c>
      <c r="Z201" s="1164"/>
      <c r="AA201" s="1164">
        <v>1</v>
      </c>
      <c r="AB201" s="1164"/>
      <c r="AC201" s="1164">
        <v>1</v>
      </c>
      <c r="AD201" s="1268"/>
      <c r="AE201" s="1166">
        <v>1</v>
      </c>
      <c r="AF201" s="1167"/>
      <c r="AG201" s="1164">
        <v>1</v>
      </c>
      <c r="AH201" s="1162"/>
      <c r="AI201" s="1162">
        <v>1</v>
      </c>
      <c r="AJ201" s="1267"/>
      <c r="AK201" s="1269">
        <v>0</v>
      </c>
      <c r="AL201" s="1270"/>
      <c r="AM201" s="1270">
        <v>0</v>
      </c>
      <c r="AN201" s="1267"/>
      <c r="AO201" s="719">
        <f t="shared" si="132"/>
        <v>8</v>
      </c>
      <c r="AP201" s="524">
        <f t="shared" si="133"/>
        <v>0</v>
      </c>
      <c r="AQ201" s="525">
        <f t="shared" si="134"/>
        <v>8</v>
      </c>
      <c r="AR201" s="639" t="s">
        <v>42</v>
      </c>
      <c r="AS201" s="1521"/>
      <c r="AT201" s="349"/>
      <c r="AU201" s="349"/>
    </row>
    <row r="202" spans="1:47" s="150" customFormat="1" ht="17" hidden="1" customHeight="1" thickBot="1">
      <c r="A202" s="140"/>
      <c r="B202" s="1095"/>
      <c r="C202" s="177" t="s">
        <v>622</v>
      </c>
      <c r="D202" s="63" t="s">
        <v>22</v>
      </c>
      <c r="E202" s="30" t="s">
        <v>17</v>
      </c>
      <c r="F202" s="110" t="s">
        <v>894</v>
      </c>
      <c r="G202" s="838" t="s">
        <v>557</v>
      </c>
      <c r="H202" s="925">
        <v>45810</v>
      </c>
      <c r="I202" s="1531">
        <v>46053</v>
      </c>
      <c r="J202" s="360"/>
      <c r="K202" s="220"/>
      <c r="L202" s="220"/>
      <c r="M202" s="220"/>
      <c r="N202" s="900"/>
      <c r="O202" s="75"/>
      <c r="P202" s="835"/>
      <c r="Q202" s="1303"/>
      <c r="R202" s="1304"/>
      <c r="S202" s="1364">
        <v>0</v>
      </c>
      <c r="T202" s="1125">
        <f t="shared" ref="T202:T203" si="203">$T$1</f>
        <v>0.6</v>
      </c>
      <c r="U202" s="1126">
        <v>0</v>
      </c>
      <c r="V202" s="1377"/>
      <c r="W202" s="1126">
        <v>0</v>
      </c>
      <c r="X202" s="1377"/>
      <c r="Y202" s="1126">
        <v>0</v>
      </c>
      <c r="Z202" s="1377"/>
      <c r="AA202" s="1126">
        <v>0</v>
      </c>
      <c r="AB202" s="1377"/>
      <c r="AC202" s="1669">
        <v>1</v>
      </c>
      <c r="AD202" s="1670"/>
      <c r="AE202" s="1669">
        <v>1</v>
      </c>
      <c r="AF202" s="1671"/>
      <c r="AG202" s="1669">
        <v>1</v>
      </c>
      <c r="AH202" s="1672"/>
      <c r="AI202" s="1303">
        <v>0</v>
      </c>
      <c r="AJ202" s="1307"/>
      <c r="AK202" s="1308">
        <v>0</v>
      </c>
      <c r="AL202" s="1309"/>
      <c r="AM202" s="1309"/>
      <c r="AN202" s="1307"/>
      <c r="AO202" s="1581">
        <f t="shared" si="132"/>
        <v>3</v>
      </c>
      <c r="AP202" s="520">
        <f t="shared" si="133"/>
        <v>0.6</v>
      </c>
      <c r="AQ202" s="521">
        <f t="shared" si="134"/>
        <v>2.4</v>
      </c>
      <c r="AR202" s="639"/>
      <c r="AS202" s="1521"/>
      <c r="AT202" s="427"/>
      <c r="AU202" s="349"/>
    </row>
    <row r="203" spans="1:47" s="150" customFormat="1" ht="17" hidden="1" customHeight="1" thickBot="1">
      <c r="A203" s="140"/>
      <c r="B203" s="1095"/>
      <c r="C203" s="73" t="s">
        <v>622</v>
      </c>
      <c r="D203" s="30" t="s">
        <v>668</v>
      </c>
      <c r="E203" s="30" t="s">
        <v>17</v>
      </c>
      <c r="F203" s="30" t="s">
        <v>891</v>
      </c>
      <c r="G203" s="838" t="s">
        <v>686</v>
      </c>
      <c r="H203" s="925">
        <v>45810</v>
      </c>
      <c r="I203" s="926">
        <v>46053</v>
      </c>
      <c r="J203" s="597"/>
      <c r="K203" s="592"/>
      <c r="L203" s="592"/>
      <c r="M203" s="592"/>
      <c r="N203" s="595"/>
      <c r="O203" s="290"/>
      <c r="P203" s="376"/>
      <c r="Q203" s="380"/>
      <c r="R203" s="1451"/>
      <c r="S203" s="1364">
        <v>0</v>
      </c>
      <c r="T203" s="1125">
        <f t="shared" si="203"/>
        <v>0.6</v>
      </c>
      <c r="U203" s="1126">
        <v>0</v>
      </c>
      <c r="V203" s="1377"/>
      <c r="W203" s="1126">
        <v>0</v>
      </c>
      <c r="X203" s="1377"/>
      <c r="Y203" s="1126">
        <v>0</v>
      </c>
      <c r="Z203" s="1377"/>
      <c r="AA203" s="1126">
        <v>0</v>
      </c>
      <c r="AB203" s="1377"/>
      <c r="AC203" s="1669">
        <v>1</v>
      </c>
      <c r="AD203" s="1670"/>
      <c r="AE203" s="1669">
        <v>1</v>
      </c>
      <c r="AF203" s="1671"/>
      <c r="AG203" s="1669">
        <v>1</v>
      </c>
      <c r="AH203" s="1672"/>
      <c r="AI203" s="1310"/>
      <c r="AJ203" s="593"/>
      <c r="AK203" s="1311"/>
      <c r="AL203" s="592"/>
      <c r="AM203" s="1223"/>
      <c r="AN203" s="593"/>
      <c r="AO203" s="1581">
        <f t="shared" si="132"/>
        <v>3</v>
      </c>
      <c r="AP203" s="524">
        <f t="shared" si="133"/>
        <v>0.6</v>
      </c>
      <c r="AQ203" s="525">
        <f t="shared" si="134"/>
        <v>2.4</v>
      </c>
      <c r="AR203" s="638"/>
      <c r="AS203" s="1521"/>
      <c r="AT203" s="349"/>
      <c r="AU203" s="349"/>
    </row>
    <row r="204" spans="1:47" s="150" customFormat="1" ht="17" hidden="1" customHeight="1" thickBot="1">
      <c r="A204" s="140"/>
      <c r="B204" s="133"/>
      <c r="C204" s="492" t="s">
        <v>16</v>
      </c>
      <c r="D204" s="197"/>
      <c r="E204" s="437"/>
      <c r="F204" s="602"/>
      <c r="G204" s="602"/>
      <c r="H204" s="603"/>
      <c r="I204" s="356"/>
      <c r="J204" s="159">
        <f>SUM(J123:J155)</f>
        <v>0</v>
      </c>
      <c r="K204" s="198">
        <f t="shared" ref="K204:U204" si="204">SUM(K123:K203)</f>
        <v>14</v>
      </c>
      <c r="L204" s="178">
        <f t="shared" si="204"/>
        <v>14.8</v>
      </c>
      <c r="M204" s="198">
        <f t="shared" si="204"/>
        <v>20.099999999999998</v>
      </c>
      <c r="N204" s="1053">
        <f t="shared" si="204"/>
        <v>21.05</v>
      </c>
      <c r="O204" s="161">
        <f t="shared" si="204"/>
        <v>22.35</v>
      </c>
      <c r="P204" s="178">
        <f t="shared" si="204"/>
        <v>27.3</v>
      </c>
      <c r="Q204" s="178">
        <f t="shared" si="204"/>
        <v>28.9</v>
      </c>
      <c r="R204" s="178">
        <f t="shared" si="204"/>
        <v>36.9</v>
      </c>
      <c r="S204" s="963">
        <f t="shared" si="204"/>
        <v>43.75</v>
      </c>
      <c r="T204" s="963">
        <f t="shared" si="204"/>
        <v>28.050000000000022</v>
      </c>
      <c r="U204" s="560">
        <f t="shared" si="204"/>
        <v>54.5</v>
      </c>
      <c r="V204" s="560"/>
      <c r="W204" s="560">
        <f>SUM(W123:W203)</f>
        <v>57</v>
      </c>
      <c r="X204" s="560"/>
      <c r="Y204" s="560">
        <f>SUM(Y123:Y203)</f>
        <v>55.2</v>
      </c>
      <c r="Z204" s="560"/>
      <c r="AA204" s="560">
        <f>SUM(AA123:AA203)</f>
        <v>54.7</v>
      </c>
      <c r="AB204" s="560"/>
      <c r="AC204" s="560">
        <f>SUM(AC123:AC203)</f>
        <v>56.2</v>
      </c>
      <c r="AD204" s="561"/>
      <c r="AE204" s="389">
        <f>SUM(AE123:AE203)</f>
        <v>54.400000000000006</v>
      </c>
      <c r="AF204" s="368"/>
      <c r="AG204" s="198">
        <f>SUM(AG123:AG203)</f>
        <v>50.2</v>
      </c>
      <c r="AH204" s="384"/>
      <c r="AI204" s="384">
        <f>SUM(AI123:AI203)</f>
        <v>45.5</v>
      </c>
      <c r="AJ204" s="372"/>
      <c r="AK204" s="389">
        <f>SUM(AK123:AK203)</f>
        <v>35.950000000000003</v>
      </c>
      <c r="AL204" s="198"/>
      <c r="AM204" s="198">
        <f>SUM(AM123:AM203)</f>
        <v>24.5</v>
      </c>
      <c r="AN204" s="372"/>
      <c r="AO204" s="514">
        <f>+SUM(AO123:AO203)</f>
        <v>617.24999999999989</v>
      </c>
      <c r="AP204" s="515">
        <f>+SUM(AP123:AP203)</f>
        <v>128.09999999999991</v>
      </c>
      <c r="AQ204" s="516">
        <f>+SUM(AQ123:AQ203)</f>
        <v>489.14999999999947</v>
      </c>
      <c r="AR204" s="648"/>
      <c r="AS204" s="1520"/>
      <c r="AT204" s="349"/>
      <c r="AU204" s="349"/>
    </row>
    <row r="205" spans="1:47" s="140" customFormat="1" ht="17" hidden="1" customHeight="1">
      <c r="B205" s="1799" t="s">
        <v>67</v>
      </c>
      <c r="C205" s="200" t="s">
        <v>194</v>
      </c>
      <c r="D205" s="201" t="s">
        <v>198</v>
      </c>
      <c r="E205" s="532" t="s">
        <v>59</v>
      </c>
      <c r="F205" s="616" t="s">
        <v>567</v>
      </c>
      <c r="G205" s="616"/>
      <c r="H205" s="620">
        <v>45691</v>
      </c>
      <c r="I205" s="818">
        <v>46142</v>
      </c>
      <c r="J205" s="366"/>
      <c r="K205" s="302">
        <v>1</v>
      </c>
      <c r="L205" s="53">
        <f t="shared" ref="L205:L206" si="205">K205*$L$1</f>
        <v>1</v>
      </c>
      <c r="M205" s="302">
        <v>1</v>
      </c>
      <c r="N205" s="53">
        <f t="shared" si="161"/>
        <v>1</v>
      </c>
      <c r="O205" s="992">
        <v>1</v>
      </c>
      <c r="P205" s="53">
        <f t="shared" ref="P205" si="206">$P$1*O205</f>
        <v>1</v>
      </c>
      <c r="Q205" s="1312">
        <v>1</v>
      </c>
      <c r="R205" s="506">
        <f>$Q$1*Q205</f>
        <v>1</v>
      </c>
      <c r="S205" s="1313">
        <v>1</v>
      </c>
      <c r="T205" s="556">
        <f>$T$1*S205</f>
        <v>0.6</v>
      </c>
      <c r="U205" s="1314">
        <v>1</v>
      </c>
      <c r="V205" s="1314"/>
      <c r="W205" s="1314">
        <v>1</v>
      </c>
      <c r="X205" s="1314"/>
      <c r="Y205" s="1314">
        <v>1</v>
      </c>
      <c r="Z205" s="1314"/>
      <c r="AA205" s="1314">
        <v>1</v>
      </c>
      <c r="AB205" s="1314"/>
      <c r="AC205" s="1314">
        <v>1</v>
      </c>
      <c r="AD205" s="1315"/>
      <c r="AE205" s="1316">
        <v>1</v>
      </c>
      <c r="AF205" s="1317"/>
      <c r="AG205" s="1318">
        <v>1</v>
      </c>
      <c r="AH205" s="1319"/>
      <c r="AI205" s="1319">
        <v>1</v>
      </c>
      <c r="AJ205" s="1320"/>
      <c r="AK205" s="1316">
        <v>1</v>
      </c>
      <c r="AL205" s="1318"/>
      <c r="AM205" s="1318">
        <v>1</v>
      </c>
      <c r="AN205" s="1320"/>
      <c r="AO205" s="522">
        <f t="shared" ref="AO205:AO213" si="207">+K205+M205+O205+Q205+S205+U205+W205+Y205+AA205+AC205+AE205+AG205+AI205+AK205+AM205</f>
        <v>15</v>
      </c>
      <c r="AP205" s="524">
        <f t="shared" ref="AP205:AP213" si="208">+L205+N205+P205+R205+T205+V205+X205+Z205+AB205+AD205+AF205+AH205+AJ205+AL205+AN205</f>
        <v>4.5999999999999996</v>
      </c>
      <c r="AQ205" s="525">
        <f t="shared" ref="AQ205:AQ213" si="209">AO205-AP205</f>
        <v>10.4</v>
      </c>
      <c r="AR205" s="641" t="s">
        <v>77</v>
      </c>
      <c r="AS205" s="1453"/>
      <c r="AT205" s="349">
        <v>15</v>
      </c>
      <c r="AU205" s="349"/>
    </row>
    <row r="206" spans="1:47" s="140" customFormat="1" ht="17" hidden="1" customHeight="1">
      <c r="B206" s="1800"/>
      <c r="C206" s="1729" t="s">
        <v>195</v>
      </c>
      <c r="D206" s="1776" t="s">
        <v>199</v>
      </c>
      <c r="E206" s="1757" t="s">
        <v>59</v>
      </c>
      <c r="F206" s="1777" t="s">
        <v>366</v>
      </c>
      <c r="G206" s="1777" t="s">
        <v>654</v>
      </c>
      <c r="H206" s="1778">
        <v>45691</v>
      </c>
      <c r="I206" s="1765">
        <v>45776</v>
      </c>
      <c r="J206" s="1617"/>
      <c r="K206" s="304">
        <v>1</v>
      </c>
      <c r="L206" s="53">
        <f t="shared" si="205"/>
        <v>1</v>
      </c>
      <c r="M206" s="304">
        <v>1</v>
      </c>
      <c r="N206" s="53">
        <f t="shared" si="161"/>
        <v>1</v>
      </c>
      <c r="O206" s="763">
        <v>0.5</v>
      </c>
      <c r="P206" s="673">
        <v>0.8</v>
      </c>
      <c r="Q206" s="1321"/>
      <c r="R206" s="1322"/>
      <c r="S206" s="1323"/>
      <c r="T206" s="1324"/>
      <c r="U206" s="1324"/>
      <c r="V206" s="1324"/>
      <c r="W206" s="1324"/>
      <c r="X206" s="1324"/>
      <c r="Y206" s="1324"/>
      <c r="Z206" s="1324"/>
      <c r="AA206" s="1324"/>
      <c r="AB206" s="1324"/>
      <c r="AC206" s="1324"/>
      <c r="AD206" s="1325"/>
      <c r="AE206" s="1326"/>
      <c r="AF206" s="1327"/>
      <c r="AG206" s="1328"/>
      <c r="AH206" s="1329"/>
      <c r="AI206" s="1329"/>
      <c r="AJ206" s="1330"/>
      <c r="AK206" s="1326"/>
      <c r="AL206" s="1328"/>
      <c r="AM206" s="1328"/>
      <c r="AN206" s="1330"/>
      <c r="AO206" s="522">
        <f t="shared" si="207"/>
        <v>2.5</v>
      </c>
      <c r="AP206" s="524">
        <f t="shared" si="208"/>
        <v>2.8</v>
      </c>
      <c r="AQ206" s="525">
        <f t="shared" si="209"/>
        <v>-0.29999999999999982</v>
      </c>
      <c r="AR206" s="649" t="s">
        <v>42</v>
      </c>
      <c r="AS206" s="1523"/>
      <c r="AT206" s="349">
        <v>2.5</v>
      </c>
      <c r="AU206" s="349"/>
    </row>
    <row r="207" spans="1:47" s="140" customFormat="1" ht="17" hidden="1" customHeight="1">
      <c r="B207" s="1800"/>
      <c r="C207" s="202" t="s">
        <v>195</v>
      </c>
      <c r="D207" s="203" t="s">
        <v>199</v>
      </c>
      <c r="E207" s="446" t="s">
        <v>59</v>
      </c>
      <c r="F207" s="617" t="s">
        <v>607</v>
      </c>
      <c r="G207" s="791"/>
      <c r="H207" s="358">
        <v>45763</v>
      </c>
      <c r="I207" s="817">
        <v>46142</v>
      </c>
      <c r="J207" s="1617"/>
      <c r="K207" s="304"/>
      <c r="L207" s="53"/>
      <c r="M207" s="304"/>
      <c r="N207" s="53"/>
      <c r="O207" s="67">
        <v>0.5</v>
      </c>
      <c r="P207" s="4">
        <v>0.25</v>
      </c>
      <c r="Q207" s="1321">
        <v>1</v>
      </c>
      <c r="R207" s="506">
        <f>$Q$1*Q207</f>
        <v>1</v>
      </c>
      <c r="S207" s="1323">
        <v>1</v>
      </c>
      <c r="T207" s="556">
        <f t="shared" ref="T207:T212" si="210">$T$1*S207</f>
        <v>0.6</v>
      </c>
      <c r="U207" s="1324">
        <v>1</v>
      </c>
      <c r="V207" s="1324"/>
      <c r="W207" s="1324">
        <v>1</v>
      </c>
      <c r="X207" s="1324"/>
      <c r="Y207" s="1324">
        <v>1</v>
      </c>
      <c r="Z207" s="1324"/>
      <c r="AA207" s="1324">
        <v>1</v>
      </c>
      <c r="AB207" s="1324"/>
      <c r="AC207" s="1324">
        <v>1</v>
      </c>
      <c r="AD207" s="1325"/>
      <c r="AE207" s="1326">
        <v>1</v>
      </c>
      <c r="AF207" s="1327"/>
      <c r="AG207" s="1328">
        <v>1</v>
      </c>
      <c r="AH207" s="1329"/>
      <c r="AI207" s="1329">
        <v>1</v>
      </c>
      <c r="AJ207" s="1330"/>
      <c r="AK207" s="1326">
        <v>1</v>
      </c>
      <c r="AL207" s="1328"/>
      <c r="AM207" s="1328">
        <v>1</v>
      </c>
      <c r="AN207" s="1330"/>
      <c r="AO207" s="522">
        <f t="shared" ref="AO207" si="211">+K207+M207+O207+Q207+S207+U207+W207+Y207+AA207+AC207+AE207+AG207+AI207+AK207+AM207</f>
        <v>12.5</v>
      </c>
      <c r="AP207" s="524">
        <f t="shared" ref="AP207" si="212">+L207+N207+P207+R207+T207+V207+X207+Z207+AB207+AD207+AF207+AH207+AJ207+AL207+AN207</f>
        <v>1.85</v>
      </c>
      <c r="AQ207" s="525">
        <f t="shared" ref="AQ207" si="213">AO207-AP207</f>
        <v>10.65</v>
      </c>
      <c r="AR207" s="649" t="s">
        <v>42</v>
      </c>
      <c r="AS207" s="1523"/>
      <c r="AT207" s="349">
        <v>12.5</v>
      </c>
      <c r="AU207" s="349"/>
    </row>
    <row r="208" spans="1:47" s="140" customFormat="1" ht="17" hidden="1" customHeight="1">
      <c r="B208" s="1800"/>
      <c r="C208" s="202" t="s">
        <v>195</v>
      </c>
      <c r="D208" s="203" t="s">
        <v>199</v>
      </c>
      <c r="E208" s="533" t="s">
        <v>59</v>
      </c>
      <c r="F208" s="617" t="s">
        <v>367</v>
      </c>
      <c r="G208" s="610"/>
      <c r="H208" s="619">
        <v>45810</v>
      </c>
      <c r="I208" s="800">
        <v>46081</v>
      </c>
      <c r="J208" s="1617"/>
      <c r="K208" s="307"/>
      <c r="L208" s="307"/>
      <c r="M208" s="307"/>
      <c r="N208" s="53"/>
      <c r="O208" s="763"/>
      <c r="P208" s="499"/>
      <c r="Q208" s="1321"/>
      <c r="R208" s="1322"/>
      <c r="S208" s="1323">
        <v>1</v>
      </c>
      <c r="T208" s="556">
        <f t="shared" si="210"/>
        <v>0.6</v>
      </c>
      <c r="U208" s="1324">
        <v>1</v>
      </c>
      <c r="V208" s="1324"/>
      <c r="W208" s="1324">
        <v>1</v>
      </c>
      <c r="X208" s="1324"/>
      <c r="Y208" s="1324">
        <v>1</v>
      </c>
      <c r="Z208" s="1324"/>
      <c r="AA208" s="1324">
        <v>1</v>
      </c>
      <c r="AB208" s="1324"/>
      <c r="AC208" s="1324">
        <v>1</v>
      </c>
      <c r="AD208" s="1325"/>
      <c r="AE208" s="1326">
        <v>1</v>
      </c>
      <c r="AF208" s="1327"/>
      <c r="AG208" s="1328">
        <v>1</v>
      </c>
      <c r="AH208" s="1329"/>
      <c r="AI208" s="1329">
        <v>1</v>
      </c>
      <c r="AJ208" s="1330"/>
      <c r="AK208" s="1326"/>
      <c r="AL208" s="1328"/>
      <c r="AM208" s="1328"/>
      <c r="AN208" s="1330"/>
      <c r="AO208" s="522">
        <f t="shared" si="207"/>
        <v>9</v>
      </c>
      <c r="AP208" s="524">
        <f t="shared" si="208"/>
        <v>0.6</v>
      </c>
      <c r="AQ208" s="525">
        <f t="shared" si="209"/>
        <v>8.4</v>
      </c>
      <c r="AR208" s="649" t="s">
        <v>42</v>
      </c>
      <c r="AS208" s="1523"/>
      <c r="AT208" s="349">
        <v>9</v>
      </c>
      <c r="AU208" s="349"/>
    </row>
    <row r="209" spans="1:47" s="140" customFormat="1" ht="17" hidden="1" customHeight="1">
      <c r="B209" s="1800"/>
      <c r="C209" s="202" t="s">
        <v>195</v>
      </c>
      <c r="D209" s="203" t="s">
        <v>199</v>
      </c>
      <c r="E209" s="446" t="s">
        <v>59</v>
      </c>
      <c r="F209" s="617" t="s">
        <v>571</v>
      </c>
      <c r="G209" s="610"/>
      <c r="H209" s="619">
        <v>45720</v>
      </c>
      <c r="I209" s="800">
        <v>46081</v>
      </c>
      <c r="J209" s="1617"/>
      <c r="K209" s="304"/>
      <c r="L209" s="304"/>
      <c r="M209" s="307">
        <v>1</v>
      </c>
      <c r="N209" s="53">
        <f t="shared" si="161"/>
        <v>1</v>
      </c>
      <c r="O209" s="763">
        <v>1</v>
      </c>
      <c r="P209" s="53">
        <f t="shared" ref="P209:P211" si="214">$P$1*O209</f>
        <v>1</v>
      </c>
      <c r="Q209" s="1331">
        <v>1</v>
      </c>
      <c r="R209" s="506">
        <f t="shared" ref="R209:R211" si="215">$Q$1*Q209</f>
        <v>1</v>
      </c>
      <c r="S209" s="1323">
        <v>1</v>
      </c>
      <c r="T209" s="556">
        <f t="shared" si="210"/>
        <v>0.6</v>
      </c>
      <c r="U209" s="1324">
        <v>1</v>
      </c>
      <c r="V209" s="1324"/>
      <c r="W209" s="1324">
        <v>1</v>
      </c>
      <c r="X209" s="1324"/>
      <c r="Y209" s="1324">
        <v>1</v>
      </c>
      <c r="Z209" s="1324"/>
      <c r="AA209" s="1324">
        <v>1</v>
      </c>
      <c r="AB209" s="1324"/>
      <c r="AC209" s="1324">
        <v>1</v>
      </c>
      <c r="AD209" s="1325"/>
      <c r="AE209" s="1326">
        <v>1</v>
      </c>
      <c r="AF209" s="1327"/>
      <c r="AG209" s="1328">
        <v>1</v>
      </c>
      <c r="AH209" s="1329"/>
      <c r="AI209" s="1329">
        <v>1</v>
      </c>
      <c r="AJ209" s="1330"/>
      <c r="AK209" s="1326"/>
      <c r="AL209" s="1328"/>
      <c r="AM209" s="1328"/>
      <c r="AN209" s="1330"/>
      <c r="AO209" s="522">
        <f t="shared" si="207"/>
        <v>12</v>
      </c>
      <c r="AP209" s="524">
        <f t="shared" si="208"/>
        <v>3.6</v>
      </c>
      <c r="AQ209" s="525">
        <f t="shared" si="209"/>
        <v>8.4</v>
      </c>
      <c r="AR209" s="649" t="s">
        <v>42</v>
      </c>
      <c r="AS209" s="1523"/>
      <c r="AT209" s="349">
        <v>12</v>
      </c>
      <c r="AU209" s="349"/>
    </row>
    <row r="210" spans="1:47" s="140" customFormat="1" ht="17" hidden="1" customHeight="1">
      <c r="B210" s="1800"/>
      <c r="C210" s="202" t="s">
        <v>196</v>
      </c>
      <c r="D210" s="203" t="s">
        <v>199</v>
      </c>
      <c r="E210" s="446" t="s">
        <v>59</v>
      </c>
      <c r="F210" s="617" t="s">
        <v>368</v>
      </c>
      <c r="G210" s="610"/>
      <c r="H210" s="619">
        <v>45691</v>
      </c>
      <c r="I210" s="817">
        <v>46142</v>
      </c>
      <c r="J210" s="29"/>
      <c r="K210" s="304">
        <v>1</v>
      </c>
      <c r="L210" s="53">
        <f t="shared" ref="L210:L211" si="216">K210*$L$1</f>
        <v>1</v>
      </c>
      <c r="M210" s="304">
        <v>1</v>
      </c>
      <c r="N210" s="53">
        <f t="shared" si="161"/>
        <v>1</v>
      </c>
      <c r="O210" s="763">
        <v>1</v>
      </c>
      <c r="P210" s="53">
        <f t="shared" si="214"/>
        <v>1</v>
      </c>
      <c r="Q210" s="1321">
        <v>1</v>
      </c>
      <c r="R210" s="506">
        <f t="shared" si="215"/>
        <v>1</v>
      </c>
      <c r="S210" s="1323">
        <v>1</v>
      </c>
      <c r="T210" s="556">
        <f t="shared" si="210"/>
        <v>0.6</v>
      </c>
      <c r="U210" s="1324">
        <v>1</v>
      </c>
      <c r="V210" s="1324"/>
      <c r="W210" s="1324">
        <v>1</v>
      </c>
      <c r="X210" s="1324"/>
      <c r="Y210" s="1324">
        <v>1</v>
      </c>
      <c r="Z210" s="1324"/>
      <c r="AA210" s="1324">
        <v>1</v>
      </c>
      <c r="AB210" s="1324"/>
      <c r="AC210" s="1324">
        <v>1</v>
      </c>
      <c r="AD210" s="1325"/>
      <c r="AE210" s="1326">
        <v>1</v>
      </c>
      <c r="AF210" s="1327"/>
      <c r="AG210" s="1328">
        <v>1</v>
      </c>
      <c r="AH210" s="1329"/>
      <c r="AI210" s="1329">
        <v>1</v>
      </c>
      <c r="AJ210" s="1330"/>
      <c r="AK210" s="1326">
        <v>1</v>
      </c>
      <c r="AL210" s="1328"/>
      <c r="AM210" s="1328">
        <v>1</v>
      </c>
      <c r="AN210" s="1330"/>
      <c r="AO210" s="522">
        <f t="shared" si="207"/>
        <v>15</v>
      </c>
      <c r="AP210" s="524">
        <f t="shared" si="208"/>
        <v>4.5999999999999996</v>
      </c>
      <c r="AQ210" s="525">
        <f t="shared" si="209"/>
        <v>10.4</v>
      </c>
      <c r="AR210" s="638" t="s">
        <v>42</v>
      </c>
      <c r="AS210" s="1521"/>
      <c r="AT210" s="349">
        <v>15</v>
      </c>
      <c r="AU210" s="349"/>
    </row>
    <row r="211" spans="1:47" s="140" customFormat="1" ht="17" hidden="1" customHeight="1">
      <c r="B211" s="1800"/>
      <c r="C211" s="202" t="s">
        <v>197</v>
      </c>
      <c r="D211" s="203" t="s">
        <v>198</v>
      </c>
      <c r="E211" s="446" t="s">
        <v>59</v>
      </c>
      <c r="F211" s="610" t="s">
        <v>369</v>
      </c>
      <c r="G211" s="610"/>
      <c r="H211" s="619">
        <v>45691</v>
      </c>
      <c r="I211" s="817">
        <v>46142</v>
      </c>
      <c r="J211" s="1617"/>
      <c r="K211" s="304">
        <v>1</v>
      </c>
      <c r="L211" s="53">
        <f t="shared" si="216"/>
        <v>1</v>
      </c>
      <c r="M211" s="304">
        <v>1</v>
      </c>
      <c r="N211" s="53">
        <f t="shared" si="161"/>
        <v>1</v>
      </c>
      <c r="O211" s="763">
        <v>1</v>
      </c>
      <c r="P211" s="53">
        <f t="shared" si="214"/>
        <v>1</v>
      </c>
      <c r="Q211" s="1321">
        <v>1</v>
      </c>
      <c r="R211" s="506">
        <f t="shared" si="215"/>
        <v>1</v>
      </c>
      <c r="S211" s="1323">
        <v>1</v>
      </c>
      <c r="T211" s="556">
        <f t="shared" si="210"/>
        <v>0.6</v>
      </c>
      <c r="U211" s="1324">
        <v>1</v>
      </c>
      <c r="V211" s="1324"/>
      <c r="W211" s="1324">
        <v>1</v>
      </c>
      <c r="X211" s="1324"/>
      <c r="Y211" s="1324">
        <v>1</v>
      </c>
      <c r="Z211" s="1324"/>
      <c r="AA211" s="1324">
        <v>1</v>
      </c>
      <c r="AB211" s="1324"/>
      <c r="AC211" s="1324">
        <v>1</v>
      </c>
      <c r="AD211" s="1325"/>
      <c r="AE211" s="1326">
        <v>1</v>
      </c>
      <c r="AF211" s="1327"/>
      <c r="AG211" s="1328">
        <v>1</v>
      </c>
      <c r="AH211" s="1329"/>
      <c r="AI211" s="1329">
        <v>1</v>
      </c>
      <c r="AJ211" s="1330"/>
      <c r="AK211" s="1326">
        <v>1</v>
      </c>
      <c r="AL211" s="1328"/>
      <c r="AM211" s="1328">
        <v>1</v>
      </c>
      <c r="AN211" s="1330"/>
      <c r="AO211" s="522">
        <f t="shared" si="207"/>
        <v>15</v>
      </c>
      <c r="AP211" s="524">
        <f t="shared" si="208"/>
        <v>4.5999999999999996</v>
      </c>
      <c r="AQ211" s="525">
        <f t="shared" si="209"/>
        <v>10.4</v>
      </c>
      <c r="AR211" s="649" t="s">
        <v>77</v>
      </c>
      <c r="AS211" s="1523"/>
      <c r="AT211" s="349">
        <v>15</v>
      </c>
      <c r="AU211" s="349"/>
    </row>
    <row r="212" spans="1:47" s="140" customFormat="1" ht="17" hidden="1" customHeight="1">
      <c r="B212" s="1800"/>
      <c r="C212" s="202" t="s">
        <v>197</v>
      </c>
      <c r="D212" s="203" t="s">
        <v>200</v>
      </c>
      <c r="E212" s="446" t="s">
        <v>59</v>
      </c>
      <c r="F212" s="610" t="s">
        <v>370</v>
      </c>
      <c r="G212" s="610"/>
      <c r="H212" s="619">
        <v>45810</v>
      </c>
      <c r="I212" s="775">
        <v>45991</v>
      </c>
      <c r="J212" s="1617"/>
      <c r="K212" s="304"/>
      <c r="L212" s="304"/>
      <c r="M212" s="307"/>
      <c r="N212" s="53"/>
      <c r="O212" s="763"/>
      <c r="P212" s="499"/>
      <c r="Q212" s="1331"/>
      <c r="R212" s="1332"/>
      <c r="S212" s="1323">
        <v>1</v>
      </c>
      <c r="T212" s="556">
        <f t="shared" si="210"/>
        <v>0.6</v>
      </c>
      <c r="U212" s="1324">
        <v>1</v>
      </c>
      <c r="V212" s="1324"/>
      <c r="W212" s="1324">
        <v>1</v>
      </c>
      <c r="X212" s="1324"/>
      <c r="Y212" s="1324">
        <v>1</v>
      </c>
      <c r="Z212" s="1324"/>
      <c r="AA212" s="1324">
        <v>1</v>
      </c>
      <c r="AB212" s="1324"/>
      <c r="AC212" s="1324">
        <v>1</v>
      </c>
      <c r="AD212" s="1325"/>
      <c r="AE212" s="1326"/>
      <c r="AF212" s="1327"/>
      <c r="AG212" s="1328"/>
      <c r="AH212" s="1329"/>
      <c r="AI212" s="1329"/>
      <c r="AJ212" s="1330"/>
      <c r="AK212" s="1326"/>
      <c r="AL212" s="1328"/>
      <c r="AM212" s="1328"/>
      <c r="AN212" s="1330"/>
      <c r="AO212" s="522">
        <f t="shared" si="207"/>
        <v>6</v>
      </c>
      <c r="AP212" s="524">
        <f t="shared" si="208"/>
        <v>0.6</v>
      </c>
      <c r="AQ212" s="525">
        <f t="shared" si="209"/>
        <v>5.4</v>
      </c>
      <c r="AR212" s="649" t="s">
        <v>283</v>
      </c>
      <c r="AS212" s="1523"/>
      <c r="AT212" s="349">
        <v>6</v>
      </c>
      <c r="AU212" s="349"/>
    </row>
    <row r="213" spans="1:47" s="140" customFormat="1" ht="17" hidden="1" customHeight="1" thickBot="1">
      <c r="B213" s="1800"/>
      <c r="C213" s="1529" t="s">
        <v>623</v>
      </c>
      <c r="D213" s="1530" t="s">
        <v>893</v>
      </c>
      <c r="E213" s="30" t="s">
        <v>17</v>
      </c>
      <c r="F213" s="30" t="s">
        <v>892</v>
      </c>
      <c r="G213" s="838" t="s">
        <v>557</v>
      </c>
      <c r="H213" s="925">
        <v>45810</v>
      </c>
      <c r="I213" s="1532">
        <v>46053</v>
      </c>
      <c r="J213" s="360"/>
      <c r="K213" s="346"/>
      <c r="L213" s="346"/>
      <c r="M213" s="346"/>
      <c r="N213" s="53"/>
      <c r="O213" s="763"/>
      <c r="P213" s="500"/>
      <c r="Q213" s="1333"/>
      <c r="R213" s="1334"/>
      <c r="S213" s="1364">
        <v>0</v>
      </c>
      <c r="T213" s="1125">
        <f>$T$1</f>
        <v>0.6</v>
      </c>
      <c r="U213" s="1126">
        <v>0</v>
      </c>
      <c r="V213" s="1377"/>
      <c r="W213" s="1126">
        <v>0</v>
      </c>
      <c r="X213" s="1377"/>
      <c r="Y213" s="1126">
        <v>0</v>
      </c>
      <c r="Z213" s="1377"/>
      <c r="AA213" s="1126">
        <v>0</v>
      </c>
      <c r="AB213" s="1377"/>
      <c r="AC213" s="1669">
        <v>1</v>
      </c>
      <c r="AD213" s="1670"/>
      <c r="AE213" s="1669">
        <v>1</v>
      </c>
      <c r="AF213" s="1671"/>
      <c r="AG213" s="1669">
        <v>1</v>
      </c>
      <c r="AH213" s="1672"/>
      <c r="AI213" s="1341"/>
      <c r="AJ213" s="1342"/>
      <c r="AK213" s="1338"/>
      <c r="AL213" s="1340"/>
      <c r="AM213" s="1340"/>
      <c r="AN213" s="1343"/>
      <c r="AO213" s="1586">
        <f t="shared" si="207"/>
        <v>3</v>
      </c>
      <c r="AP213" s="524">
        <f t="shared" si="208"/>
        <v>0.6</v>
      </c>
      <c r="AQ213" s="525">
        <f t="shared" si="209"/>
        <v>2.4</v>
      </c>
      <c r="AR213" s="650"/>
      <c r="AS213" s="1523"/>
      <c r="AT213" s="427"/>
      <c r="AU213" s="349"/>
    </row>
    <row r="214" spans="1:47" s="150" customFormat="1" ht="17" hidden="1" customHeight="1" thickBot="1">
      <c r="A214" s="140"/>
      <c r="B214" s="1822"/>
      <c r="C214" s="489" t="s">
        <v>16</v>
      </c>
      <c r="D214" s="191"/>
      <c r="E214" s="458"/>
      <c r="F214" s="621"/>
      <c r="G214" s="621"/>
      <c r="H214" s="622"/>
      <c r="I214" s="819"/>
      <c r="J214" s="1622">
        <f t="shared" ref="J214:R214" si="217">SUM(J205:J213)</f>
        <v>0</v>
      </c>
      <c r="K214" s="1623">
        <f t="shared" si="217"/>
        <v>4</v>
      </c>
      <c r="L214" s="1623">
        <f t="shared" si="217"/>
        <v>4</v>
      </c>
      <c r="M214" s="1623">
        <f t="shared" si="217"/>
        <v>5</v>
      </c>
      <c r="N214" s="1623">
        <f t="shared" si="217"/>
        <v>5</v>
      </c>
      <c r="O214" s="1623">
        <f t="shared" si="217"/>
        <v>5</v>
      </c>
      <c r="P214" s="1623">
        <f t="shared" si="217"/>
        <v>5.05</v>
      </c>
      <c r="Q214" s="1081">
        <f t="shared" si="217"/>
        <v>5</v>
      </c>
      <c r="R214" s="1081">
        <f t="shared" si="217"/>
        <v>5</v>
      </c>
      <c r="S214" s="1624">
        <f>SUM(S205:S213)</f>
        <v>7</v>
      </c>
      <c r="T214" s="1624">
        <f>SUM(T205:T213)</f>
        <v>4.8</v>
      </c>
      <c r="U214" s="1625">
        <f>SUM(U205:U213)</f>
        <v>7</v>
      </c>
      <c r="V214" s="1625"/>
      <c r="W214" s="1625">
        <f>SUM(W205:W213)</f>
        <v>7</v>
      </c>
      <c r="X214" s="1625"/>
      <c r="Y214" s="1625">
        <f>SUM(Y205:Y213)</f>
        <v>7</v>
      </c>
      <c r="Z214" s="1625"/>
      <c r="AA214" s="1625">
        <f>SUM(AA205:AA213)</f>
        <v>7</v>
      </c>
      <c r="AB214" s="1625"/>
      <c r="AC214" s="1625">
        <f>SUM(AC205:AC213)</f>
        <v>8</v>
      </c>
      <c r="AD214" s="1626"/>
      <c r="AE214" s="1627">
        <f>SUM(AE205:AE213)</f>
        <v>7</v>
      </c>
      <c r="AF214" s="1622"/>
      <c r="AG214" s="1623">
        <f>SUM(AG205:AG213)</f>
        <v>7</v>
      </c>
      <c r="AH214" s="1081"/>
      <c r="AI214" s="1081">
        <f>SUM(AI205:AI213)</f>
        <v>6</v>
      </c>
      <c r="AJ214" s="1628"/>
      <c r="AK214" s="1627">
        <f>SUM(AK205:AK213)</f>
        <v>4</v>
      </c>
      <c r="AL214" s="1623"/>
      <c r="AM214" s="1623">
        <f>SUM(AM205:AM213)</f>
        <v>4</v>
      </c>
      <c r="AN214" s="1628"/>
      <c r="AO214" s="526">
        <f>+SUM(AO205:AO213)</f>
        <v>90</v>
      </c>
      <c r="AP214" s="581">
        <f>+SUM(AP205:AP213)</f>
        <v>23.85</v>
      </c>
      <c r="AQ214" s="582">
        <f>+SUM(AQ205:AQ213)</f>
        <v>66.149999999999991</v>
      </c>
      <c r="AR214" s="651"/>
      <c r="AS214" s="1524"/>
      <c r="AT214" s="349"/>
      <c r="AU214" s="349"/>
    </row>
    <row r="215" spans="1:47" s="140" customFormat="1" ht="26.5" hidden="1" customHeight="1">
      <c r="B215" s="1799" t="s">
        <v>68</v>
      </c>
      <c r="C215" s="627" t="s">
        <v>510</v>
      </c>
      <c r="D215" s="30" t="s">
        <v>77</v>
      </c>
      <c r="E215" s="598" t="s">
        <v>60</v>
      </c>
      <c r="F215" s="610" t="s">
        <v>575</v>
      </c>
      <c r="G215" s="608"/>
      <c r="H215" s="609">
        <v>45726</v>
      </c>
      <c r="I215" s="820">
        <v>46112</v>
      </c>
      <c r="J215" s="359"/>
      <c r="K215" s="49"/>
      <c r="L215" s="49"/>
      <c r="M215" s="756">
        <v>0.2</v>
      </c>
      <c r="N215" s="53">
        <f t="shared" si="161"/>
        <v>0.2</v>
      </c>
      <c r="O215" s="763">
        <v>0.2</v>
      </c>
      <c r="P215" s="53">
        <f t="shared" ref="P215" si="218">$P$1*O215</f>
        <v>0.2</v>
      </c>
      <c r="Q215" s="49">
        <v>0.2</v>
      </c>
      <c r="R215" s="506">
        <f>$Q$1*Q215</f>
        <v>0.2</v>
      </c>
      <c r="S215" s="49">
        <v>0.2</v>
      </c>
      <c r="T215" s="547">
        <f>S215*$T$2</f>
        <v>0</v>
      </c>
      <c r="U215" s="49">
        <v>0.2</v>
      </c>
      <c r="V215" s="556"/>
      <c r="W215" s="536">
        <v>1</v>
      </c>
      <c r="X215" s="536"/>
      <c r="Y215" s="536">
        <v>1</v>
      </c>
      <c r="Z215" s="536"/>
      <c r="AA215" s="536">
        <v>1</v>
      </c>
      <c r="AB215" s="536"/>
      <c r="AC215" s="536">
        <v>1</v>
      </c>
      <c r="AD215" s="537"/>
      <c r="AE215" s="27">
        <v>1</v>
      </c>
      <c r="AF215" s="29"/>
      <c r="AG215" s="28">
        <v>1</v>
      </c>
      <c r="AH215" s="374"/>
      <c r="AI215" s="374">
        <v>1</v>
      </c>
      <c r="AJ215" s="25"/>
      <c r="AK215" s="27">
        <v>1</v>
      </c>
      <c r="AL215" s="53"/>
      <c r="AM215" s="49"/>
      <c r="AN215" s="50"/>
      <c r="AO215" s="522">
        <f t="shared" ref="AO215:AO227" si="219">+K215+M215+O215+Q215+S215+U215+W215+Y215+AA215+AC215+AE215+AG215+AI215+AK215+AM215</f>
        <v>9</v>
      </c>
      <c r="AP215" s="524">
        <f t="shared" ref="AP215:AP227" si="220">+L215+N215+P215+R215+T215+V215+X215+Z215+AB215+AD215+AF215+AH215+AJ215+AL215+AN215</f>
        <v>0.60000000000000009</v>
      </c>
      <c r="AQ215" s="525">
        <f t="shared" ref="AQ215:AQ227" si="221">AO215-AP215</f>
        <v>8.4</v>
      </c>
      <c r="AR215" s="647" t="s">
        <v>77</v>
      </c>
      <c r="AS215" s="1523"/>
      <c r="AT215" s="349"/>
      <c r="AU215" s="349"/>
    </row>
    <row r="216" spans="1:47" s="140" customFormat="1" ht="17" hidden="1" customHeight="1">
      <c r="B216" s="1800"/>
      <c r="C216" s="528" t="s">
        <v>541</v>
      </c>
      <c r="D216" s="2" t="s">
        <v>42</v>
      </c>
      <c r="E216" s="533" t="s">
        <v>60</v>
      </c>
      <c r="F216" s="610" t="s">
        <v>391</v>
      </c>
      <c r="G216" s="610"/>
      <c r="H216" s="611">
        <v>45870</v>
      </c>
      <c r="I216" s="804"/>
      <c r="J216" s="29"/>
      <c r="K216" s="28"/>
      <c r="L216" s="28"/>
      <c r="M216" s="28"/>
      <c r="N216" s="53"/>
      <c r="O216" s="763"/>
      <c r="P216" s="374"/>
      <c r="Q216" s="374"/>
      <c r="R216" s="503"/>
      <c r="S216" s="535"/>
      <c r="T216" s="536"/>
      <c r="U216" s="536"/>
      <c r="V216" s="536"/>
      <c r="W216" s="536">
        <v>1</v>
      </c>
      <c r="X216" s="536"/>
      <c r="Y216" s="536">
        <v>1</v>
      </c>
      <c r="Z216" s="536"/>
      <c r="AA216" s="536">
        <v>1</v>
      </c>
      <c r="AB216" s="536"/>
      <c r="AC216" s="536">
        <v>1</v>
      </c>
      <c r="AD216" s="537"/>
      <c r="AE216" s="27">
        <v>1</v>
      </c>
      <c r="AF216" s="29"/>
      <c r="AG216" s="28">
        <v>1</v>
      </c>
      <c r="AH216" s="374"/>
      <c r="AI216" s="374">
        <v>1</v>
      </c>
      <c r="AJ216" s="25"/>
      <c r="AK216" s="27">
        <v>1</v>
      </c>
      <c r="AL216" s="28"/>
      <c r="AM216" s="28"/>
      <c r="AN216" s="25"/>
      <c r="AO216" s="522">
        <f t="shared" si="219"/>
        <v>8</v>
      </c>
      <c r="AP216" s="524">
        <f t="shared" si="220"/>
        <v>0</v>
      </c>
      <c r="AQ216" s="525">
        <f t="shared" si="221"/>
        <v>8</v>
      </c>
      <c r="AR216" s="649" t="s">
        <v>42</v>
      </c>
      <c r="AS216" s="1523"/>
      <c r="AT216" s="349"/>
      <c r="AU216" s="349"/>
    </row>
    <row r="217" spans="1:47" s="140" customFormat="1" ht="17" hidden="1" customHeight="1">
      <c r="B217" s="1800"/>
      <c r="C217" s="528" t="s">
        <v>80</v>
      </c>
      <c r="D217" s="2" t="s">
        <v>43</v>
      </c>
      <c r="E217" s="533" t="s">
        <v>60</v>
      </c>
      <c r="F217" s="617" t="s">
        <v>74</v>
      </c>
      <c r="G217" s="610"/>
      <c r="H217" s="611">
        <v>45870</v>
      </c>
      <c r="I217" s="804"/>
      <c r="J217" s="29"/>
      <c r="K217" s="28"/>
      <c r="L217" s="28"/>
      <c r="M217" s="28"/>
      <c r="N217" s="53"/>
      <c r="O217" s="763"/>
      <c r="P217" s="374"/>
      <c r="Q217" s="374"/>
      <c r="R217" s="503"/>
      <c r="S217" s="535"/>
      <c r="T217" s="536"/>
      <c r="U217" s="536"/>
      <c r="V217" s="536"/>
      <c r="W217" s="536">
        <v>1</v>
      </c>
      <c r="X217" s="536"/>
      <c r="Y217" s="536">
        <v>1</v>
      </c>
      <c r="Z217" s="536"/>
      <c r="AA217" s="536">
        <v>1</v>
      </c>
      <c r="AB217" s="536"/>
      <c r="AC217" s="536">
        <v>1</v>
      </c>
      <c r="AD217" s="537"/>
      <c r="AE217" s="27">
        <v>1</v>
      </c>
      <c r="AF217" s="29"/>
      <c r="AG217" s="28">
        <v>1</v>
      </c>
      <c r="AH217" s="374"/>
      <c r="AI217" s="374">
        <v>1</v>
      </c>
      <c r="AJ217" s="25"/>
      <c r="AK217" s="27">
        <v>1</v>
      </c>
      <c r="AL217" s="28"/>
      <c r="AM217" s="28"/>
      <c r="AN217" s="25"/>
      <c r="AO217" s="522">
        <f t="shared" si="219"/>
        <v>8</v>
      </c>
      <c r="AP217" s="524">
        <f t="shared" si="220"/>
        <v>0</v>
      </c>
      <c r="AQ217" s="525">
        <f t="shared" si="221"/>
        <v>8</v>
      </c>
      <c r="AR217" s="649" t="s">
        <v>43</v>
      </c>
      <c r="AS217" s="1523"/>
      <c r="AT217" s="349"/>
      <c r="AU217" s="349"/>
    </row>
    <row r="218" spans="1:47" s="140" customFormat="1" ht="17" hidden="1" customHeight="1">
      <c r="B218" s="1800"/>
      <c r="C218" s="528" t="s">
        <v>81</v>
      </c>
      <c r="D218" s="2" t="s">
        <v>42</v>
      </c>
      <c r="E218" s="533" t="s">
        <v>60</v>
      </c>
      <c r="F218" s="617" t="s">
        <v>74</v>
      </c>
      <c r="G218" s="610"/>
      <c r="H218" s="611">
        <v>45901</v>
      </c>
      <c r="I218" s="804"/>
      <c r="J218" s="29"/>
      <c r="K218" s="28"/>
      <c r="L218" s="28"/>
      <c r="M218" s="28"/>
      <c r="N218" s="53"/>
      <c r="O218" s="763"/>
      <c r="P218" s="374"/>
      <c r="Q218" s="374"/>
      <c r="R218" s="503"/>
      <c r="S218" s="535"/>
      <c r="T218" s="536"/>
      <c r="U218" s="536"/>
      <c r="V218" s="536"/>
      <c r="W218" s="536"/>
      <c r="X218" s="536"/>
      <c r="Y218" s="536">
        <v>1</v>
      </c>
      <c r="Z218" s="536"/>
      <c r="AA218" s="536">
        <v>1</v>
      </c>
      <c r="AB218" s="536"/>
      <c r="AC218" s="536">
        <v>1</v>
      </c>
      <c r="AD218" s="537"/>
      <c r="AE218" s="27">
        <v>1</v>
      </c>
      <c r="AF218" s="29"/>
      <c r="AG218" s="28">
        <v>1</v>
      </c>
      <c r="AH218" s="374"/>
      <c r="AI218" s="374">
        <v>1</v>
      </c>
      <c r="AJ218" s="25"/>
      <c r="AK218" s="27">
        <v>1</v>
      </c>
      <c r="AL218" s="28"/>
      <c r="AM218" s="28"/>
      <c r="AN218" s="25"/>
      <c r="AO218" s="522">
        <f t="shared" si="219"/>
        <v>7</v>
      </c>
      <c r="AP218" s="524">
        <f t="shared" si="220"/>
        <v>0</v>
      </c>
      <c r="AQ218" s="525">
        <f t="shared" si="221"/>
        <v>7</v>
      </c>
      <c r="AR218" s="649" t="s">
        <v>42</v>
      </c>
      <c r="AS218" s="1523"/>
      <c r="AT218" s="349"/>
      <c r="AU218" s="349"/>
    </row>
    <row r="219" spans="1:47" s="140" customFormat="1" ht="17" hidden="1" customHeight="1">
      <c r="B219" s="1800"/>
      <c r="C219" s="528" t="s">
        <v>82</v>
      </c>
      <c r="D219" s="2" t="s">
        <v>42</v>
      </c>
      <c r="E219" s="533" t="s">
        <v>60</v>
      </c>
      <c r="F219" s="617" t="s">
        <v>74</v>
      </c>
      <c r="G219" s="610"/>
      <c r="H219" s="611">
        <v>45901</v>
      </c>
      <c r="I219" s="804"/>
      <c r="J219" s="29"/>
      <c r="K219" s="28"/>
      <c r="L219" s="28"/>
      <c r="M219" s="28"/>
      <c r="N219" s="53"/>
      <c r="O219" s="763"/>
      <c r="P219" s="374"/>
      <c r="Q219" s="374"/>
      <c r="R219" s="503"/>
      <c r="S219" s="535"/>
      <c r="T219" s="536"/>
      <c r="U219" s="536"/>
      <c r="V219" s="536"/>
      <c r="W219" s="536"/>
      <c r="X219" s="536"/>
      <c r="Y219" s="536">
        <v>1</v>
      </c>
      <c r="Z219" s="536"/>
      <c r="AA219" s="536">
        <v>1</v>
      </c>
      <c r="AB219" s="536"/>
      <c r="AC219" s="536">
        <v>1</v>
      </c>
      <c r="AD219" s="537"/>
      <c r="AE219" s="27">
        <v>1</v>
      </c>
      <c r="AF219" s="29"/>
      <c r="AG219" s="28">
        <v>1</v>
      </c>
      <c r="AH219" s="374"/>
      <c r="AI219" s="374">
        <v>1</v>
      </c>
      <c r="AJ219" s="25"/>
      <c r="AK219" s="27">
        <v>1</v>
      </c>
      <c r="AL219" s="28"/>
      <c r="AM219" s="28"/>
      <c r="AN219" s="25"/>
      <c r="AO219" s="522">
        <f t="shared" si="219"/>
        <v>7</v>
      </c>
      <c r="AP219" s="524">
        <f t="shared" si="220"/>
        <v>0</v>
      </c>
      <c r="AQ219" s="525">
        <f t="shared" si="221"/>
        <v>7</v>
      </c>
      <c r="AR219" s="649" t="s">
        <v>43</v>
      </c>
      <c r="AS219" s="1523"/>
      <c r="AT219" s="349"/>
      <c r="AU219" s="349"/>
    </row>
    <row r="220" spans="1:47" s="140" customFormat="1" ht="17" hidden="1" customHeight="1">
      <c r="B220" s="1800"/>
      <c r="C220" s="528" t="s">
        <v>83</v>
      </c>
      <c r="D220" s="2" t="s">
        <v>77</v>
      </c>
      <c r="E220" s="533" t="s">
        <v>60</v>
      </c>
      <c r="F220" s="610" t="s">
        <v>392</v>
      </c>
      <c r="G220" s="610"/>
      <c r="H220" s="611">
        <v>45870</v>
      </c>
      <c r="I220" s="804"/>
      <c r="J220" s="29"/>
      <c r="K220" s="28"/>
      <c r="L220" s="28"/>
      <c r="M220" s="28"/>
      <c r="N220" s="53"/>
      <c r="O220" s="763"/>
      <c r="P220" s="374"/>
      <c r="Q220" s="374"/>
      <c r="R220" s="503"/>
      <c r="S220" s="535"/>
      <c r="T220" s="536"/>
      <c r="U220" s="536"/>
      <c r="V220" s="536"/>
      <c r="W220" s="536">
        <v>1</v>
      </c>
      <c r="X220" s="536"/>
      <c r="Y220" s="536">
        <v>1</v>
      </c>
      <c r="Z220" s="536"/>
      <c r="AA220" s="536">
        <v>1</v>
      </c>
      <c r="AB220" s="536"/>
      <c r="AC220" s="536">
        <v>1</v>
      </c>
      <c r="AD220" s="537"/>
      <c r="AE220" s="27">
        <v>1</v>
      </c>
      <c r="AF220" s="29"/>
      <c r="AG220" s="28">
        <v>1</v>
      </c>
      <c r="AH220" s="374"/>
      <c r="AI220" s="374">
        <v>1</v>
      </c>
      <c r="AJ220" s="25"/>
      <c r="AK220" s="27">
        <v>1</v>
      </c>
      <c r="AL220" s="28"/>
      <c r="AM220" s="28"/>
      <c r="AN220" s="25"/>
      <c r="AO220" s="522">
        <f t="shared" si="219"/>
        <v>8</v>
      </c>
      <c r="AP220" s="524">
        <f t="shared" si="220"/>
        <v>0</v>
      </c>
      <c r="AQ220" s="525">
        <f t="shared" si="221"/>
        <v>8</v>
      </c>
      <c r="AR220" s="649" t="s">
        <v>42</v>
      </c>
      <c r="AS220" s="1523"/>
      <c r="AT220" s="349"/>
      <c r="AU220" s="349"/>
    </row>
    <row r="221" spans="1:47" s="140" customFormat="1" ht="17" hidden="1" customHeight="1">
      <c r="B221" s="1800"/>
      <c r="C221" s="528" t="s">
        <v>84</v>
      </c>
      <c r="D221" s="2" t="s">
        <v>42</v>
      </c>
      <c r="E221" s="533" t="s">
        <v>60</v>
      </c>
      <c r="F221" s="617" t="s">
        <v>74</v>
      </c>
      <c r="G221" s="610"/>
      <c r="H221" s="611">
        <v>45901</v>
      </c>
      <c r="I221" s="804"/>
      <c r="J221" s="29"/>
      <c r="K221" s="28"/>
      <c r="L221" s="28"/>
      <c r="M221" s="28"/>
      <c r="N221" s="53"/>
      <c r="O221" s="763"/>
      <c r="P221" s="374"/>
      <c r="Q221" s="374"/>
      <c r="R221" s="503"/>
      <c r="S221" s="535"/>
      <c r="T221" s="536"/>
      <c r="U221" s="536"/>
      <c r="V221" s="536"/>
      <c r="W221" s="536"/>
      <c r="X221" s="536"/>
      <c r="Y221" s="536">
        <v>1</v>
      </c>
      <c r="Z221" s="536"/>
      <c r="AA221" s="536">
        <v>1</v>
      </c>
      <c r="AB221" s="536"/>
      <c r="AC221" s="536">
        <v>1</v>
      </c>
      <c r="AD221" s="537"/>
      <c r="AE221" s="27">
        <v>1</v>
      </c>
      <c r="AF221" s="29"/>
      <c r="AG221" s="28">
        <v>1</v>
      </c>
      <c r="AH221" s="374"/>
      <c r="AI221" s="374">
        <v>1</v>
      </c>
      <c r="AJ221" s="25"/>
      <c r="AK221" s="27">
        <v>1</v>
      </c>
      <c r="AL221" s="28"/>
      <c r="AM221" s="28"/>
      <c r="AN221" s="25"/>
      <c r="AO221" s="522">
        <f t="shared" si="219"/>
        <v>7</v>
      </c>
      <c r="AP221" s="524">
        <f t="shared" si="220"/>
        <v>0</v>
      </c>
      <c r="AQ221" s="525">
        <f t="shared" si="221"/>
        <v>7</v>
      </c>
      <c r="AR221" s="649" t="s">
        <v>43</v>
      </c>
      <c r="AS221" s="1523"/>
      <c r="AT221" s="349"/>
      <c r="AU221" s="349"/>
    </row>
    <row r="222" spans="1:47" s="140" customFormat="1" ht="17" hidden="1" customHeight="1" thickBot="1">
      <c r="B222" s="1800"/>
      <c r="C222" s="913" t="s">
        <v>509</v>
      </c>
      <c r="D222" s="914" t="s">
        <v>42</v>
      </c>
      <c r="E222" s="533" t="s">
        <v>60</v>
      </c>
      <c r="F222" s="897" t="s">
        <v>74</v>
      </c>
      <c r="G222" s="897" t="s">
        <v>389</v>
      </c>
      <c r="H222" s="611">
        <v>45870</v>
      </c>
      <c r="I222" s="804"/>
      <c r="J222" s="29"/>
      <c r="K222" s="28"/>
      <c r="L222" s="28"/>
      <c r="M222" s="28"/>
      <c r="N222" s="53"/>
      <c r="O222" s="763"/>
      <c r="P222" s="374"/>
      <c r="Q222" s="374"/>
      <c r="R222" s="503"/>
      <c r="S222" s="535"/>
      <c r="T222" s="536"/>
      <c r="U222" s="536"/>
      <c r="V222" s="536"/>
      <c r="W222" s="565">
        <v>1</v>
      </c>
      <c r="X222" s="565"/>
      <c r="Y222" s="565">
        <v>1</v>
      </c>
      <c r="Z222" s="565"/>
      <c r="AA222" s="565">
        <v>1</v>
      </c>
      <c r="AB222" s="565"/>
      <c r="AC222" s="674">
        <v>0</v>
      </c>
      <c r="AD222" s="844"/>
      <c r="AE222" s="674">
        <v>0</v>
      </c>
      <c r="AF222" s="845"/>
      <c r="AG222" s="674">
        <v>0</v>
      </c>
      <c r="AH222" s="846"/>
      <c r="AI222" s="674">
        <v>0</v>
      </c>
      <c r="AJ222" s="847"/>
      <c r="AK222" s="674">
        <v>0</v>
      </c>
      <c r="AL222" s="529"/>
      <c r="AM222" s="529"/>
      <c r="AN222" s="530"/>
      <c r="AO222" s="522">
        <f t="shared" si="219"/>
        <v>3</v>
      </c>
      <c r="AP222" s="524">
        <f t="shared" si="220"/>
        <v>0</v>
      </c>
      <c r="AQ222" s="525">
        <f t="shared" si="221"/>
        <v>3</v>
      </c>
      <c r="AR222" s="652" t="s">
        <v>42</v>
      </c>
      <c r="AS222" s="1525"/>
      <c r="AT222" s="349"/>
      <c r="AU222" s="349"/>
    </row>
    <row r="223" spans="1:47" s="140" customFormat="1" ht="17" hidden="1" customHeight="1">
      <c r="B223" s="1800"/>
      <c r="C223" s="528" t="s">
        <v>85</v>
      </c>
      <c r="D223" s="2" t="s">
        <v>77</v>
      </c>
      <c r="E223" s="533" t="s">
        <v>60</v>
      </c>
      <c r="F223" s="608" t="s">
        <v>683</v>
      </c>
      <c r="G223" s="610"/>
      <c r="H223" s="611">
        <v>45726</v>
      </c>
      <c r="I223" s="804">
        <v>46112</v>
      </c>
      <c r="J223" s="29"/>
      <c r="K223" s="28"/>
      <c r="L223" s="28"/>
      <c r="M223" s="357">
        <v>0.2</v>
      </c>
      <c r="N223" s="53">
        <f t="shared" si="161"/>
        <v>0.2</v>
      </c>
      <c r="O223" s="763">
        <v>0.2</v>
      </c>
      <c r="P223" s="53">
        <f t="shared" ref="P223" si="222">$P$1*O223</f>
        <v>0.2</v>
      </c>
      <c r="Q223" s="28">
        <v>0.2</v>
      </c>
      <c r="R223" s="506">
        <f>$Q$1*Q223</f>
        <v>0.2</v>
      </c>
      <c r="S223" s="28">
        <v>0.2</v>
      </c>
      <c r="T223" s="547">
        <f>S223*$T$2</f>
        <v>0</v>
      </c>
      <c r="U223" s="28">
        <v>0.2</v>
      </c>
      <c r="V223" s="536"/>
      <c r="W223" s="536">
        <v>1</v>
      </c>
      <c r="X223" s="536"/>
      <c r="Y223" s="536">
        <v>1</v>
      </c>
      <c r="Z223" s="536"/>
      <c r="AA223" s="536">
        <v>1</v>
      </c>
      <c r="AB223" s="536"/>
      <c r="AC223" s="536">
        <v>1</v>
      </c>
      <c r="AD223" s="537"/>
      <c r="AE223" s="27">
        <v>1</v>
      </c>
      <c r="AF223" s="29"/>
      <c r="AG223" s="28">
        <v>1</v>
      </c>
      <c r="AH223" s="374"/>
      <c r="AI223" s="374">
        <v>1</v>
      </c>
      <c r="AJ223" s="25"/>
      <c r="AK223" s="27">
        <v>1</v>
      </c>
      <c r="AL223" s="28"/>
      <c r="AM223" s="28"/>
      <c r="AN223" s="25"/>
      <c r="AO223" s="522">
        <f t="shared" si="219"/>
        <v>9</v>
      </c>
      <c r="AP223" s="524">
        <f t="shared" si="220"/>
        <v>0.60000000000000009</v>
      </c>
      <c r="AQ223" s="525">
        <f t="shared" si="221"/>
        <v>8.4</v>
      </c>
      <c r="AR223" s="649" t="s">
        <v>77</v>
      </c>
      <c r="AS223" s="1523"/>
      <c r="AT223" s="349"/>
      <c r="AU223" s="349"/>
    </row>
    <row r="224" spans="1:47" s="140" customFormat="1" ht="17" hidden="1" customHeight="1">
      <c r="B224" s="1800"/>
      <c r="C224" s="528" t="s">
        <v>86</v>
      </c>
      <c r="D224" s="2" t="s">
        <v>42</v>
      </c>
      <c r="E224" s="533" t="s">
        <v>60</v>
      </c>
      <c r="F224" s="617" t="s">
        <v>74</v>
      </c>
      <c r="G224" s="610"/>
      <c r="H224" s="611">
        <v>45901</v>
      </c>
      <c r="I224" s="804"/>
      <c r="J224" s="29"/>
      <c r="K224" s="28"/>
      <c r="L224" s="1629"/>
      <c r="M224" s="28"/>
      <c r="N224" s="53"/>
      <c r="O224" s="763"/>
      <c r="P224" s="374"/>
      <c r="Q224" s="374"/>
      <c r="R224" s="503"/>
      <c r="S224" s="535"/>
      <c r="T224" s="536"/>
      <c r="U224" s="536"/>
      <c r="V224" s="536"/>
      <c r="W224" s="536"/>
      <c r="X224" s="536"/>
      <c r="Y224" s="536">
        <v>1</v>
      </c>
      <c r="Z224" s="536"/>
      <c r="AA224" s="536">
        <v>1</v>
      </c>
      <c r="AB224" s="536"/>
      <c r="AC224" s="536">
        <v>1</v>
      </c>
      <c r="AD224" s="537"/>
      <c r="AE224" s="27">
        <v>1</v>
      </c>
      <c r="AF224" s="29"/>
      <c r="AG224" s="28">
        <v>1</v>
      </c>
      <c r="AH224" s="374"/>
      <c r="AI224" s="374">
        <v>1</v>
      </c>
      <c r="AJ224" s="25"/>
      <c r="AK224" s="27">
        <v>1</v>
      </c>
      <c r="AL224" s="28"/>
      <c r="AM224" s="28"/>
      <c r="AN224" s="25"/>
      <c r="AO224" s="522">
        <f t="shared" si="219"/>
        <v>7</v>
      </c>
      <c r="AP224" s="524">
        <f t="shared" si="220"/>
        <v>0</v>
      </c>
      <c r="AQ224" s="525">
        <f t="shared" si="221"/>
        <v>7</v>
      </c>
      <c r="AR224" s="649" t="s">
        <v>42</v>
      </c>
      <c r="AS224" s="1523"/>
      <c r="AT224" s="349"/>
      <c r="AU224" s="349"/>
    </row>
    <row r="225" spans="1:47" s="140" customFormat="1" ht="17" hidden="1" customHeight="1">
      <c r="B225" s="1800"/>
      <c r="C225" s="528" t="s">
        <v>88</v>
      </c>
      <c r="D225" s="2" t="s">
        <v>42</v>
      </c>
      <c r="E225" s="533" t="s">
        <v>60</v>
      </c>
      <c r="F225" s="617" t="s">
        <v>74</v>
      </c>
      <c r="G225" s="610"/>
      <c r="H225" s="611">
        <v>45901</v>
      </c>
      <c r="I225" s="804"/>
      <c r="J225" s="29"/>
      <c r="K225" s="28"/>
      <c r="L225" s="28"/>
      <c r="M225" s="28"/>
      <c r="N225" s="53"/>
      <c r="O225" s="763"/>
      <c r="P225" s="374"/>
      <c r="Q225" s="374"/>
      <c r="R225" s="503"/>
      <c r="S225" s="535"/>
      <c r="T225" s="536"/>
      <c r="U225" s="536"/>
      <c r="V225" s="536"/>
      <c r="W225" s="536"/>
      <c r="X225" s="536"/>
      <c r="Y225" s="536">
        <v>1</v>
      </c>
      <c r="Z225" s="536"/>
      <c r="AA225" s="536">
        <v>1</v>
      </c>
      <c r="AB225" s="536"/>
      <c r="AC225" s="536">
        <v>1</v>
      </c>
      <c r="AD225" s="537"/>
      <c r="AE225" s="27">
        <v>1</v>
      </c>
      <c r="AF225" s="29"/>
      <c r="AG225" s="28">
        <v>1</v>
      </c>
      <c r="AH225" s="374"/>
      <c r="AI225" s="374">
        <v>1</v>
      </c>
      <c r="AJ225" s="25"/>
      <c r="AK225" s="27">
        <v>1</v>
      </c>
      <c r="AL225" s="28"/>
      <c r="AM225" s="28"/>
      <c r="AN225" s="25"/>
      <c r="AO225" s="522">
        <f t="shared" si="219"/>
        <v>7</v>
      </c>
      <c r="AP225" s="524">
        <f t="shared" si="220"/>
        <v>0</v>
      </c>
      <c r="AQ225" s="525">
        <f t="shared" si="221"/>
        <v>7</v>
      </c>
      <c r="AR225" s="649" t="s">
        <v>42</v>
      </c>
      <c r="AS225" s="1523"/>
      <c r="AT225" s="349"/>
      <c r="AU225" s="349"/>
    </row>
    <row r="226" spans="1:47" s="140" customFormat="1" ht="17" hidden="1" customHeight="1">
      <c r="B226" s="1800"/>
      <c r="C226" s="258" t="s">
        <v>100</v>
      </c>
      <c r="D226" s="95" t="s">
        <v>19</v>
      </c>
      <c r="E226" s="534" t="s">
        <v>17</v>
      </c>
      <c r="F226" s="613" t="s">
        <v>74</v>
      </c>
      <c r="G226" s="599"/>
      <c r="H226" s="600">
        <v>45915</v>
      </c>
      <c r="I226" s="803">
        <v>46037</v>
      </c>
      <c r="J226" s="29"/>
      <c r="K226" s="3"/>
      <c r="L226" s="3"/>
      <c r="M226" s="3"/>
      <c r="N226" s="53"/>
      <c r="O226" s="763"/>
      <c r="P226" s="378"/>
      <c r="Q226" s="1131"/>
      <c r="R226" s="1184"/>
      <c r="S226" s="1150"/>
      <c r="T226" s="1128"/>
      <c r="U226" s="1128"/>
      <c r="V226" s="1128"/>
      <c r="W226" s="1128"/>
      <c r="X226" s="1128"/>
      <c r="Y226" s="1128">
        <v>0.5</v>
      </c>
      <c r="Z226" s="536"/>
      <c r="AA226" s="1128">
        <v>1</v>
      </c>
      <c r="AB226" s="1128"/>
      <c r="AC226" s="1128">
        <v>1</v>
      </c>
      <c r="AD226" s="1181"/>
      <c r="AE226" s="1129">
        <v>1</v>
      </c>
      <c r="AF226" s="1143"/>
      <c r="AG226" s="1130">
        <v>1</v>
      </c>
      <c r="AH226" s="374"/>
      <c r="AI226" s="1131"/>
      <c r="AJ226" s="1142"/>
      <c r="AK226" s="1129"/>
      <c r="AL226" s="1130"/>
      <c r="AM226" s="1130"/>
      <c r="AN226" s="1142"/>
      <c r="AO226" s="1581">
        <f t="shared" si="219"/>
        <v>4.5</v>
      </c>
      <c r="AP226" s="524">
        <f t="shared" si="220"/>
        <v>0</v>
      </c>
      <c r="AQ226" s="525">
        <f t="shared" si="221"/>
        <v>4.5</v>
      </c>
      <c r="AR226" s="638"/>
      <c r="AS226" s="1521"/>
      <c r="AT226" s="427"/>
      <c r="AU226" s="349"/>
    </row>
    <row r="227" spans="1:47" s="140" customFormat="1" ht="17" hidden="1" customHeight="1" thickBot="1">
      <c r="B227" s="1800"/>
      <c r="C227" s="258" t="s">
        <v>99</v>
      </c>
      <c r="D227" s="44" t="s">
        <v>21</v>
      </c>
      <c r="E227" s="491" t="s">
        <v>41</v>
      </c>
      <c r="F227" s="601" t="s">
        <v>388</v>
      </c>
      <c r="G227" s="601"/>
      <c r="H227" s="605">
        <v>45839</v>
      </c>
      <c r="I227" s="801">
        <v>46032</v>
      </c>
      <c r="J227" s="1630"/>
      <c r="K227" s="26"/>
      <c r="L227" s="26"/>
      <c r="M227" s="26"/>
      <c r="N227" s="53"/>
      <c r="O227" s="763"/>
      <c r="P227" s="1631"/>
      <c r="Q227" s="1344"/>
      <c r="R227" s="1632"/>
      <c r="S227" s="1633"/>
      <c r="T227" s="1634"/>
      <c r="U227" s="1634">
        <v>1</v>
      </c>
      <c r="V227" s="1634"/>
      <c r="W227" s="1634">
        <v>1</v>
      </c>
      <c r="X227" s="1634"/>
      <c r="Y227" s="1634">
        <v>1</v>
      </c>
      <c r="Z227" s="1634"/>
      <c r="AA227" s="1634">
        <v>1</v>
      </c>
      <c r="AB227" s="1634"/>
      <c r="AC227" s="1635">
        <v>1</v>
      </c>
      <c r="AD227" s="1636"/>
      <c r="AE227" s="1637">
        <v>1</v>
      </c>
      <c r="AF227" s="1638"/>
      <c r="AG227" s="1635">
        <v>0.3</v>
      </c>
      <c r="AH227" s="1344"/>
      <c r="AI227" s="1344"/>
      <c r="AJ227" s="1639"/>
      <c r="AK227" s="1637"/>
      <c r="AL227" s="1640"/>
      <c r="AM227" s="1640"/>
      <c r="AN227" s="1639"/>
      <c r="AO227" s="522">
        <f t="shared" si="219"/>
        <v>6.3</v>
      </c>
      <c r="AP227" s="524">
        <f t="shared" si="220"/>
        <v>0</v>
      </c>
      <c r="AQ227" s="525">
        <f t="shared" si="221"/>
        <v>6.3</v>
      </c>
      <c r="AR227" s="650" t="s">
        <v>283</v>
      </c>
      <c r="AS227" s="1523"/>
      <c r="AT227" s="349"/>
      <c r="AU227" s="349"/>
    </row>
    <row r="228" spans="1:47" s="150" customFormat="1" ht="17" hidden="1" customHeight="1" thickBot="1">
      <c r="A228" s="140"/>
      <c r="B228" s="1822"/>
      <c r="C228" s="489" t="s">
        <v>16</v>
      </c>
      <c r="D228" s="191"/>
      <c r="E228" s="458"/>
      <c r="F228" s="621"/>
      <c r="G228" s="621"/>
      <c r="H228" s="622"/>
      <c r="I228" s="819"/>
      <c r="J228" s="1622">
        <f t="shared" ref="J228:P228" si="223">SUM(J215:J227)</f>
        <v>0</v>
      </c>
      <c r="K228" s="1623">
        <f t="shared" si="223"/>
        <v>0</v>
      </c>
      <c r="L228" s="1623">
        <f t="shared" si="223"/>
        <v>0</v>
      </c>
      <c r="M228" s="1623">
        <f t="shared" si="223"/>
        <v>0.4</v>
      </c>
      <c r="N228" s="1623">
        <f t="shared" si="223"/>
        <v>0.4</v>
      </c>
      <c r="O228" s="1623">
        <f t="shared" si="223"/>
        <v>0.4</v>
      </c>
      <c r="P228" s="1623">
        <f t="shared" si="223"/>
        <v>0.4</v>
      </c>
      <c r="Q228" s="1081">
        <f>SUM(Q215:Q227)</f>
        <v>0.4</v>
      </c>
      <c r="R228" s="1081">
        <f>SUM(R215:R227)</f>
        <v>0.4</v>
      </c>
      <c r="S228" s="1624">
        <f>SUM(S215:S227)</f>
        <v>0.4</v>
      </c>
      <c r="T228" s="1624">
        <f>SUM(T215:T227)</f>
        <v>0</v>
      </c>
      <c r="U228" s="1625">
        <f>SUM(U215:U227)</f>
        <v>1.4</v>
      </c>
      <c r="V228" s="1625"/>
      <c r="W228" s="1625">
        <f>SUM(W215:W227)</f>
        <v>7</v>
      </c>
      <c r="X228" s="1625"/>
      <c r="Y228" s="1625">
        <f>SUM(Y215:Y227)</f>
        <v>12.5</v>
      </c>
      <c r="Z228" s="1625"/>
      <c r="AA228" s="1625">
        <f>SUM(AA215:AA227)</f>
        <v>13</v>
      </c>
      <c r="AB228" s="1625"/>
      <c r="AC228" s="1625">
        <f>SUM(AC215:AC227)</f>
        <v>12</v>
      </c>
      <c r="AD228" s="1626"/>
      <c r="AE228" s="1627">
        <f>SUM(AE215:AE227)</f>
        <v>12</v>
      </c>
      <c r="AF228" s="1622"/>
      <c r="AG228" s="1623">
        <f>SUM(AG215:AG227)</f>
        <v>11.3</v>
      </c>
      <c r="AH228" s="1081"/>
      <c r="AI228" s="1081">
        <f>SUM(AI215:AI227)</f>
        <v>10</v>
      </c>
      <c r="AJ228" s="1628"/>
      <c r="AK228" s="1627">
        <f>SUM(AK215:AK227)</f>
        <v>10</v>
      </c>
      <c r="AL228" s="1623"/>
      <c r="AM228" s="1623">
        <f>SUM(AM215:AM227)</f>
        <v>0</v>
      </c>
      <c r="AN228" s="1628"/>
      <c r="AO228" s="317">
        <f>+SUM(AO215:AO227)</f>
        <v>90.8</v>
      </c>
      <c r="AP228" s="318">
        <f>+SUM(AP215:AP227)</f>
        <v>1.2000000000000002</v>
      </c>
      <c r="AQ228" s="344">
        <f>+SUM(AQ215:AQ227)</f>
        <v>89.6</v>
      </c>
      <c r="AR228" s="651"/>
      <c r="AS228" s="1524"/>
      <c r="AT228" s="349"/>
      <c r="AU228" s="349"/>
    </row>
    <row r="229" spans="1:47" s="140" customFormat="1" ht="17" hidden="1" customHeight="1">
      <c r="B229" s="1800" t="s">
        <v>63</v>
      </c>
      <c r="C229" s="167" t="s">
        <v>171</v>
      </c>
      <c r="D229" s="425" t="s">
        <v>19</v>
      </c>
      <c r="E229" s="784" t="s">
        <v>17</v>
      </c>
      <c r="F229" s="784" t="s">
        <v>959</v>
      </c>
      <c r="G229" s="1067"/>
      <c r="H229" s="820">
        <v>45810</v>
      </c>
      <c r="I229" s="799">
        <v>46142</v>
      </c>
      <c r="J229" s="29"/>
      <c r="K229" s="28"/>
      <c r="L229" s="28"/>
      <c r="M229" s="28"/>
      <c r="N229" s="53"/>
      <c r="O229" s="763"/>
      <c r="P229" s="4"/>
      <c r="Q229" s="1131"/>
      <c r="R229" s="1184"/>
      <c r="S229" s="1150">
        <v>1</v>
      </c>
      <c r="T229" s="556">
        <f t="shared" ref="T229:T231" si="224">$T$1*S229</f>
        <v>0.6</v>
      </c>
      <c r="U229" s="1128">
        <v>1</v>
      </c>
      <c r="V229" s="1128"/>
      <c r="W229" s="1128">
        <v>1</v>
      </c>
      <c r="X229" s="1128"/>
      <c r="Y229" s="1128">
        <v>1</v>
      </c>
      <c r="Z229" s="1128"/>
      <c r="AA229" s="1128">
        <v>1</v>
      </c>
      <c r="AB229" s="1128"/>
      <c r="AC229" s="1128">
        <v>1</v>
      </c>
      <c r="AD229" s="1181"/>
      <c r="AE229" s="1129">
        <v>1</v>
      </c>
      <c r="AF229" s="1143"/>
      <c r="AG229" s="1130">
        <v>1</v>
      </c>
      <c r="AH229" s="1131"/>
      <c r="AI229" s="1131">
        <v>0</v>
      </c>
      <c r="AJ229" s="1142"/>
      <c r="AK229" s="1129">
        <v>0</v>
      </c>
      <c r="AL229" s="1130"/>
      <c r="AM229" s="1130"/>
      <c r="AN229" s="1142"/>
      <c r="AO229" s="1586">
        <f t="shared" ref="AO229:AP229" si="225">+K229+M229+O229+Q229+S229+U229+W229+Y229+AA229+AC229+AE229+AG229+AI229+AK229+AM229</f>
        <v>8</v>
      </c>
      <c r="AP229" s="524">
        <f t="shared" si="225"/>
        <v>0.6</v>
      </c>
      <c r="AQ229" s="525">
        <f t="shared" ref="AQ229" si="226">AO229-AP229</f>
        <v>7.4</v>
      </c>
      <c r="AR229" s="635"/>
      <c r="AS229" s="1453"/>
      <c r="AT229" s="427"/>
      <c r="AU229" s="349"/>
    </row>
    <row r="230" spans="1:47" s="140" customFormat="1" ht="17" hidden="1" customHeight="1">
      <c r="B230" s="1800"/>
      <c r="C230" s="169" t="s">
        <v>107</v>
      </c>
      <c r="D230" s="236" t="s">
        <v>19</v>
      </c>
      <c r="E230" s="1006" t="s">
        <v>61</v>
      </c>
      <c r="F230" s="1006" t="s">
        <v>371</v>
      </c>
      <c r="G230" s="1058"/>
      <c r="H230" s="800">
        <v>45705</v>
      </c>
      <c r="I230" s="804">
        <v>46112</v>
      </c>
      <c r="J230" s="1641"/>
      <c r="K230" s="40">
        <v>0.5</v>
      </c>
      <c r="L230" s="53">
        <f t="shared" ref="L230" si="227">K230*$L$1</f>
        <v>0.5</v>
      </c>
      <c r="M230" s="40">
        <v>1</v>
      </c>
      <c r="N230" s="53">
        <f t="shared" si="161"/>
        <v>1</v>
      </c>
      <c r="O230" s="763">
        <v>1</v>
      </c>
      <c r="P230" s="53">
        <f t="shared" ref="P230:P231" si="228">$P$1*O230</f>
        <v>1</v>
      </c>
      <c r="Q230" s="374">
        <v>1</v>
      </c>
      <c r="R230" s="506">
        <f t="shared" ref="R230:R231" si="229">$Q$1*Q230</f>
        <v>1</v>
      </c>
      <c r="S230" s="535">
        <v>1</v>
      </c>
      <c r="T230" s="556">
        <f t="shared" si="224"/>
        <v>0.6</v>
      </c>
      <c r="U230" s="536">
        <v>1</v>
      </c>
      <c r="V230" s="536"/>
      <c r="W230" s="536">
        <v>1</v>
      </c>
      <c r="X230" s="536"/>
      <c r="Y230" s="536">
        <v>1</v>
      </c>
      <c r="Z230" s="536"/>
      <c r="AA230" s="536">
        <v>1</v>
      </c>
      <c r="AB230" s="536"/>
      <c r="AC230" s="536">
        <v>1</v>
      </c>
      <c r="AD230" s="537"/>
      <c r="AE230" s="27">
        <v>1</v>
      </c>
      <c r="AF230" s="29"/>
      <c r="AG230" s="29">
        <v>1</v>
      </c>
      <c r="AH230" s="391"/>
      <c r="AI230" s="374">
        <v>1</v>
      </c>
      <c r="AJ230" s="25"/>
      <c r="AK230" s="27">
        <v>1</v>
      </c>
      <c r="AL230" s="28"/>
      <c r="AM230" s="1642"/>
      <c r="AN230" s="1643"/>
      <c r="AO230" s="522">
        <f t="shared" ref="AO230:AO244" si="230">+K230+M230+O230+Q230+S230+U230+W230+Y230+AA230+AC230+AE230+AG230+AI230+AK230+AM230</f>
        <v>13.5</v>
      </c>
      <c r="AP230" s="524">
        <f t="shared" ref="AP230:AP244" si="231">+L230+N230+P230+R230+T230+V230+X230+Z230+AB230+AD230+AF230+AH230+AJ230+AL230+AN230</f>
        <v>4.0999999999999996</v>
      </c>
      <c r="AQ230" s="525">
        <f t="shared" ref="AQ230:AQ244" si="232">AO230-AP230</f>
        <v>9.4</v>
      </c>
      <c r="AR230" s="649" t="s">
        <v>42</v>
      </c>
      <c r="AS230" s="1523"/>
      <c r="AT230" s="349"/>
      <c r="AU230" s="349"/>
    </row>
    <row r="231" spans="1:47" s="140" customFormat="1" ht="17" hidden="1" customHeight="1" thickBot="1">
      <c r="B231" s="1800"/>
      <c r="C231" s="169" t="s">
        <v>589</v>
      </c>
      <c r="D231" s="236" t="s">
        <v>19</v>
      </c>
      <c r="E231" s="1006" t="s">
        <v>61</v>
      </c>
      <c r="F231" s="1006" t="s">
        <v>372</v>
      </c>
      <c r="G231" s="1058"/>
      <c r="H231" s="804">
        <v>45720</v>
      </c>
      <c r="I231" s="804">
        <v>46112</v>
      </c>
      <c r="J231" s="1641"/>
      <c r="K231" s="28"/>
      <c r="L231" s="28"/>
      <c r="M231" s="28">
        <v>1</v>
      </c>
      <c r="N231" s="53">
        <f t="shared" si="161"/>
        <v>1</v>
      </c>
      <c r="O231" s="763">
        <v>1</v>
      </c>
      <c r="P231" s="53">
        <f t="shared" si="228"/>
        <v>1</v>
      </c>
      <c r="Q231" s="374">
        <v>1</v>
      </c>
      <c r="R231" s="506">
        <f t="shared" si="229"/>
        <v>1</v>
      </c>
      <c r="S231" s="535">
        <v>1</v>
      </c>
      <c r="T231" s="556">
        <f t="shared" si="224"/>
        <v>0.6</v>
      </c>
      <c r="U231" s="536">
        <v>1</v>
      </c>
      <c r="V231" s="536"/>
      <c r="W231" s="536">
        <v>1</v>
      </c>
      <c r="X231" s="536"/>
      <c r="Y231" s="536">
        <v>1</v>
      </c>
      <c r="Z231" s="536"/>
      <c r="AA231" s="536">
        <v>1</v>
      </c>
      <c r="AB231" s="536"/>
      <c r="AC231" s="536">
        <v>1</v>
      </c>
      <c r="AD231" s="537"/>
      <c r="AE231" s="27">
        <v>1</v>
      </c>
      <c r="AF231" s="29"/>
      <c r="AG231" s="29">
        <v>1</v>
      </c>
      <c r="AH231" s="391"/>
      <c r="AI231" s="374">
        <v>1</v>
      </c>
      <c r="AJ231" s="25"/>
      <c r="AK231" s="27">
        <v>1</v>
      </c>
      <c r="AL231" s="28"/>
      <c r="AM231" s="1642"/>
      <c r="AN231" s="1643"/>
      <c r="AO231" s="522">
        <f t="shared" si="230"/>
        <v>13</v>
      </c>
      <c r="AP231" s="524">
        <f t="shared" si="231"/>
        <v>3.6</v>
      </c>
      <c r="AQ231" s="525">
        <f t="shared" si="232"/>
        <v>9.4</v>
      </c>
      <c r="AR231" s="649" t="s">
        <v>42</v>
      </c>
      <c r="AS231" s="1523"/>
      <c r="AT231" s="349"/>
      <c r="AU231" s="349"/>
    </row>
    <row r="232" spans="1:47" s="140" customFormat="1" ht="17" hidden="1" customHeight="1" thickBot="1">
      <c r="B232" s="1800"/>
      <c r="C232" s="169" t="s">
        <v>590</v>
      </c>
      <c r="D232" s="1779" t="s">
        <v>19</v>
      </c>
      <c r="E232" s="1739" t="s">
        <v>61</v>
      </c>
      <c r="F232" s="1739" t="s">
        <v>574</v>
      </c>
      <c r="G232" s="1780" t="s">
        <v>628</v>
      </c>
      <c r="H232" s="1769">
        <v>45720</v>
      </c>
      <c r="I232" s="1769">
        <v>45747</v>
      </c>
      <c r="J232" s="1641"/>
      <c r="K232" s="28"/>
      <c r="L232" s="28"/>
      <c r="M232" s="28">
        <v>1</v>
      </c>
      <c r="N232" s="53">
        <f t="shared" si="161"/>
        <v>1</v>
      </c>
      <c r="O232" s="763"/>
      <c r="P232" s="374"/>
      <c r="Q232" s="374"/>
      <c r="R232" s="503"/>
      <c r="S232" s="535"/>
      <c r="T232" s="536"/>
      <c r="U232" s="536"/>
      <c r="V232" s="536"/>
      <c r="W232" s="536"/>
      <c r="X232" s="536"/>
      <c r="Y232" s="536"/>
      <c r="Z232" s="536"/>
      <c r="AA232" s="536"/>
      <c r="AB232" s="536"/>
      <c r="AC232" s="536"/>
      <c r="AD232" s="537"/>
      <c r="AE232" s="27"/>
      <c r="AF232" s="29"/>
      <c r="AG232" s="29"/>
      <c r="AH232" s="391"/>
      <c r="AI232" s="374"/>
      <c r="AJ232" s="25"/>
      <c r="AK232" s="27"/>
      <c r="AL232" s="28"/>
      <c r="AM232" s="1642"/>
      <c r="AN232" s="1643"/>
      <c r="AO232" s="522">
        <f t="shared" si="230"/>
        <v>1</v>
      </c>
      <c r="AP232" s="524">
        <f t="shared" si="231"/>
        <v>1</v>
      </c>
      <c r="AQ232" s="525">
        <f t="shared" si="232"/>
        <v>0</v>
      </c>
      <c r="AR232" s="649" t="s">
        <v>42</v>
      </c>
      <c r="AS232" s="1523"/>
      <c r="AT232" s="349"/>
      <c r="AU232" s="349"/>
    </row>
    <row r="233" spans="1:47" s="140" customFormat="1" ht="17" hidden="1" customHeight="1" thickBot="1">
      <c r="B233" s="1800"/>
      <c r="C233" s="169" t="s">
        <v>590</v>
      </c>
      <c r="D233" s="236" t="s">
        <v>19</v>
      </c>
      <c r="E233" s="1006" t="s">
        <v>61</v>
      </c>
      <c r="F233" s="1006" t="s">
        <v>643</v>
      </c>
      <c r="G233" s="1068"/>
      <c r="H233" s="804">
        <v>45784</v>
      </c>
      <c r="I233" s="804">
        <v>46112</v>
      </c>
      <c r="J233" s="1641"/>
      <c r="K233" s="28"/>
      <c r="L233" s="28"/>
      <c r="M233" s="28"/>
      <c r="N233" s="53"/>
      <c r="O233" s="763"/>
      <c r="P233" s="383"/>
      <c r="Q233" s="391">
        <v>0.8</v>
      </c>
      <c r="R233" s="506">
        <v>0</v>
      </c>
      <c r="S233" s="535">
        <v>1</v>
      </c>
      <c r="T233" s="556">
        <f>$T$1*S233</f>
        <v>0.6</v>
      </c>
      <c r="U233" s="536">
        <v>1</v>
      </c>
      <c r="V233" s="536"/>
      <c r="W233" s="536">
        <v>1</v>
      </c>
      <c r="X233" s="536"/>
      <c r="Y233" s="536">
        <v>1</v>
      </c>
      <c r="Z233" s="536"/>
      <c r="AA233" s="536">
        <v>1</v>
      </c>
      <c r="AB233" s="536"/>
      <c r="AC233" s="536">
        <v>1</v>
      </c>
      <c r="AD233" s="537"/>
      <c r="AE233" s="27">
        <v>1</v>
      </c>
      <c r="AF233" s="29"/>
      <c r="AG233" s="29">
        <v>1</v>
      </c>
      <c r="AH233" s="391"/>
      <c r="AI233" s="374">
        <v>1</v>
      </c>
      <c r="AJ233" s="25"/>
      <c r="AK233" s="27">
        <v>1</v>
      </c>
      <c r="AL233" s="28"/>
      <c r="AM233" s="1642"/>
      <c r="AN233" s="1643"/>
      <c r="AO233" s="1415">
        <f t="shared" si="230"/>
        <v>10.8</v>
      </c>
      <c r="AP233" s="524">
        <f t="shared" si="231"/>
        <v>0.6</v>
      </c>
      <c r="AQ233" s="525">
        <f t="shared" si="232"/>
        <v>10.200000000000001</v>
      </c>
      <c r="AR233" s="649" t="s">
        <v>42</v>
      </c>
      <c r="AS233" s="1523"/>
      <c r="AT233" s="349"/>
      <c r="AU233" s="349"/>
    </row>
    <row r="234" spans="1:47" s="140" customFormat="1" ht="17" hidden="1" customHeight="1">
      <c r="B234" s="1800"/>
      <c r="C234" s="169" t="s">
        <v>590</v>
      </c>
      <c r="D234" s="1779" t="s">
        <v>19</v>
      </c>
      <c r="E234" s="1739" t="s">
        <v>61</v>
      </c>
      <c r="F234" s="1739" t="s">
        <v>587</v>
      </c>
      <c r="G234" s="1780" t="s">
        <v>681</v>
      </c>
      <c r="H234" s="1769">
        <v>45748</v>
      </c>
      <c r="I234" s="1769">
        <v>45797</v>
      </c>
      <c r="J234" s="1641"/>
      <c r="K234" s="28"/>
      <c r="L234" s="28"/>
      <c r="M234" s="28"/>
      <c r="N234" s="53"/>
      <c r="O234" s="763">
        <v>1</v>
      </c>
      <c r="P234" s="53">
        <f t="shared" ref="P234:P236" si="233">$P$1*O234</f>
        <v>1</v>
      </c>
      <c r="Q234" s="674">
        <v>0</v>
      </c>
      <c r="R234" s="766">
        <f>R$1*Q1</f>
        <v>1</v>
      </c>
      <c r="S234" s="535"/>
      <c r="T234" s="536"/>
      <c r="U234" s="536"/>
      <c r="V234" s="536"/>
      <c r="W234" s="536"/>
      <c r="X234" s="536"/>
      <c r="Y234" s="536"/>
      <c r="Z234" s="536"/>
      <c r="AA234" s="536"/>
      <c r="AB234" s="536"/>
      <c r="AC234" s="536"/>
      <c r="AD234" s="537"/>
      <c r="AE234" s="27"/>
      <c r="AF234" s="29"/>
      <c r="AG234" s="29"/>
      <c r="AH234" s="391"/>
      <c r="AI234" s="374"/>
      <c r="AJ234" s="25"/>
      <c r="AK234" s="27"/>
      <c r="AL234" s="28"/>
      <c r="AM234" s="1642"/>
      <c r="AN234" s="1643"/>
      <c r="AO234" s="522">
        <f t="shared" ref="AO234" si="234">+K234+M234+O234+Q234+S234+U234+W234+Y234+AA234+AC234+AE234+AG234+AI234+AK234+AM234</f>
        <v>1</v>
      </c>
      <c r="AP234" s="524">
        <f t="shared" ref="AP234" si="235">+L234+N234+P234+R234+T234+V234+X234+Z234+AB234+AD234+AF234+AH234+AJ234+AL234+AN234</f>
        <v>2</v>
      </c>
      <c r="AQ234" s="525">
        <f t="shared" ref="AQ234" si="236">AO234-AP234</f>
        <v>-1</v>
      </c>
      <c r="AR234" s="649" t="s">
        <v>42</v>
      </c>
      <c r="AS234" s="1523"/>
      <c r="AT234" s="349"/>
      <c r="AU234" s="349"/>
    </row>
    <row r="235" spans="1:47" s="140" customFormat="1" ht="17" hidden="1" customHeight="1">
      <c r="B235" s="1800"/>
      <c r="C235" s="272" t="s">
        <v>592</v>
      </c>
      <c r="D235" s="163" t="s">
        <v>21</v>
      </c>
      <c r="E235" s="1006" t="s">
        <v>61</v>
      </c>
      <c r="F235" s="1006" t="s">
        <v>373</v>
      </c>
      <c r="G235" s="1058"/>
      <c r="H235" s="800">
        <v>45705</v>
      </c>
      <c r="I235" s="804">
        <v>46112</v>
      </c>
      <c r="J235" s="1641"/>
      <c r="K235" s="28">
        <v>0.5</v>
      </c>
      <c r="L235" s="53">
        <f t="shared" ref="L235" si="237">K235*$L$1</f>
        <v>0.5</v>
      </c>
      <c r="M235" s="28">
        <v>1</v>
      </c>
      <c r="N235" s="53">
        <f t="shared" si="161"/>
        <v>1</v>
      </c>
      <c r="O235" s="28">
        <v>1</v>
      </c>
      <c r="P235" s="53">
        <f t="shared" si="233"/>
        <v>1</v>
      </c>
      <c r="Q235" s="374">
        <v>1</v>
      </c>
      <c r="R235" s="506">
        <f t="shared" ref="R235:R236" si="238">$Q$1*Q235</f>
        <v>1</v>
      </c>
      <c r="S235" s="535">
        <v>1</v>
      </c>
      <c r="T235" s="556">
        <f t="shared" ref="T235:T236" si="239">$T$1*S235</f>
        <v>0.6</v>
      </c>
      <c r="U235" s="536">
        <v>1</v>
      </c>
      <c r="V235" s="536"/>
      <c r="W235" s="536">
        <v>1</v>
      </c>
      <c r="X235" s="536"/>
      <c r="Y235" s="536">
        <v>1</v>
      </c>
      <c r="Z235" s="536"/>
      <c r="AA235" s="536">
        <v>1</v>
      </c>
      <c r="AB235" s="536"/>
      <c r="AC235" s="536">
        <v>1</v>
      </c>
      <c r="AD235" s="537"/>
      <c r="AE235" s="27">
        <v>1</v>
      </c>
      <c r="AF235" s="29"/>
      <c r="AG235" s="29">
        <v>1</v>
      </c>
      <c r="AH235" s="391"/>
      <c r="AI235" s="374">
        <v>1</v>
      </c>
      <c r="AJ235" s="25"/>
      <c r="AK235" s="27">
        <v>1</v>
      </c>
      <c r="AL235" s="28"/>
      <c r="AM235" s="1642"/>
      <c r="AN235" s="1643"/>
      <c r="AO235" s="522">
        <f t="shared" si="230"/>
        <v>13.5</v>
      </c>
      <c r="AP235" s="524">
        <f t="shared" si="231"/>
        <v>4.0999999999999996</v>
      </c>
      <c r="AQ235" s="525">
        <f t="shared" si="232"/>
        <v>9.4</v>
      </c>
      <c r="AR235" s="649" t="s">
        <v>283</v>
      </c>
      <c r="AS235" s="1523"/>
      <c r="AT235" s="349"/>
      <c r="AU235" s="349"/>
    </row>
    <row r="236" spans="1:47" s="140" customFormat="1" ht="17" hidden="1" customHeight="1">
      <c r="B236" s="1800"/>
      <c r="C236" s="272" t="s">
        <v>591</v>
      </c>
      <c r="D236" s="163" t="s">
        <v>19</v>
      </c>
      <c r="E236" s="1006" t="s">
        <v>61</v>
      </c>
      <c r="F236" s="1006" t="s">
        <v>588</v>
      </c>
      <c r="G236" s="1058"/>
      <c r="H236" s="804">
        <v>45755</v>
      </c>
      <c r="I236" s="804">
        <v>46112</v>
      </c>
      <c r="J236" s="1641"/>
      <c r="K236" s="28"/>
      <c r="L236" s="28"/>
      <c r="M236" s="28"/>
      <c r="N236" s="53"/>
      <c r="O236" s="763">
        <v>0.8</v>
      </c>
      <c r="P236" s="53">
        <f t="shared" si="233"/>
        <v>0.8</v>
      </c>
      <c r="Q236" s="374">
        <v>1</v>
      </c>
      <c r="R236" s="506">
        <f t="shared" si="238"/>
        <v>1</v>
      </c>
      <c r="S236" s="535">
        <v>1</v>
      </c>
      <c r="T236" s="556">
        <f t="shared" si="239"/>
        <v>0.6</v>
      </c>
      <c r="U236" s="536">
        <v>1</v>
      </c>
      <c r="V236" s="536"/>
      <c r="W236" s="536">
        <v>1</v>
      </c>
      <c r="X236" s="536"/>
      <c r="Y236" s="536">
        <v>1</v>
      </c>
      <c r="Z236" s="536"/>
      <c r="AA236" s="536">
        <v>1</v>
      </c>
      <c r="AB236" s="536"/>
      <c r="AC236" s="536">
        <v>1</v>
      </c>
      <c r="AD236" s="537"/>
      <c r="AE236" s="27">
        <v>1</v>
      </c>
      <c r="AF236" s="29"/>
      <c r="AG236" s="29">
        <v>1</v>
      </c>
      <c r="AH236" s="391"/>
      <c r="AI236" s="374">
        <v>1</v>
      </c>
      <c r="AJ236" s="25"/>
      <c r="AK236" s="27">
        <v>1</v>
      </c>
      <c r="AL236" s="28"/>
      <c r="AM236" s="1642"/>
      <c r="AN236" s="1643"/>
      <c r="AO236" s="1415">
        <f t="shared" si="230"/>
        <v>11.8</v>
      </c>
      <c r="AP236" s="524">
        <f t="shared" si="231"/>
        <v>2.4</v>
      </c>
      <c r="AQ236" s="525">
        <f t="shared" si="232"/>
        <v>9.4</v>
      </c>
      <c r="AR236" s="649" t="s">
        <v>42</v>
      </c>
      <c r="AS236" s="1523"/>
      <c r="AT236" s="349"/>
      <c r="AU236" s="349"/>
    </row>
    <row r="237" spans="1:47" s="140" customFormat="1" ht="17" hidden="1" customHeight="1" thickBot="1">
      <c r="B237" s="1800"/>
      <c r="C237" s="272" t="s">
        <v>591</v>
      </c>
      <c r="D237" s="163" t="s">
        <v>21</v>
      </c>
      <c r="E237" s="1006" t="s">
        <v>61</v>
      </c>
      <c r="F237" s="1006" t="s">
        <v>302</v>
      </c>
      <c r="G237" s="1058"/>
      <c r="H237" s="804">
        <v>45870</v>
      </c>
      <c r="I237" s="804">
        <v>46053</v>
      </c>
      <c r="J237" s="1641"/>
      <c r="K237" s="28"/>
      <c r="L237" s="28"/>
      <c r="M237" s="28"/>
      <c r="N237" s="53"/>
      <c r="O237" s="28"/>
      <c r="P237" s="374"/>
      <c r="Q237" s="374"/>
      <c r="R237" s="503"/>
      <c r="S237" s="535"/>
      <c r="T237" s="536"/>
      <c r="U237" s="536"/>
      <c r="V237" s="536"/>
      <c r="W237" s="536">
        <v>1</v>
      </c>
      <c r="X237" s="536"/>
      <c r="Y237" s="536">
        <v>1</v>
      </c>
      <c r="Z237" s="536"/>
      <c r="AA237" s="536">
        <v>1</v>
      </c>
      <c r="AB237" s="536"/>
      <c r="AC237" s="536">
        <v>1</v>
      </c>
      <c r="AD237" s="537"/>
      <c r="AE237" s="27">
        <v>1</v>
      </c>
      <c r="AF237" s="29"/>
      <c r="AG237" s="29">
        <v>1</v>
      </c>
      <c r="AH237" s="391"/>
      <c r="AI237" s="374"/>
      <c r="AJ237" s="25"/>
      <c r="AK237" s="27"/>
      <c r="AL237" s="28"/>
      <c r="AM237" s="1642"/>
      <c r="AN237" s="1643"/>
      <c r="AO237" s="522">
        <f t="shared" si="230"/>
        <v>6</v>
      </c>
      <c r="AP237" s="524">
        <f t="shared" si="231"/>
        <v>0</v>
      </c>
      <c r="AQ237" s="525">
        <f t="shared" si="232"/>
        <v>6</v>
      </c>
      <c r="AR237" s="649" t="s">
        <v>283</v>
      </c>
      <c r="AS237" s="1523"/>
      <c r="AT237" s="349"/>
      <c r="AU237" s="349"/>
    </row>
    <row r="238" spans="1:47" s="140" customFormat="1" ht="17" hidden="1" customHeight="1" thickBot="1">
      <c r="B238" s="1800"/>
      <c r="C238" s="272" t="s">
        <v>593</v>
      </c>
      <c r="D238" s="163" t="s">
        <v>22</v>
      </c>
      <c r="E238" s="1006" t="s">
        <v>61</v>
      </c>
      <c r="F238" s="1714" t="s">
        <v>644</v>
      </c>
      <c r="G238" s="1723" t="s">
        <v>684</v>
      </c>
      <c r="H238" s="1719">
        <v>45784</v>
      </c>
      <c r="I238" s="1719">
        <v>46112</v>
      </c>
      <c r="J238" s="1641"/>
      <c r="K238" s="40"/>
      <c r="L238" s="40"/>
      <c r="M238" s="40"/>
      <c r="N238" s="53"/>
      <c r="O238" s="28"/>
      <c r="P238" s="374"/>
      <c r="Q238" s="1126">
        <v>0</v>
      </c>
      <c r="R238" s="1366">
        <v>1</v>
      </c>
      <c r="S238" s="1128">
        <v>0.5</v>
      </c>
      <c r="T238" s="1128">
        <f>S238*T1</f>
        <v>0.3</v>
      </c>
      <c r="U238" s="1128">
        <v>0</v>
      </c>
      <c r="V238" s="1128"/>
      <c r="W238" s="536">
        <v>1</v>
      </c>
      <c r="X238" s="536"/>
      <c r="Y238" s="536">
        <v>1</v>
      </c>
      <c r="Z238" s="536"/>
      <c r="AA238" s="536">
        <v>1</v>
      </c>
      <c r="AB238" s="536"/>
      <c r="AC238" s="536">
        <v>1</v>
      </c>
      <c r="AD238" s="537"/>
      <c r="AE238" s="27">
        <v>1</v>
      </c>
      <c r="AF238" s="29"/>
      <c r="AG238" s="29">
        <v>1</v>
      </c>
      <c r="AH238" s="391"/>
      <c r="AI238" s="374"/>
      <c r="AJ238" s="25"/>
      <c r="AK238" s="27"/>
      <c r="AL238" s="28"/>
      <c r="AM238" s="1642"/>
      <c r="AN238" s="1643"/>
      <c r="AO238" s="522">
        <f t="shared" si="230"/>
        <v>6.5</v>
      </c>
      <c r="AP238" s="524"/>
      <c r="AQ238" s="525">
        <f t="shared" si="232"/>
        <v>6.5</v>
      </c>
      <c r="AR238" s="649" t="s">
        <v>43</v>
      </c>
      <c r="AS238" s="1523"/>
      <c r="AT238" s="349"/>
      <c r="AU238" s="349"/>
    </row>
    <row r="239" spans="1:47" s="140" customFormat="1" ht="17" hidden="1" customHeight="1">
      <c r="B239" s="1800"/>
      <c r="C239" s="169" t="s">
        <v>593</v>
      </c>
      <c r="D239" s="236" t="s">
        <v>22</v>
      </c>
      <c r="E239" s="937" t="s">
        <v>61</v>
      </c>
      <c r="F239" s="938" t="s">
        <v>645</v>
      </c>
      <c r="G239" s="1069" t="s">
        <v>647</v>
      </c>
      <c r="H239" s="924">
        <v>45784</v>
      </c>
      <c r="I239" s="924">
        <v>46112</v>
      </c>
      <c r="J239" s="1641"/>
      <c r="K239" s="40"/>
      <c r="L239" s="40"/>
      <c r="M239" s="40"/>
      <c r="N239" s="53"/>
      <c r="O239" s="28"/>
      <c r="P239" s="374"/>
      <c r="Q239" s="1126">
        <v>0</v>
      </c>
      <c r="R239" s="1366">
        <v>1</v>
      </c>
      <c r="S239" s="1126">
        <v>0</v>
      </c>
      <c r="T239" s="1125">
        <f>$T$1</f>
        <v>0.6</v>
      </c>
      <c r="U239" s="1126">
        <v>0</v>
      </c>
      <c r="V239" s="1126"/>
      <c r="W239" s="1126">
        <v>0</v>
      </c>
      <c r="X239" s="1126"/>
      <c r="Y239" s="1126">
        <v>0</v>
      </c>
      <c r="Z239" s="1126"/>
      <c r="AA239" s="1126">
        <v>0</v>
      </c>
      <c r="AB239" s="1126"/>
      <c r="AC239" s="1126">
        <v>0</v>
      </c>
      <c r="AD239" s="1367"/>
      <c r="AE239" s="1363">
        <v>0</v>
      </c>
      <c r="AF239" s="1360"/>
      <c r="AG239" s="1360">
        <v>0</v>
      </c>
      <c r="AH239" s="1383"/>
      <c r="AI239" s="1374">
        <v>1</v>
      </c>
      <c r="AJ239" s="1365"/>
      <c r="AK239" s="1363">
        <v>1</v>
      </c>
      <c r="AL239" s="1125"/>
      <c r="AM239" s="1642"/>
      <c r="AN239" s="1643"/>
      <c r="AO239" s="522">
        <f t="shared" si="230"/>
        <v>2</v>
      </c>
      <c r="AP239" s="524">
        <f t="shared" si="231"/>
        <v>1.6</v>
      </c>
      <c r="AQ239" s="525">
        <f t="shared" si="232"/>
        <v>0.39999999999999991</v>
      </c>
      <c r="AR239" s="649" t="s">
        <v>43</v>
      </c>
      <c r="AS239" s="1523"/>
      <c r="AT239" s="349"/>
      <c r="AU239" s="349"/>
    </row>
    <row r="240" spans="1:47" s="140" customFormat="1" ht="17" hidden="1" customHeight="1">
      <c r="B240" s="1800"/>
      <c r="C240" s="272" t="s">
        <v>108</v>
      </c>
      <c r="D240" s="163" t="s">
        <v>19</v>
      </c>
      <c r="E240" s="1006" t="s">
        <v>61</v>
      </c>
      <c r="F240" s="1006" t="s">
        <v>302</v>
      </c>
      <c r="G240" s="1058"/>
      <c r="H240" s="804">
        <v>45916</v>
      </c>
      <c r="I240" s="804">
        <v>46096</v>
      </c>
      <c r="J240" s="1641"/>
      <c r="K240" s="40"/>
      <c r="L240" s="40"/>
      <c r="M240" s="40"/>
      <c r="N240" s="53"/>
      <c r="O240" s="28"/>
      <c r="P240" s="374"/>
      <c r="Q240" s="374"/>
      <c r="R240" s="503"/>
      <c r="S240" s="535"/>
      <c r="T240" s="536"/>
      <c r="U240" s="536"/>
      <c r="V240" s="536"/>
      <c r="W240" s="536"/>
      <c r="X240" s="536"/>
      <c r="Y240" s="536">
        <v>0.5</v>
      </c>
      <c r="Z240" s="536"/>
      <c r="AA240" s="536">
        <v>1</v>
      </c>
      <c r="AB240" s="536"/>
      <c r="AC240" s="536">
        <v>1</v>
      </c>
      <c r="AD240" s="537"/>
      <c r="AE240" s="27">
        <v>1</v>
      </c>
      <c r="AF240" s="29"/>
      <c r="AG240" s="29">
        <v>1</v>
      </c>
      <c r="AH240" s="391"/>
      <c r="AI240" s="374">
        <v>1</v>
      </c>
      <c r="AJ240" s="25"/>
      <c r="AK240" s="27">
        <v>0.5</v>
      </c>
      <c r="AL240" s="28"/>
      <c r="AM240" s="1642"/>
      <c r="AN240" s="1643"/>
      <c r="AO240" s="522">
        <f t="shared" si="230"/>
        <v>6</v>
      </c>
      <c r="AP240" s="524">
        <f t="shared" si="231"/>
        <v>0</v>
      </c>
      <c r="AQ240" s="525">
        <f t="shared" si="232"/>
        <v>6</v>
      </c>
      <c r="AR240" s="649" t="s">
        <v>42</v>
      </c>
      <c r="AS240" s="1523"/>
      <c r="AT240" s="349"/>
      <c r="AU240" s="349"/>
    </row>
    <row r="241" spans="1:47" s="140" customFormat="1" ht="17" hidden="1" customHeight="1">
      <c r="B241" s="1800"/>
      <c r="C241" s="858" t="s">
        <v>109</v>
      </c>
      <c r="D241" s="1062" t="s">
        <v>19</v>
      </c>
      <c r="E241" s="1065" t="s">
        <v>61</v>
      </c>
      <c r="F241" s="1065" t="s">
        <v>302</v>
      </c>
      <c r="G241" s="1059"/>
      <c r="H241" s="804">
        <v>45916</v>
      </c>
      <c r="I241" s="859">
        <v>46053</v>
      </c>
      <c r="J241" s="1630"/>
      <c r="K241" s="40"/>
      <c r="L241" s="40"/>
      <c r="M241" s="40"/>
      <c r="N241" s="53"/>
      <c r="O241" s="40"/>
      <c r="P241" s="28"/>
      <c r="Q241" s="376"/>
      <c r="R241" s="504"/>
      <c r="S241" s="538"/>
      <c r="T241" s="539"/>
      <c r="U241" s="539"/>
      <c r="V241" s="539"/>
      <c r="W241" s="539"/>
      <c r="X241" s="539"/>
      <c r="Y241" s="539">
        <v>0.5</v>
      </c>
      <c r="Z241" s="539"/>
      <c r="AA241" s="539">
        <v>1</v>
      </c>
      <c r="AB241" s="539"/>
      <c r="AC241" s="539">
        <v>1</v>
      </c>
      <c r="AD241" s="558"/>
      <c r="AE241" s="39">
        <v>1</v>
      </c>
      <c r="AF241" s="360"/>
      <c r="AG241" s="360">
        <v>1</v>
      </c>
      <c r="AH241" s="501"/>
      <c r="AI241" s="376"/>
      <c r="AJ241" s="122"/>
      <c r="AK241" s="39"/>
      <c r="AL241" s="40"/>
      <c r="AM241" s="1640"/>
      <c r="AN241" s="1639"/>
      <c r="AO241" s="522">
        <f t="shared" ref="AO241:AO242" si="240">+K241+M241+O241+Q241+S241+U241+W241+Y241+AA241+AC241+AE241+AG241+AI241+AK241+AM241</f>
        <v>4.5</v>
      </c>
      <c r="AP241" s="524">
        <f t="shared" ref="AP241:AP242" si="241">+L241+N241+P241+R241+T241+V241+X241+Z241+AB241+AD241+AF241+AH241+AJ241+AL241+AN241</f>
        <v>0</v>
      </c>
      <c r="AQ241" s="525">
        <f t="shared" ref="AQ241:AQ242" si="242">AO241-AP241</f>
        <v>4.5</v>
      </c>
      <c r="AR241" s="650" t="s">
        <v>42</v>
      </c>
      <c r="AS241" s="1523"/>
      <c r="AT241" s="349"/>
      <c r="AU241" s="349"/>
    </row>
    <row r="242" spans="1:47" s="140" customFormat="1" ht="17" hidden="1" customHeight="1">
      <c r="B242" s="1800"/>
      <c r="C242" s="858" t="s">
        <v>637</v>
      </c>
      <c r="D242" s="1062" t="s">
        <v>19</v>
      </c>
      <c r="E242" s="1065" t="s">
        <v>61</v>
      </c>
      <c r="F242" s="1065" t="s">
        <v>594</v>
      </c>
      <c r="G242" s="1059"/>
      <c r="H242" s="804">
        <v>45748</v>
      </c>
      <c r="I242" s="859">
        <v>45808</v>
      </c>
      <c r="J242" s="1630"/>
      <c r="K242" s="40"/>
      <c r="L242" s="40"/>
      <c r="M242" s="40"/>
      <c r="N242" s="53"/>
      <c r="O242" s="40">
        <v>1</v>
      </c>
      <c r="P242" s="53">
        <f t="shared" ref="P242" si="243">$P$1*O242</f>
        <v>1</v>
      </c>
      <c r="Q242" s="376">
        <v>1</v>
      </c>
      <c r="R242" s="506">
        <f>$Q$1*Q242</f>
        <v>1</v>
      </c>
      <c r="S242" s="538"/>
      <c r="T242" s="539"/>
      <c r="U242" s="539"/>
      <c r="V242" s="539"/>
      <c r="W242" s="539"/>
      <c r="X242" s="539"/>
      <c r="Y242" s="539"/>
      <c r="Z242" s="539"/>
      <c r="AA242" s="539"/>
      <c r="AB242" s="539"/>
      <c r="AC242" s="539"/>
      <c r="AD242" s="558"/>
      <c r="AE242" s="39"/>
      <c r="AF242" s="360"/>
      <c r="AG242" s="360"/>
      <c r="AH242" s="501"/>
      <c r="AI242" s="376"/>
      <c r="AJ242" s="122"/>
      <c r="AK242" s="39"/>
      <c r="AL242" s="40"/>
      <c r="AM242" s="1640"/>
      <c r="AN242" s="1639"/>
      <c r="AO242" s="522">
        <f t="shared" si="240"/>
        <v>2</v>
      </c>
      <c r="AP242" s="524">
        <f t="shared" si="241"/>
        <v>2</v>
      </c>
      <c r="AQ242" s="525">
        <f t="shared" si="242"/>
        <v>0</v>
      </c>
      <c r="AR242" s="650" t="s">
        <v>42</v>
      </c>
      <c r="AS242" s="1523"/>
      <c r="AT242" s="349"/>
      <c r="AU242" s="349"/>
    </row>
    <row r="243" spans="1:47" s="140" customFormat="1" ht="17" hidden="1" customHeight="1">
      <c r="B243" s="1800"/>
      <c r="C243" s="858" t="s">
        <v>675</v>
      </c>
      <c r="D243" s="1062" t="s">
        <v>19</v>
      </c>
      <c r="E243" s="1065" t="s">
        <v>61</v>
      </c>
      <c r="F243" s="1065" t="s">
        <v>676</v>
      </c>
      <c r="G243" s="1067"/>
      <c r="H243" s="804">
        <v>45796</v>
      </c>
      <c r="I243" s="859">
        <v>45852</v>
      </c>
      <c r="J243" s="1630"/>
      <c r="K243" s="40"/>
      <c r="L243" s="40"/>
      <c r="M243" s="40"/>
      <c r="N243" s="53"/>
      <c r="O243" s="40"/>
      <c r="P243" s="376"/>
      <c r="Q243" s="376">
        <v>0.5</v>
      </c>
      <c r="R243" s="374">
        <f t="shared" ref="R243" si="244">$Q$1*Q243</f>
        <v>0.5</v>
      </c>
      <c r="S243" s="538">
        <v>1</v>
      </c>
      <c r="T243" s="556">
        <f>$T$1*S243</f>
        <v>0.6</v>
      </c>
      <c r="U243" s="539">
        <v>0.5</v>
      </c>
      <c r="V243" s="539"/>
      <c r="W243" s="539"/>
      <c r="X243" s="539"/>
      <c r="Y243" s="539"/>
      <c r="Z243" s="539"/>
      <c r="AA243" s="539"/>
      <c r="AB243" s="539"/>
      <c r="AC243" s="539"/>
      <c r="AD243" s="558"/>
      <c r="AE243" s="39"/>
      <c r="AF243" s="360"/>
      <c r="AG243" s="360"/>
      <c r="AH243" s="501"/>
      <c r="AI243" s="376"/>
      <c r="AJ243" s="122"/>
      <c r="AK243" s="39"/>
      <c r="AL243" s="40"/>
      <c r="AM243" s="1640"/>
      <c r="AN243" s="1639"/>
      <c r="AO243" s="522">
        <f t="shared" ref="AO243" si="245">+K243+M243+O243+Q243+S243+U243+W243+Y243+AA243+AC243+AE243+AG243+AI243+AK243+AM243</f>
        <v>2</v>
      </c>
      <c r="AP243" s="524">
        <f t="shared" ref="AP243" si="246">+L243+N243+P243+R243+T243+V243+X243+Z243+AB243+AD243+AF243+AH243+AJ243+AL243+AN243</f>
        <v>1.1000000000000001</v>
      </c>
      <c r="AQ243" s="525">
        <f t="shared" ref="AQ243" si="247">AO243-AP243</f>
        <v>0.89999999999999991</v>
      </c>
      <c r="AR243" s="650" t="s">
        <v>42</v>
      </c>
      <c r="AS243" s="1523"/>
      <c r="AT243" s="349"/>
      <c r="AU243" s="349"/>
    </row>
    <row r="244" spans="1:47" s="140" customFormat="1" ht="17" hidden="1" customHeight="1" thickBot="1">
      <c r="B244" s="1800"/>
      <c r="C244" s="909" t="s">
        <v>595</v>
      </c>
      <c r="D244" s="1063" t="s">
        <v>19</v>
      </c>
      <c r="E244" s="1066" t="s">
        <v>61</v>
      </c>
      <c r="F244" s="1066" t="s">
        <v>302</v>
      </c>
      <c r="G244" s="1059"/>
      <c r="H244" s="861">
        <v>45831</v>
      </c>
      <c r="I244" s="861">
        <v>46265</v>
      </c>
      <c r="J244" s="1630"/>
      <c r="K244" s="40"/>
      <c r="L244" s="40"/>
      <c r="M244" s="40"/>
      <c r="N244" s="53"/>
      <c r="O244" s="40"/>
      <c r="P244" s="376"/>
      <c r="Q244" s="376"/>
      <c r="R244" s="504"/>
      <c r="S244" s="538"/>
      <c r="T244" s="539"/>
      <c r="U244" s="539">
        <v>1</v>
      </c>
      <c r="V244" s="539"/>
      <c r="W244" s="539">
        <v>1</v>
      </c>
      <c r="X244" s="539"/>
      <c r="Y244" s="539"/>
      <c r="Z244" s="539"/>
      <c r="AA244" s="539"/>
      <c r="AB244" s="539"/>
      <c r="AC244" s="539"/>
      <c r="AD244" s="558"/>
      <c r="AE244" s="39"/>
      <c r="AF244" s="360"/>
      <c r="AG244" s="360"/>
      <c r="AH244" s="501"/>
      <c r="AI244" s="376"/>
      <c r="AJ244" s="122"/>
      <c r="AK244" s="39"/>
      <c r="AL244" s="40"/>
      <c r="AM244" s="1640"/>
      <c r="AN244" s="1639"/>
      <c r="AO244" s="522">
        <f t="shared" si="230"/>
        <v>2</v>
      </c>
      <c r="AP244" s="524">
        <f t="shared" si="231"/>
        <v>0</v>
      </c>
      <c r="AQ244" s="525">
        <f t="shared" si="232"/>
        <v>2</v>
      </c>
      <c r="AR244" s="650" t="s">
        <v>42</v>
      </c>
      <c r="AS244" s="1523"/>
      <c r="AT244" s="349"/>
      <c r="AU244" s="349"/>
    </row>
    <row r="245" spans="1:47" s="150" customFormat="1" ht="17" hidden="1" customHeight="1" thickBot="1">
      <c r="A245" s="140"/>
      <c r="B245" s="1822"/>
      <c r="C245" s="489" t="s">
        <v>16</v>
      </c>
      <c r="D245" s="191"/>
      <c r="E245" s="458"/>
      <c r="F245" s="621"/>
      <c r="G245" s="621"/>
      <c r="H245" s="622"/>
      <c r="I245" s="819"/>
      <c r="J245" s="1644">
        <f t="shared" ref="J245:R245" si="248">SUM(J229:J244)</f>
        <v>0</v>
      </c>
      <c r="K245" s="1645">
        <f t="shared" si="248"/>
        <v>1</v>
      </c>
      <c r="L245" s="1645">
        <f t="shared" si="248"/>
        <v>1</v>
      </c>
      <c r="M245" s="1645">
        <f t="shared" si="248"/>
        <v>4</v>
      </c>
      <c r="N245" s="1645">
        <f t="shared" si="248"/>
        <v>4</v>
      </c>
      <c r="O245" s="1645">
        <f t="shared" si="248"/>
        <v>5.8</v>
      </c>
      <c r="P245" s="1645">
        <f t="shared" si="248"/>
        <v>5.8</v>
      </c>
      <c r="Q245" s="1082">
        <f t="shared" si="248"/>
        <v>6.3</v>
      </c>
      <c r="R245" s="1082">
        <f t="shared" si="248"/>
        <v>8.5</v>
      </c>
      <c r="S245" s="1646">
        <f>SUM(S229:S244)</f>
        <v>7.5</v>
      </c>
      <c r="T245" s="1646">
        <f>SUM(T229:T244)</f>
        <v>5.0999999999999996</v>
      </c>
      <c r="U245" s="1647">
        <f>SUM(U229:U244)</f>
        <v>7.5</v>
      </c>
      <c r="V245" s="1647"/>
      <c r="W245" s="1647">
        <f>SUM(W229:W244)</f>
        <v>9</v>
      </c>
      <c r="X245" s="1647"/>
      <c r="Y245" s="1647">
        <f>SUM(Y229:Y244)</f>
        <v>9</v>
      </c>
      <c r="Z245" s="1647"/>
      <c r="AA245" s="1647">
        <f>SUM(AA229:AA244)</f>
        <v>10</v>
      </c>
      <c r="AB245" s="1647"/>
      <c r="AC245" s="1647">
        <f>SUM(AC229:AC244)</f>
        <v>10</v>
      </c>
      <c r="AD245" s="1648"/>
      <c r="AE245" s="1649">
        <f>SUM(AE229:AE244)</f>
        <v>10</v>
      </c>
      <c r="AF245" s="1644"/>
      <c r="AG245" s="1645">
        <f>SUM(AG229:AG244)</f>
        <v>10</v>
      </c>
      <c r="AH245" s="1082"/>
      <c r="AI245" s="1082">
        <f>SUM(AI229:AI244)</f>
        <v>7</v>
      </c>
      <c r="AJ245" s="1650"/>
      <c r="AK245" s="1649">
        <f>SUM(AK229:AK244)</f>
        <v>6.5</v>
      </c>
      <c r="AL245" s="1645"/>
      <c r="AM245" s="1645">
        <f>SUM(AM229:AM244)</f>
        <v>0</v>
      </c>
      <c r="AN245" s="1650"/>
      <c r="AO245" s="526">
        <f>+SUM(AO229:AO244)</f>
        <v>103.6</v>
      </c>
      <c r="AP245" s="581">
        <f>+SUM(AP229:AP244)</f>
        <v>23.1</v>
      </c>
      <c r="AQ245" s="582">
        <f>+SUM(AQ229:AQ244)</f>
        <v>80.500000000000014</v>
      </c>
      <c r="AR245" s="651"/>
      <c r="AS245" s="1524"/>
      <c r="AT245" s="349"/>
      <c r="AU245" s="349"/>
    </row>
    <row r="246" spans="1:47" s="140" customFormat="1" ht="17" hidden="1" customHeight="1">
      <c r="B246" s="1820"/>
      <c r="C246" s="174" t="s">
        <v>97</v>
      </c>
      <c r="D246" s="936" t="s">
        <v>21</v>
      </c>
      <c r="E246" s="1055" t="s">
        <v>17</v>
      </c>
      <c r="F246" s="1070" t="s">
        <v>346</v>
      </c>
      <c r="G246" s="1055"/>
      <c r="H246" s="799">
        <v>45964</v>
      </c>
      <c r="I246" s="799">
        <v>46017</v>
      </c>
      <c r="J246" s="366"/>
      <c r="K246" s="53"/>
      <c r="L246" s="53"/>
      <c r="M246" s="53"/>
      <c r="N246" s="53"/>
      <c r="O246" s="53"/>
      <c r="P246" s="383"/>
      <c r="Q246" s="383"/>
      <c r="R246" s="506"/>
      <c r="S246" s="555"/>
      <c r="T246" s="556"/>
      <c r="U246" s="556"/>
      <c r="V246" s="556"/>
      <c r="W246" s="556"/>
      <c r="X246" s="556"/>
      <c r="Y246" s="1357"/>
      <c r="Z246" s="556"/>
      <c r="AA246" s="1357"/>
      <c r="AB246" s="1357"/>
      <c r="AC246" s="1357">
        <v>1</v>
      </c>
      <c r="AD246" s="1358"/>
      <c r="AE246" s="1359">
        <v>1</v>
      </c>
      <c r="AF246" s="1218"/>
      <c r="AG246" s="1182"/>
      <c r="AH246" s="1179"/>
      <c r="AI246" s="1179"/>
      <c r="AJ246" s="54"/>
      <c r="AK246" s="1359"/>
      <c r="AL246" s="1182"/>
      <c r="AM246" s="1182"/>
      <c r="AN246" s="1183"/>
      <c r="AO246" s="719">
        <f t="shared" ref="AO246:AP248" si="249">+K246+M246+O246+Q246+S246+U246+W246+Y246+AA246+AC246+AE246+AG246+AI246+AK246+AM246</f>
        <v>2</v>
      </c>
      <c r="AP246" s="524">
        <f t="shared" si="249"/>
        <v>0</v>
      </c>
      <c r="AQ246" s="525">
        <f t="shared" ref="AQ246:AQ248" si="250">AO246-AP246</f>
        <v>2</v>
      </c>
      <c r="AR246" s="634"/>
      <c r="AS246" s="1453"/>
      <c r="AT246" s="427"/>
      <c r="AU246" s="349"/>
    </row>
    <row r="247" spans="1:47" s="140" customFormat="1" ht="17" hidden="1" customHeight="1">
      <c r="B247" s="1820"/>
      <c r="C247" s="242" t="s">
        <v>37</v>
      </c>
      <c r="D247" s="34" t="s">
        <v>13</v>
      </c>
      <c r="E247" s="1056" t="s">
        <v>17</v>
      </c>
      <c r="F247" s="1071" t="s">
        <v>608</v>
      </c>
      <c r="G247" s="1056"/>
      <c r="H247" s="800">
        <v>45931</v>
      </c>
      <c r="I247" s="800">
        <v>46081</v>
      </c>
      <c r="J247" s="29"/>
      <c r="K247" s="28"/>
      <c r="L247" s="28"/>
      <c r="M247" s="28"/>
      <c r="N247" s="53"/>
      <c r="O247" s="28"/>
      <c r="P247" s="374"/>
      <c r="Q247" s="374"/>
      <c r="R247" s="503"/>
      <c r="S247" s="535"/>
      <c r="T247" s="536"/>
      <c r="U247" s="536"/>
      <c r="V247" s="536"/>
      <c r="W247" s="536"/>
      <c r="X247" s="536"/>
      <c r="Y247" s="536"/>
      <c r="Z247" s="536"/>
      <c r="AA247" s="536">
        <v>1</v>
      </c>
      <c r="AB247" s="1128"/>
      <c r="AC247" s="1128">
        <v>0.5</v>
      </c>
      <c r="AD247" s="1181"/>
      <c r="AE247" s="1129">
        <v>0.5</v>
      </c>
      <c r="AF247" s="1143"/>
      <c r="AG247" s="1130">
        <v>1</v>
      </c>
      <c r="AH247" s="1131"/>
      <c r="AI247" s="1131">
        <v>0.5</v>
      </c>
      <c r="AJ247" s="25"/>
      <c r="AK247" s="1129"/>
      <c r="AL247" s="1130"/>
      <c r="AM247" s="1130"/>
      <c r="AN247" s="1142"/>
      <c r="AO247" s="719">
        <f t="shared" si="249"/>
        <v>3.5</v>
      </c>
      <c r="AP247" s="524">
        <f t="shared" si="249"/>
        <v>0</v>
      </c>
      <c r="AQ247" s="525">
        <f t="shared" si="250"/>
        <v>3.5</v>
      </c>
      <c r="AR247" s="635"/>
      <c r="AS247" s="1453"/>
      <c r="AT247" s="427"/>
      <c r="AU247" s="349"/>
    </row>
    <row r="248" spans="1:47" s="140" customFormat="1" ht="17" hidden="1" customHeight="1" thickBot="1">
      <c r="B248" s="1820"/>
      <c r="C248" s="243" t="s">
        <v>98</v>
      </c>
      <c r="D248" s="260" t="s">
        <v>19</v>
      </c>
      <c r="E248" s="1057" t="s">
        <v>17</v>
      </c>
      <c r="F248" s="1781" t="s">
        <v>74</v>
      </c>
      <c r="G248" s="1057"/>
      <c r="H248" s="802">
        <v>45884</v>
      </c>
      <c r="I248" s="802">
        <v>46022</v>
      </c>
      <c r="J248" s="360"/>
      <c r="K248" s="40"/>
      <c r="L248" s="40"/>
      <c r="M248" s="40"/>
      <c r="N248" s="53"/>
      <c r="O248" s="40"/>
      <c r="P248" s="376"/>
      <c r="Q248" s="376"/>
      <c r="R248" s="504"/>
      <c r="S248" s="538"/>
      <c r="T248" s="539"/>
      <c r="U248" s="539"/>
      <c r="V248" s="539"/>
      <c r="W248" s="539">
        <v>0.5</v>
      </c>
      <c r="X248" s="539"/>
      <c r="Y248" s="539"/>
      <c r="Z248" s="539"/>
      <c r="AA248" s="539"/>
      <c r="AB248" s="1134"/>
      <c r="AC248" s="1134">
        <v>1</v>
      </c>
      <c r="AD248" s="1135"/>
      <c r="AE248" s="1136">
        <v>1</v>
      </c>
      <c r="AF248" s="1137"/>
      <c r="AG248" s="1138"/>
      <c r="AH248" s="1139"/>
      <c r="AI248" s="1139"/>
      <c r="AJ248" s="122"/>
      <c r="AK248" s="1136"/>
      <c r="AL248" s="1138"/>
      <c r="AM248" s="1138"/>
      <c r="AN248" s="1140"/>
      <c r="AO248" s="1586">
        <f t="shared" si="249"/>
        <v>2.5</v>
      </c>
      <c r="AP248" s="524">
        <f t="shared" si="249"/>
        <v>0</v>
      </c>
      <c r="AQ248" s="525">
        <f t="shared" si="250"/>
        <v>2.5</v>
      </c>
      <c r="AR248" s="642"/>
      <c r="AS248" s="1453"/>
      <c r="AT248" s="427"/>
      <c r="AU248" s="349"/>
    </row>
    <row r="249" spans="1:47" s="150" customFormat="1" ht="17" hidden="1" customHeight="1" thickBot="1">
      <c r="A249" s="140"/>
      <c r="B249" s="1821"/>
      <c r="C249" s="489" t="s">
        <v>16</v>
      </c>
      <c r="D249" s="157"/>
      <c r="E249" s="437"/>
      <c r="F249" s="602"/>
      <c r="G249" s="602"/>
      <c r="H249" s="603"/>
      <c r="I249" s="351"/>
      <c r="J249" s="161">
        <f t="shared" ref="J249:R249" si="251">SUM(J246:J248)</f>
        <v>0</v>
      </c>
      <c r="K249" s="178">
        <f t="shared" si="251"/>
        <v>0</v>
      </c>
      <c r="L249" s="178">
        <f t="shared" si="251"/>
        <v>0</v>
      </c>
      <c r="M249" s="178">
        <f t="shared" si="251"/>
        <v>0</v>
      </c>
      <c r="N249" s="178">
        <f t="shared" si="251"/>
        <v>0</v>
      </c>
      <c r="O249" s="178">
        <f t="shared" si="251"/>
        <v>0</v>
      </c>
      <c r="P249" s="178">
        <f t="shared" si="251"/>
        <v>0</v>
      </c>
      <c r="Q249" s="375">
        <f t="shared" si="251"/>
        <v>0</v>
      </c>
      <c r="R249" s="375">
        <f t="shared" si="251"/>
        <v>0</v>
      </c>
      <c r="S249" s="540">
        <f>SUM(S246:S248)</f>
        <v>0</v>
      </c>
      <c r="T249" s="540">
        <f>SUM(T246:T248)</f>
        <v>0</v>
      </c>
      <c r="U249" s="541">
        <f>SUM(U246:U248)</f>
        <v>0</v>
      </c>
      <c r="V249" s="541"/>
      <c r="W249" s="541">
        <f>SUM(W246:W248)</f>
        <v>0.5</v>
      </c>
      <c r="X249" s="541"/>
      <c r="Y249" s="541">
        <f>SUM(Y246:Y248)</f>
        <v>0</v>
      </c>
      <c r="Z249" s="541"/>
      <c r="AA249" s="541">
        <f>SUM(AA246:AA248)</f>
        <v>1</v>
      </c>
      <c r="AB249" s="541"/>
      <c r="AC249" s="541">
        <f>SUM(AC246:AC248)</f>
        <v>2.5</v>
      </c>
      <c r="AD249" s="542"/>
      <c r="AE249" s="161">
        <f>SUM(AE246:AE248)</f>
        <v>2.5</v>
      </c>
      <c r="AF249" s="159"/>
      <c r="AG249" s="178">
        <f>SUM(AG246:AG248)</f>
        <v>1</v>
      </c>
      <c r="AH249" s="375"/>
      <c r="AI249" s="375">
        <f>SUM(AI246:AI248)</f>
        <v>0.5</v>
      </c>
      <c r="AJ249" s="185"/>
      <c r="AK249" s="161">
        <f>SUM(AK246:AK248)</f>
        <v>0</v>
      </c>
      <c r="AL249" s="178"/>
      <c r="AM249" s="178">
        <f>SUM(AM246:AM248)</f>
        <v>0</v>
      </c>
      <c r="AN249" s="185"/>
      <c r="AO249" s="514">
        <f>+SUM(AO246:AO248)</f>
        <v>8</v>
      </c>
      <c r="AP249" s="515">
        <f>+SUM(AP246:AP248)</f>
        <v>0</v>
      </c>
      <c r="AQ249" s="516">
        <f>+SUM(AQ246:AQ248)</f>
        <v>8</v>
      </c>
      <c r="AR249" s="637"/>
      <c r="AS249" s="1520"/>
      <c r="AT249" s="349"/>
      <c r="AU249" s="349"/>
    </row>
    <row r="250" spans="1:47" s="140" customFormat="1" ht="17" hidden="1" customHeight="1" thickBot="1">
      <c r="B250" s="151"/>
      <c r="C250" s="708" t="s">
        <v>159</v>
      </c>
      <c r="D250" s="705"/>
      <c r="E250" s="706"/>
      <c r="F250" s="706"/>
      <c r="G250" s="706"/>
      <c r="H250" s="706"/>
      <c r="I250" s="707"/>
      <c r="J250" s="1651">
        <f t="shared" ref="J250:U250" si="252">J249+J245+J228+J214+J204+J122+J99+J66+J56+J46+J30+J20</f>
        <v>0</v>
      </c>
      <c r="K250" s="1652">
        <f t="shared" si="252"/>
        <v>48.75</v>
      </c>
      <c r="L250" s="1652">
        <f t="shared" si="252"/>
        <v>54.25</v>
      </c>
      <c r="M250" s="1652">
        <f t="shared" si="252"/>
        <v>69.25</v>
      </c>
      <c r="N250" s="1652">
        <f t="shared" si="252"/>
        <v>74.2</v>
      </c>
      <c r="O250" s="1652">
        <f t="shared" si="252"/>
        <v>87.05</v>
      </c>
      <c r="P250" s="1652">
        <f t="shared" si="252"/>
        <v>100.4</v>
      </c>
      <c r="Q250" s="1083">
        <f t="shared" si="252"/>
        <v>98.35</v>
      </c>
      <c r="R250" s="1083">
        <f t="shared" si="252"/>
        <v>120.24</v>
      </c>
      <c r="S250" s="1653">
        <f t="shared" si="252"/>
        <v>134.15</v>
      </c>
      <c r="T250" s="1653">
        <f t="shared" si="252"/>
        <v>89.55</v>
      </c>
      <c r="U250" s="1654">
        <f t="shared" si="252"/>
        <v>150.4</v>
      </c>
      <c r="V250" s="1654"/>
      <c r="W250" s="1654">
        <f>W249+W245+W228+W214+W204+W122+W99+W66+W56+W46+W30+W20</f>
        <v>158.5</v>
      </c>
      <c r="X250" s="1654"/>
      <c r="Y250" s="1654">
        <f>Y249+Y245+Y228+Y214+Y204+Y122+Y99+Y66+Y56+Y46+Y30+Y20</f>
        <v>156.14999999999998</v>
      </c>
      <c r="Z250" s="1654"/>
      <c r="AA250" s="1654">
        <f>AA249+AA245+AA228+AA214+AA204+AA122+AA99+AA66+AA56+AA46+AA30+AA20</f>
        <v>156.19999999999999</v>
      </c>
      <c r="AB250" s="1654"/>
      <c r="AC250" s="1654">
        <f>AC249+AC245+AC228+AC214+AC204+AC122+AC99+AC66+AC56+AC46+AC30+AC20</f>
        <v>156.44999999999999</v>
      </c>
      <c r="AD250" s="1655"/>
      <c r="AE250" s="1656">
        <f>AE249+AE245+AE228+AE214+AE204+AE122+AE99+AE66+AE56+AE46+AE30+AE20</f>
        <v>147.4</v>
      </c>
      <c r="AF250" s="1657"/>
      <c r="AG250" s="1652">
        <f>AG249+AG245+AG228+AG214+AG204+AG122+AG99+AG66+AG56+AG46+AG30+AG20</f>
        <v>134.75</v>
      </c>
      <c r="AH250" s="1083"/>
      <c r="AI250" s="1083">
        <f>AI249+AI245+AI228+AI214+AI204+AI122+AI99+AI66+AI56+AI46+AI30+AI20</f>
        <v>122.2</v>
      </c>
      <c r="AJ250" s="1658"/>
      <c r="AK250" s="1656">
        <f>AK249+AK245+AK228+AK214+AK204+AK122+AK99+AK66+AK56+AK46+AK30+AK20</f>
        <v>103.45</v>
      </c>
      <c r="AL250" s="1652"/>
      <c r="AM250" s="1652">
        <f>AM249+AM245+AM228+AM214+AM204+AM122+AM99+AM66+AM56+AM46+AM30+AM20</f>
        <v>56.05</v>
      </c>
      <c r="AN250" s="1658"/>
      <c r="AO250" s="715">
        <f>AO249+AO245+AO228+AO214+AO204+AO122+AO99+AO66+AO56+AO46+AO30+AO20</f>
        <v>1779.1</v>
      </c>
      <c r="AP250" s="709">
        <f>AP249+AP245+AP228+AP214+AP204+AP122+AP99+AP66+AP56+AP46+AP30+AP20</f>
        <v>436.7399999999999</v>
      </c>
      <c r="AQ250" s="717">
        <f>AQ249+AQ245+AQ228+AQ214+AQ204+AQ122+AQ99+AQ66+AQ56+AQ46+AQ30+AQ20</f>
        <v>1342.3599999999997</v>
      </c>
      <c r="AR250" s="653"/>
      <c r="AS250" s="1526"/>
      <c r="AT250" s="349"/>
      <c r="AU250" s="349"/>
    </row>
    <row r="251" spans="1:47" hidden="1">
      <c r="C251" s="206"/>
      <c r="K251" s="633">
        <f>K250*$L$1</f>
        <v>48.75</v>
      </c>
      <c r="L251" s="1659">
        <f>L250</f>
        <v>54.25</v>
      </c>
      <c r="M251" s="633">
        <f>M250*$N$1</f>
        <v>69.25</v>
      </c>
      <c r="N251" s="1659">
        <f>N250</f>
        <v>74.2</v>
      </c>
      <c r="AT251" s="348"/>
    </row>
    <row r="252" spans="1:47" hidden="1">
      <c r="K252" s="1084"/>
      <c r="L252" s="1659">
        <f>L251-K251</f>
        <v>5.5</v>
      </c>
      <c r="M252" s="1084"/>
      <c r="N252" s="1659">
        <f>N251-M251</f>
        <v>4.9500000000000028</v>
      </c>
      <c r="O252" s="1084"/>
      <c r="Q252" s="1084"/>
      <c r="S252" s="1084"/>
      <c r="U252" s="1084"/>
      <c r="W252" s="1084"/>
      <c r="Y252" s="1084"/>
      <c r="Z252" s="1084"/>
      <c r="AA252" s="1084"/>
      <c r="AB252" s="1084"/>
      <c r="AC252" s="1084"/>
      <c r="AD252" s="1084"/>
      <c r="AE252" s="1084"/>
      <c r="AF252" s="1084"/>
      <c r="AG252" s="1084"/>
      <c r="AH252" s="1084"/>
      <c r="AI252" s="1084"/>
      <c r="AJ252" s="1084"/>
      <c r="AK252" s="1084"/>
      <c r="AL252" s="1084"/>
      <c r="AM252" s="1084"/>
      <c r="AN252" s="1084"/>
      <c r="AO252" s="496"/>
      <c r="AT252" s="348"/>
    </row>
    <row r="253" spans="1:47" hidden="1">
      <c r="AS253" s="633" t="e">
        <f>sum</f>
        <v>#NAME?</v>
      </c>
    </row>
    <row r="254" spans="1:47" hidden="1">
      <c r="I254" s="107" t="s">
        <v>555</v>
      </c>
      <c r="O254" s="1598" t="s">
        <v>562</v>
      </c>
      <c r="AT254" s="348"/>
    </row>
    <row r="255" spans="1:47" hidden="1">
      <c r="C255" s="732" t="s">
        <v>542</v>
      </c>
      <c r="D255" s="726" t="s">
        <v>543</v>
      </c>
      <c r="E255" s="727" t="s">
        <v>546</v>
      </c>
      <c r="I255" t="s">
        <v>554</v>
      </c>
      <c r="O255" s="633" t="s">
        <v>568</v>
      </c>
      <c r="AT255" s="348"/>
    </row>
    <row r="256" spans="1:47" hidden="1">
      <c r="C256" s="732" t="s">
        <v>544</v>
      </c>
      <c r="D256" s="726" t="s">
        <v>545</v>
      </c>
      <c r="E256" s="727" t="s">
        <v>553</v>
      </c>
      <c r="I256" s="743" t="s">
        <v>566</v>
      </c>
      <c r="AK256" s="633">
        <f>12.75-9.5</f>
        <v>3.25</v>
      </c>
      <c r="AT256" s="348"/>
    </row>
    <row r="257" spans="3:46" hidden="1">
      <c r="C257" s="733" t="s">
        <v>547</v>
      </c>
      <c r="D257" s="730" t="s">
        <v>548</v>
      </c>
      <c r="E257" t="s">
        <v>549</v>
      </c>
      <c r="I257" t="s">
        <v>552</v>
      </c>
      <c r="O257" s="633" t="s">
        <v>563</v>
      </c>
      <c r="AT257" s="348"/>
    </row>
    <row r="258" spans="3:46" hidden="1">
      <c r="E258" s="728">
        <v>48</v>
      </c>
      <c r="F258" s="729">
        <v>7</v>
      </c>
      <c r="G258" s="728">
        <f>E258+F258</f>
        <v>55</v>
      </c>
      <c r="I258" s="743" t="s">
        <v>565</v>
      </c>
      <c r="O258" s="633" t="s">
        <v>569</v>
      </c>
      <c r="AT258" s="348"/>
    </row>
    <row r="259" spans="3:46" hidden="1">
      <c r="I259" t="s">
        <v>564</v>
      </c>
      <c r="O259" s="633" t="s">
        <v>570</v>
      </c>
      <c r="AT259" s="348"/>
    </row>
    <row r="260" spans="3:46" hidden="1">
      <c r="AT260" s="348"/>
    </row>
  </sheetData>
  <autoFilter ref="A5:AW259" xr:uid="{00000000-0009-0000-0000-000004000000}">
    <filterColumn colId="4">
      <filters>
        <filter val="바이널씨"/>
      </filters>
    </filterColumn>
  </autoFilter>
  <mergeCells count="60">
    <mergeCell ref="C83:C91"/>
    <mergeCell ref="AK2:AL2"/>
    <mergeCell ref="AM2:AN2"/>
    <mergeCell ref="AG2:AH2"/>
    <mergeCell ref="K2:L2"/>
    <mergeCell ref="M2:N2"/>
    <mergeCell ref="O2:P2"/>
    <mergeCell ref="Q2:R2"/>
    <mergeCell ref="S2:T2"/>
    <mergeCell ref="Y2:Z2"/>
    <mergeCell ref="AA2:AB2"/>
    <mergeCell ref="AC2:AD2"/>
    <mergeCell ref="AE2:AF2"/>
    <mergeCell ref="U2:V2"/>
    <mergeCell ref="W2:X2"/>
    <mergeCell ref="AI2:AJ2"/>
    <mergeCell ref="B246:B249"/>
    <mergeCell ref="B205:B214"/>
    <mergeCell ref="B215:B228"/>
    <mergeCell ref="B229:B245"/>
    <mergeCell ref="B2:B5"/>
    <mergeCell ref="B31:B46"/>
    <mergeCell ref="B47:B56"/>
    <mergeCell ref="B57:B66"/>
    <mergeCell ref="B100:B122"/>
    <mergeCell ref="B67:B99"/>
    <mergeCell ref="B6:B20"/>
    <mergeCell ref="B21:B30"/>
    <mergeCell ref="AR2:AR5"/>
    <mergeCell ref="I2:I5"/>
    <mergeCell ref="K4:L4"/>
    <mergeCell ref="M4:N4"/>
    <mergeCell ref="Q4:R4"/>
    <mergeCell ref="O4:P4"/>
    <mergeCell ref="AO2:AQ4"/>
    <mergeCell ref="AC4:AD4"/>
    <mergeCell ref="AE4:AF4"/>
    <mergeCell ref="AG4:AH4"/>
    <mergeCell ref="AI4:AJ4"/>
    <mergeCell ref="AK4:AL4"/>
    <mergeCell ref="AK3:AN3"/>
    <mergeCell ref="S4:T4"/>
    <mergeCell ref="U4:V4"/>
    <mergeCell ref="W4:X4"/>
    <mergeCell ref="C94:C95"/>
    <mergeCell ref="B123:B171"/>
    <mergeCell ref="G2:G5"/>
    <mergeCell ref="AM4:AN4"/>
    <mergeCell ref="H2:H5"/>
    <mergeCell ref="C50:C54"/>
    <mergeCell ref="C70:C82"/>
    <mergeCell ref="Y4:Z4"/>
    <mergeCell ref="AA4:AB4"/>
    <mergeCell ref="J3:R3"/>
    <mergeCell ref="S3:AD3"/>
    <mergeCell ref="AE3:AJ3"/>
    <mergeCell ref="C2:C5"/>
    <mergeCell ref="D2:D5"/>
    <mergeCell ref="E2:E5"/>
    <mergeCell ref="F2:F5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E3:E50"/>
  <sheetViews>
    <sheetView workbookViewId="0">
      <selection activeCell="E50" sqref="E3:E50"/>
    </sheetView>
  </sheetViews>
  <sheetFormatPr baseColWidth="10" defaultColWidth="8.83203125" defaultRowHeight="17"/>
  <sheetData>
    <row r="3" spans="5:5">
      <c r="E3">
        <v>15</v>
      </c>
    </row>
    <row r="4" spans="5:5">
      <c r="E4">
        <v>2.5</v>
      </c>
    </row>
    <row r="5" spans="5:5">
      <c r="E5">
        <v>15</v>
      </c>
    </row>
    <row r="6" spans="5:5">
      <c r="E6">
        <v>15</v>
      </c>
    </row>
    <row r="7" spans="5:5">
      <c r="E7">
        <v>4</v>
      </c>
    </row>
    <row r="8" spans="5:5">
      <c r="E8">
        <v>14</v>
      </c>
    </row>
    <row r="9" spans="5:5">
      <c r="E9">
        <v>14</v>
      </c>
    </row>
    <row r="10" spans="5:5">
      <c r="E10">
        <v>11</v>
      </c>
    </row>
    <row r="11" spans="5:5">
      <c r="E11">
        <v>12</v>
      </c>
    </row>
    <row r="12" spans="5:5">
      <c r="E12">
        <v>11</v>
      </c>
    </row>
    <row r="13" spans="5:5">
      <c r="E13">
        <v>12</v>
      </c>
    </row>
    <row r="14" spans="5:5">
      <c r="E14">
        <v>12</v>
      </c>
    </row>
    <row r="15" spans="5:5">
      <c r="E15">
        <v>12</v>
      </c>
    </row>
    <row r="16" spans="5:5">
      <c r="E16">
        <v>11</v>
      </c>
    </row>
    <row r="17" spans="5:5">
      <c r="E17">
        <v>11</v>
      </c>
    </row>
    <row r="18" spans="5:5">
      <c r="E18">
        <v>12.5</v>
      </c>
    </row>
    <row r="19" spans="5:5">
      <c r="E19">
        <v>11</v>
      </c>
    </row>
    <row r="20" spans="5:5">
      <c r="E20">
        <v>0</v>
      </c>
    </row>
    <row r="21" spans="5:5">
      <c r="E21">
        <v>11</v>
      </c>
    </row>
    <row r="22" spans="5:5">
      <c r="E22">
        <v>0</v>
      </c>
    </row>
    <row r="23" spans="5:5">
      <c r="E23">
        <v>0</v>
      </c>
    </row>
    <row r="24" spans="5:5">
      <c r="E24">
        <v>2</v>
      </c>
    </row>
    <row r="25" spans="5:5">
      <c r="E25">
        <v>15</v>
      </c>
    </row>
    <row r="26" spans="5:5">
      <c r="E26">
        <v>15</v>
      </c>
    </row>
    <row r="27" spans="5:5">
      <c r="E27">
        <v>13</v>
      </c>
    </row>
    <row r="28" spans="5:5">
      <c r="E28">
        <v>15</v>
      </c>
    </row>
    <row r="29" spans="5:5">
      <c r="E29">
        <v>15</v>
      </c>
    </row>
    <row r="30" spans="5:5">
      <c r="E30">
        <v>15</v>
      </c>
    </row>
    <row r="31" spans="5:5">
      <c r="E31">
        <v>11</v>
      </c>
    </row>
    <row r="32" spans="5:5">
      <c r="E32">
        <v>11</v>
      </c>
    </row>
    <row r="35" spans="5:5">
      <c r="E35">
        <v>11</v>
      </c>
    </row>
    <row r="36" spans="5:5">
      <c r="E36">
        <v>11</v>
      </c>
    </row>
    <row r="37" spans="5:5">
      <c r="E37">
        <v>11</v>
      </c>
    </row>
    <row r="38" spans="5:5">
      <c r="E38">
        <v>4</v>
      </c>
    </row>
    <row r="39" spans="5:5">
      <c r="E39">
        <v>11</v>
      </c>
    </row>
    <row r="40" spans="5:5">
      <c r="E40">
        <v>13.5</v>
      </c>
    </row>
    <row r="41" spans="5:5">
      <c r="E41">
        <v>12.5</v>
      </c>
    </row>
    <row r="43" spans="5:5">
      <c r="E43">
        <v>11</v>
      </c>
    </row>
    <row r="44" spans="5:5">
      <c r="E44">
        <v>11</v>
      </c>
    </row>
    <row r="45" spans="5:5">
      <c r="E45">
        <v>13.5</v>
      </c>
    </row>
    <row r="47" spans="5:5">
      <c r="E47">
        <v>12.5</v>
      </c>
    </row>
    <row r="48" spans="5:5">
      <c r="E48">
        <v>15</v>
      </c>
    </row>
    <row r="50" spans="5:5">
      <c r="E50">
        <v>11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E8"/>
  <sheetViews>
    <sheetView workbookViewId="0">
      <selection activeCell="E8" sqref="E8"/>
    </sheetView>
  </sheetViews>
  <sheetFormatPr baseColWidth="10" defaultColWidth="8.83203125" defaultRowHeight="17"/>
  <cols>
    <col min="1" max="3" width="11.1640625" bestFit="1" customWidth="1"/>
  </cols>
  <sheetData>
    <row r="2" spans="1:5">
      <c r="A2">
        <v>270.2</v>
      </c>
      <c r="B2">
        <f>A2-B3</f>
        <v>1.2999999999999545</v>
      </c>
    </row>
    <row r="3" spans="1:5">
      <c r="A3">
        <v>279.60000000000002</v>
      </c>
      <c r="B3">
        <f>A3-10.7</f>
        <v>268.90000000000003</v>
      </c>
      <c r="E3" t="s">
        <v>629</v>
      </c>
    </row>
    <row r="4" spans="1:5">
      <c r="A4">
        <f>A3-A2</f>
        <v>9.4000000000000341</v>
      </c>
    </row>
    <row r="7" spans="1:5" ht="18">
      <c r="A7" s="843" t="s">
        <v>630</v>
      </c>
      <c r="B7" s="843" t="s">
        <v>631</v>
      </c>
      <c r="C7" s="843" t="s">
        <v>634</v>
      </c>
      <c r="D7" s="843" t="s">
        <v>633</v>
      </c>
      <c r="E7" s="843" t="s">
        <v>632</v>
      </c>
    </row>
    <row r="8" spans="1:5">
      <c r="A8" s="842">
        <v>45777</v>
      </c>
      <c r="B8" s="842">
        <v>45775</v>
      </c>
      <c r="C8" s="462">
        <f>A8-B8</f>
        <v>2</v>
      </c>
      <c r="D8" s="462">
        <f>EOMONTH(A8,0) - EOMONTH(A8,-1)</f>
        <v>30</v>
      </c>
      <c r="E8" s="462">
        <f>C8/D8</f>
        <v>6.6666666666666666E-2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AV201"/>
  <sheetViews>
    <sheetView zoomScale="70" zoomScaleNormal="70" workbookViewId="0">
      <selection activeCell="M96" sqref="M96"/>
    </sheetView>
  </sheetViews>
  <sheetFormatPr baseColWidth="10" defaultColWidth="8.83203125" defaultRowHeight="17"/>
  <cols>
    <col min="1" max="1" width="3.1640625" customWidth="1"/>
    <col min="2" max="2" width="11.6640625" customWidth="1"/>
    <col min="3" max="3" width="59.6640625" customWidth="1"/>
    <col min="4" max="4" width="9.83203125" hidden="1" customWidth="1"/>
    <col min="6" max="6" width="0" hidden="1" customWidth="1"/>
    <col min="7" max="7" width="24.5" hidden="1" customWidth="1"/>
    <col min="8" max="8" width="19.1640625" bestFit="1" customWidth="1"/>
    <col min="9" max="9" width="4.6640625" hidden="1" customWidth="1"/>
    <col min="10" max="10" width="4.83203125" hidden="1" customWidth="1"/>
    <col min="11" max="11" width="8.6640625" hidden="1" customWidth="1"/>
    <col min="12" max="12" width="0" hidden="1" customWidth="1"/>
    <col min="29" max="29" width="22.1640625" hidden="1" customWidth="1"/>
    <col min="30" max="30" width="3.83203125" customWidth="1"/>
    <col min="31" max="48" width="8.6640625" style="348"/>
  </cols>
  <sheetData>
    <row r="1" spans="1:48" ht="63" customHeight="1">
      <c r="A1" t="s">
        <v>178</v>
      </c>
      <c r="H1" s="107" t="s">
        <v>413</v>
      </c>
      <c r="I1" s="107"/>
      <c r="J1" s="107"/>
      <c r="K1" s="107"/>
    </row>
    <row r="2" spans="1:48" ht="11" customHeight="1" thickBot="1">
      <c r="H2" s="107"/>
      <c r="I2" s="107"/>
      <c r="J2" s="107"/>
      <c r="K2" s="107"/>
    </row>
    <row r="3" spans="1:48" ht="17.5" customHeight="1" thickBot="1">
      <c r="B3" s="1855" t="s">
        <v>75</v>
      </c>
      <c r="C3" s="1857" t="s">
        <v>5</v>
      </c>
      <c r="D3" s="60"/>
      <c r="E3" s="1859" t="s">
        <v>12</v>
      </c>
      <c r="F3" s="60"/>
      <c r="G3" s="42"/>
      <c r="H3" s="1861" t="s">
        <v>62</v>
      </c>
      <c r="I3" s="463"/>
      <c r="J3" s="463"/>
      <c r="K3" s="463"/>
      <c r="L3" s="417" t="s">
        <v>219</v>
      </c>
      <c r="M3" s="417" t="s">
        <v>0</v>
      </c>
      <c r="N3" s="417" t="s">
        <v>1</v>
      </c>
      <c r="O3" s="417" t="s">
        <v>2</v>
      </c>
      <c r="P3" s="417" t="s">
        <v>3</v>
      </c>
      <c r="Q3" s="418" t="s">
        <v>6</v>
      </c>
      <c r="R3" s="418" t="s">
        <v>7</v>
      </c>
      <c r="S3" s="418" t="s">
        <v>8</v>
      </c>
      <c r="T3" s="418" t="s">
        <v>9</v>
      </c>
      <c r="U3" s="418" t="s">
        <v>10</v>
      </c>
      <c r="V3" s="418" t="s">
        <v>11</v>
      </c>
      <c r="W3" s="418" t="s">
        <v>14</v>
      </c>
      <c r="X3" s="417" t="s">
        <v>15</v>
      </c>
      <c r="Y3" s="418" t="s">
        <v>26</v>
      </c>
      <c r="Z3" s="418" t="s">
        <v>27</v>
      </c>
      <c r="AA3" s="418" t="s">
        <v>28</v>
      </c>
      <c r="AB3" s="1863" t="s">
        <v>4</v>
      </c>
      <c r="AC3" s="1846" t="s">
        <v>103</v>
      </c>
    </row>
    <row r="4" spans="1:48" ht="17.5" customHeight="1">
      <c r="B4" s="1856"/>
      <c r="C4" s="1858"/>
      <c r="D4" s="74"/>
      <c r="E4" s="1860"/>
      <c r="F4" s="61" t="s">
        <v>414</v>
      </c>
      <c r="G4" s="41" t="s">
        <v>45</v>
      </c>
      <c r="H4" s="1862"/>
      <c r="I4" s="411"/>
      <c r="J4" s="411"/>
      <c r="K4" s="411"/>
      <c r="L4" s="1849" t="s">
        <v>23</v>
      </c>
      <c r="M4" s="1850"/>
      <c r="N4" s="1850"/>
      <c r="O4" s="1850"/>
      <c r="P4" s="1851"/>
      <c r="Q4" s="1852" t="s">
        <v>34</v>
      </c>
      <c r="R4" s="1853"/>
      <c r="S4" s="1853"/>
      <c r="T4" s="1853"/>
      <c r="U4" s="1853"/>
      <c r="V4" s="1853"/>
      <c r="W4" s="1852" t="s">
        <v>35</v>
      </c>
      <c r="X4" s="1853"/>
      <c r="Y4" s="1854"/>
      <c r="Z4" s="1852" t="s">
        <v>64</v>
      </c>
      <c r="AA4" s="1853"/>
      <c r="AB4" s="1864"/>
      <c r="AC4" s="1847"/>
    </row>
    <row r="5" spans="1:48" ht="18" customHeight="1" thickBot="1">
      <c r="B5" s="1856"/>
      <c r="C5" s="1858"/>
      <c r="D5" s="74"/>
      <c r="E5" s="1860"/>
      <c r="F5" s="74"/>
      <c r="G5" s="139"/>
      <c r="H5" s="1862"/>
      <c r="I5" s="411"/>
      <c r="J5" s="411"/>
      <c r="K5" s="411"/>
      <c r="L5" s="10" t="s">
        <v>30</v>
      </c>
      <c r="M5" s="10" t="s">
        <v>31</v>
      </c>
      <c r="N5" s="10" t="s">
        <v>46</v>
      </c>
      <c r="O5" s="10" t="s">
        <v>47</v>
      </c>
      <c r="P5" s="10" t="s">
        <v>48</v>
      </c>
      <c r="Q5" s="10" t="s">
        <v>49</v>
      </c>
      <c r="R5" s="10" t="s">
        <v>50</v>
      </c>
      <c r="S5" s="10" t="s">
        <v>51</v>
      </c>
      <c r="T5" s="10" t="s">
        <v>52</v>
      </c>
      <c r="U5" s="10" t="s">
        <v>53</v>
      </c>
      <c r="V5" s="10" t="s">
        <v>54</v>
      </c>
      <c r="W5" s="10" t="s">
        <v>29</v>
      </c>
      <c r="X5" s="10" t="s">
        <v>30</v>
      </c>
      <c r="Y5" s="10" t="s">
        <v>31</v>
      </c>
      <c r="Z5" s="10" t="s">
        <v>32</v>
      </c>
      <c r="AA5" s="33" t="s">
        <v>33</v>
      </c>
      <c r="AB5" s="1865"/>
      <c r="AC5" s="1848"/>
      <c r="AD5" s="411"/>
    </row>
    <row r="6" spans="1:48" s="140" customFormat="1" ht="20" hidden="1" customHeight="1">
      <c r="B6" s="1866" t="s">
        <v>36</v>
      </c>
      <c r="C6" s="244" t="s">
        <v>18</v>
      </c>
      <c r="D6" s="245"/>
      <c r="E6" s="9" t="s">
        <v>13</v>
      </c>
      <c r="F6" s="62" t="s">
        <v>124</v>
      </c>
      <c r="G6" s="252" t="s">
        <v>238</v>
      </c>
      <c r="H6" s="222" t="s">
        <v>17</v>
      </c>
      <c r="I6" s="222"/>
      <c r="J6" s="222"/>
      <c r="K6" s="222"/>
      <c r="L6" s="48"/>
      <c r="M6" s="49">
        <v>1</v>
      </c>
      <c r="N6" s="49">
        <v>1</v>
      </c>
      <c r="O6" s="49">
        <v>1</v>
      </c>
      <c r="P6" s="50">
        <v>1</v>
      </c>
      <c r="Q6" s="48">
        <v>1</v>
      </c>
      <c r="R6" s="49">
        <v>1</v>
      </c>
      <c r="S6" s="49">
        <v>1</v>
      </c>
      <c r="T6" s="49">
        <v>1</v>
      </c>
      <c r="U6" s="49">
        <v>1</v>
      </c>
      <c r="V6" s="50">
        <v>1</v>
      </c>
      <c r="W6" s="48">
        <v>1</v>
      </c>
      <c r="X6" s="49">
        <v>1</v>
      </c>
      <c r="Y6" s="50">
        <v>1</v>
      </c>
      <c r="Z6" s="48">
        <v>1</v>
      </c>
      <c r="AA6" s="50">
        <v>1</v>
      </c>
      <c r="AB6" s="35">
        <f t="shared" ref="AB6:AB13" si="0">SUM(L6:AA6)</f>
        <v>15</v>
      </c>
      <c r="AC6" s="321"/>
      <c r="AE6" s="349"/>
      <c r="AF6" s="349"/>
      <c r="AG6" s="349"/>
      <c r="AH6" s="349"/>
      <c r="AI6" s="349"/>
      <c r="AJ6" s="349"/>
      <c r="AK6" s="349"/>
      <c r="AL6" s="349"/>
      <c r="AM6" s="349"/>
      <c r="AN6" s="349"/>
      <c r="AO6" s="349"/>
      <c r="AP6" s="349"/>
      <c r="AQ6" s="349"/>
      <c r="AR6" s="349"/>
      <c r="AS6" s="349"/>
      <c r="AT6" s="349"/>
      <c r="AU6" s="349"/>
      <c r="AV6" s="349"/>
    </row>
    <row r="7" spans="1:48" s="140" customFormat="1" ht="20" hidden="1" customHeight="1">
      <c r="B7" s="1827"/>
      <c r="C7" s="246" t="s">
        <v>165</v>
      </c>
      <c r="D7" s="247"/>
      <c r="E7" s="1" t="s">
        <v>13</v>
      </c>
      <c r="F7" s="11" t="s">
        <v>124</v>
      </c>
      <c r="G7" s="253" t="s">
        <v>237</v>
      </c>
      <c r="H7" s="226" t="s">
        <v>17</v>
      </c>
      <c r="I7" s="226"/>
      <c r="J7" s="226"/>
      <c r="K7" s="226"/>
      <c r="L7" s="27"/>
      <c r="M7" s="28">
        <v>1</v>
      </c>
      <c r="N7" s="28">
        <v>1</v>
      </c>
      <c r="O7" s="28">
        <v>1</v>
      </c>
      <c r="P7" s="25">
        <v>1</v>
      </c>
      <c r="Q7" s="27">
        <v>1</v>
      </c>
      <c r="R7" s="28">
        <v>1</v>
      </c>
      <c r="S7" s="28">
        <v>1</v>
      </c>
      <c r="T7" s="87">
        <v>1</v>
      </c>
      <c r="U7" s="87">
        <v>1</v>
      </c>
      <c r="V7" s="89">
        <v>1</v>
      </c>
      <c r="W7" s="88">
        <v>1</v>
      </c>
      <c r="X7" s="87">
        <v>1</v>
      </c>
      <c r="Y7" s="89">
        <v>1</v>
      </c>
      <c r="Z7" s="88">
        <v>1</v>
      </c>
      <c r="AA7" s="89">
        <v>1</v>
      </c>
      <c r="AB7" s="36">
        <f t="shared" si="0"/>
        <v>15</v>
      </c>
      <c r="AC7" s="322"/>
      <c r="AE7" s="349"/>
      <c r="AF7" s="349"/>
      <c r="AG7" s="349"/>
      <c r="AH7" s="349"/>
      <c r="AI7" s="349"/>
      <c r="AJ7" s="349"/>
      <c r="AK7" s="349"/>
      <c r="AL7" s="349"/>
      <c r="AM7" s="349"/>
      <c r="AN7" s="349"/>
      <c r="AO7" s="349"/>
      <c r="AP7" s="349"/>
      <c r="AQ7" s="349"/>
      <c r="AR7" s="349"/>
      <c r="AS7" s="349"/>
      <c r="AT7" s="349"/>
      <c r="AU7" s="349"/>
      <c r="AV7" s="349"/>
    </row>
    <row r="8" spans="1:48" s="140" customFormat="1" ht="20" hidden="1" customHeight="1">
      <c r="B8" s="1827"/>
      <c r="C8" s="246" t="s">
        <v>166</v>
      </c>
      <c r="D8" s="247"/>
      <c r="E8" s="1" t="s">
        <v>22</v>
      </c>
      <c r="F8" s="11" t="s">
        <v>127</v>
      </c>
      <c r="G8" s="253" t="s">
        <v>221</v>
      </c>
      <c r="H8" s="226" t="s">
        <v>17</v>
      </c>
      <c r="I8" s="226"/>
      <c r="J8" s="226"/>
      <c r="K8" s="226"/>
      <c r="L8" s="27"/>
      <c r="M8" s="28">
        <v>1</v>
      </c>
      <c r="N8" s="28">
        <v>1</v>
      </c>
      <c r="O8" s="28">
        <v>1</v>
      </c>
      <c r="P8" s="25">
        <v>1</v>
      </c>
      <c r="Q8" s="27">
        <v>1</v>
      </c>
      <c r="R8" s="28">
        <v>1</v>
      </c>
      <c r="S8" s="28">
        <v>1</v>
      </c>
      <c r="T8" s="28">
        <v>1</v>
      </c>
      <c r="U8" s="28">
        <v>1</v>
      </c>
      <c r="V8" s="25">
        <v>1</v>
      </c>
      <c r="W8" s="27">
        <v>1</v>
      </c>
      <c r="X8" s="28">
        <v>1</v>
      </c>
      <c r="Y8" s="25">
        <v>1</v>
      </c>
      <c r="Z8" s="27">
        <v>1</v>
      </c>
      <c r="AA8" s="25"/>
      <c r="AB8" s="36">
        <f t="shared" si="0"/>
        <v>14</v>
      </c>
      <c r="AC8" s="322"/>
      <c r="AE8" s="349"/>
      <c r="AF8" s="349"/>
      <c r="AG8" s="349"/>
      <c r="AH8" s="349"/>
      <c r="AI8" s="349"/>
      <c r="AJ8" s="349"/>
      <c r="AK8" s="349"/>
      <c r="AL8" s="349"/>
      <c r="AM8" s="349"/>
      <c r="AN8" s="349"/>
      <c r="AO8" s="349"/>
      <c r="AP8" s="349"/>
      <c r="AQ8" s="349"/>
      <c r="AR8" s="349"/>
      <c r="AS8" s="349"/>
      <c r="AT8" s="349"/>
      <c r="AU8" s="349"/>
      <c r="AV8" s="349"/>
    </row>
    <row r="9" spans="1:48" s="140" customFormat="1" ht="20" hidden="1" customHeight="1">
      <c r="B9" s="1827"/>
      <c r="C9" s="242" t="s">
        <v>167</v>
      </c>
      <c r="D9" s="79"/>
      <c r="E9" s="44" t="s">
        <v>13</v>
      </c>
      <c r="F9" s="11" t="s">
        <v>124</v>
      </c>
      <c r="G9" s="253" t="s">
        <v>239</v>
      </c>
      <c r="H9" s="226" t="s">
        <v>17</v>
      </c>
      <c r="I9" s="226"/>
      <c r="J9" s="226"/>
      <c r="K9" s="226"/>
      <c r="L9" s="27"/>
      <c r="M9" s="28">
        <v>1</v>
      </c>
      <c r="N9" s="28">
        <v>1</v>
      </c>
      <c r="O9" s="28">
        <v>1</v>
      </c>
      <c r="P9" s="25">
        <v>1</v>
      </c>
      <c r="Q9" s="27">
        <v>1</v>
      </c>
      <c r="R9" s="28">
        <v>1</v>
      </c>
      <c r="S9" s="28">
        <v>1</v>
      </c>
      <c r="T9" s="28">
        <v>1</v>
      </c>
      <c r="U9" s="28">
        <v>1</v>
      </c>
      <c r="V9" s="25">
        <v>1</v>
      </c>
      <c r="W9" s="27">
        <v>1</v>
      </c>
      <c r="X9" s="28">
        <v>1</v>
      </c>
      <c r="Y9" s="25">
        <v>1</v>
      </c>
      <c r="Z9" s="27">
        <v>1</v>
      </c>
      <c r="AA9" s="25"/>
      <c r="AB9" s="36">
        <f t="shared" si="0"/>
        <v>14</v>
      </c>
      <c r="AC9" s="322"/>
      <c r="AE9" s="349"/>
      <c r="AF9" s="349"/>
      <c r="AG9" s="349"/>
      <c r="AH9" s="349"/>
      <c r="AI9" s="349"/>
      <c r="AJ9" s="349"/>
      <c r="AK9" s="349"/>
      <c r="AL9" s="349"/>
      <c r="AM9" s="349"/>
      <c r="AN9" s="349"/>
      <c r="AO9" s="349"/>
      <c r="AP9" s="349"/>
      <c r="AQ9" s="349"/>
      <c r="AR9" s="349"/>
      <c r="AS9" s="349"/>
      <c r="AT9" s="349"/>
      <c r="AU9" s="349"/>
      <c r="AV9" s="349"/>
    </row>
    <row r="10" spans="1:48" s="140" customFormat="1" ht="30.5" hidden="1" customHeight="1">
      <c r="B10" s="1827"/>
      <c r="C10" s="242" t="s">
        <v>257</v>
      </c>
      <c r="D10" s="79" t="s">
        <v>173</v>
      </c>
      <c r="E10" s="1" t="s">
        <v>13</v>
      </c>
      <c r="F10" s="119" t="s">
        <v>123</v>
      </c>
      <c r="G10" s="254" t="s">
        <v>258</v>
      </c>
      <c r="H10" s="226" t="s">
        <v>17</v>
      </c>
      <c r="I10" s="226"/>
      <c r="J10" s="226"/>
      <c r="K10" s="226"/>
      <c r="L10" s="27"/>
      <c r="M10" s="419"/>
      <c r="N10" s="419"/>
      <c r="O10" s="419"/>
      <c r="P10" s="25">
        <v>1</v>
      </c>
      <c r="Q10" s="27">
        <v>1</v>
      </c>
      <c r="R10" s="28">
        <v>1</v>
      </c>
      <c r="S10" s="28">
        <v>1</v>
      </c>
      <c r="T10" s="28">
        <v>1</v>
      </c>
      <c r="U10" s="28">
        <v>1</v>
      </c>
      <c r="V10" s="25">
        <v>1</v>
      </c>
      <c r="W10" s="27">
        <v>1</v>
      </c>
      <c r="X10" s="28">
        <v>1</v>
      </c>
      <c r="Y10" s="25">
        <v>1</v>
      </c>
      <c r="Z10" s="27">
        <v>1</v>
      </c>
      <c r="AA10" s="25"/>
      <c r="AB10" s="36">
        <f t="shared" si="0"/>
        <v>11</v>
      </c>
      <c r="AC10" s="322" t="s">
        <v>172</v>
      </c>
      <c r="AE10" s="349"/>
      <c r="AF10" s="349"/>
      <c r="AG10" s="349"/>
      <c r="AH10" s="349"/>
      <c r="AI10" s="349"/>
      <c r="AJ10" s="349"/>
      <c r="AK10" s="349"/>
      <c r="AL10" s="349"/>
      <c r="AM10" s="349"/>
      <c r="AN10" s="349"/>
      <c r="AO10" s="349"/>
      <c r="AP10" s="349"/>
      <c r="AQ10" s="349"/>
      <c r="AR10" s="349"/>
      <c r="AS10" s="349"/>
      <c r="AT10" s="349"/>
      <c r="AU10" s="349"/>
      <c r="AV10" s="349"/>
    </row>
    <row r="11" spans="1:48" s="140" customFormat="1" ht="15" hidden="1" customHeight="1">
      <c r="B11" s="1827"/>
      <c r="C11" s="248" t="s">
        <v>73</v>
      </c>
      <c r="D11" s="249" t="s">
        <v>141</v>
      </c>
      <c r="E11" s="44" t="s">
        <v>13</v>
      </c>
      <c r="F11" s="45" t="s">
        <v>124</v>
      </c>
      <c r="G11" s="253" t="s">
        <v>236</v>
      </c>
      <c r="H11" s="226" t="s">
        <v>17</v>
      </c>
      <c r="I11" s="224"/>
      <c r="J11" s="224"/>
      <c r="K11" s="224"/>
      <c r="L11" s="39"/>
      <c r="M11" s="40">
        <v>1</v>
      </c>
      <c r="N11" s="40">
        <v>1</v>
      </c>
      <c r="O11" s="40">
        <v>1</v>
      </c>
      <c r="P11" s="122">
        <v>1</v>
      </c>
      <c r="Q11" s="39">
        <v>1</v>
      </c>
      <c r="R11" s="40">
        <v>1</v>
      </c>
      <c r="S11" s="40">
        <v>1</v>
      </c>
      <c r="T11" s="40">
        <v>1</v>
      </c>
      <c r="U11" s="40">
        <v>1</v>
      </c>
      <c r="V11" s="92">
        <v>1</v>
      </c>
      <c r="W11" s="91">
        <v>1</v>
      </c>
      <c r="X11" s="90">
        <v>1</v>
      </c>
      <c r="Y11" s="92">
        <v>1</v>
      </c>
      <c r="Z11" s="91">
        <v>1</v>
      </c>
      <c r="AA11" s="92">
        <v>1</v>
      </c>
      <c r="AB11" s="36">
        <f t="shared" si="0"/>
        <v>15</v>
      </c>
      <c r="AC11" s="323" t="s">
        <v>104</v>
      </c>
      <c r="AE11" s="349"/>
      <c r="AF11" s="349"/>
      <c r="AG11" s="349"/>
      <c r="AH11" s="349"/>
      <c r="AI11" s="349"/>
      <c r="AJ11" s="349"/>
      <c r="AK11" s="349"/>
      <c r="AL11" s="349"/>
      <c r="AM11" s="349"/>
      <c r="AN11" s="349"/>
      <c r="AO11" s="349"/>
      <c r="AP11" s="349"/>
      <c r="AQ11" s="349"/>
      <c r="AR11" s="349"/>
      <c r="AS11" s="349"/>
      <c r="AT11" s="349"/>
      <c r="AU11" s="349"/>
      <c r="AV11" s="349"/>
    </row>
    <row r="12" spans="1:48" s="140" customFormat="1" ht="17" hidden="1" customHeight="1">
      <c r="B12" s="1827"/>
      <c r="C12" s="248" t="s">
        <v>71</v>
      </c>
      <c r="D12" s="249" t="s">
        <v>141</v>
      </c>
      <c r="E12" s="44" t="s">
        <v>13</v>
      </c>
      <c r="F12" s="45" t="s">
        <v>124</v>
      </c>
      <c r="G12" s="253" t="s">
        <v>235</v>
      </c>
      <c r="H12" s="226" t="s">
        <v>17</v>
      </c>
      <c r="I12" s="224"/>
      <c r="J12" s="224"/>
      <c r="K12" s="224"/>
      <c r="L12" s="39"/>
      <c r="M12" s="40">
        <v>1</v>
      </c>
      <c r="N12" s="40">
        <v>1</v>
      </c>
      <c r="O12" s="40">
        <v>1</v>
      </c>
      <c r="P12" s="122">
        <v>1</v>
      </c>
      <c r="Q12" s="39">
        <v>1</v>
      </c>
      <c r="R12" s="40">
        <v>1</v>
      </c>
      <c r="S12" s="40">
        <v>1</v>
      </c>
      <c r="T12" s="40">
        <v>1</v>
      </c>
      <c r="U12" s="40">
        <v>1</v>
      </c>
      <c r="V12" s="92">
        <v>1</v>
      </c>
      <c r="W12" s="91">
        <v>1</v>
      </c>
      <c r="X12" s="90">
        <v>1</v>
      </c>
      <c r="Y12" s="92">
        <v>1</v>
      </c>
      <c r="Z12" s="91">
        <v>1</v>
      </c>
      <c r="AA12" s="92">
        <v>1</v>
      </c>
      <c r="AB12" s="36">
        <f t="shared" si="0"/>
        <v>15</v>
      </c>
      <c r="AC12" s="323" t="s">
        <v>105</v>
      </c>
      <c r="AE12" s="349"/>
      <c r="AF12" s="349"/>
      <c r="AG12" s="349"/>
      <c r="AH12" s="349"/>
      <c r="AI12" s="349"/>
      <c r="AJ12" s="349"/>
      <c r="AK12" s="349"/>
      <c r="AL12" s="349"/>
      <c r="AM12" s="349"/>
      <c r="AN12" s="349"/>
      <c r="AO12" s="349"/>
      <c r="AP12" s="349"/>
      <c r="AQ12" s="349"/>
      <c r="AR12" s="349"/>
      <c r="AS12" s="349"/>
      <c r="AT12" s="349"/>
      <c r="AU12" s="349"/>
      <c r="AV12" s="349"/>
    </row>
    <row r="13" spans="1:48" s="140" customFormat="1" ht="24.5" hidden="1" customHeight="1">
      <c r="B13" s="1827"/>
      <c r="C13" s="250" t="s">
        <v>72</v>
      </c>
      <c r="D13" s="249" t="s">
        <v>141</v>
      </c>
      <c r="E13" s="44" t="s">
        <v>13</v>
      </c>
      <c r="F13" s="45" t="s">
        <v>123</v>
      </c>
      <c r="G13" s="255" t="s">
        <v>234</v>
      </c>
      <c r="H13" s="224" t="s">
        <v>17</v>
      </c>
      <c r="I13" s="224"/>
      <c r="J13" s="224"/>
      <c r="K13" s="224"/>
      <c r="L13" s="39"/>
      <c r="M13" s="40">
        <v>1</v>
      </c>
      <c r="N13" s="40">
        <v>1</v>
      </c>
      <c r="O13" s="40">
        <v>1</v>
      </c>
      <c r="P13" s="122">
        <v>1</v>
      </c>
      <c r="Q13" s="39">
        <v>1</v>
      </c>
      <c r="R13" s="40">
        <v>1</v>
      </c>
      <c r="S13" s="40">
        <v>1</v>
      </c>
      <c r="T13" s="40">
        <v>1</v>
      </c>
      <c r="U13" s="40">
        <v>1</v>
      </c>
      <c r="V13" s="92">
        <v>1</v>
      </c>
      <c r="W13" s="91">
        <v>1</v>
      </c>
      <c r="X13" s="90">
        <v>1</v>
      </c>
      <c r="Y13" s="92">
        <v>1</v>
      </c>
      <c r="Z13" s="91">
        <v>1</v>
      </c>
      <c r="AA13" s="92">
        <v>1</v>
      </c>
      <c r="AB13" s="37">
        <f t="shared" si="0"/>
        <v>15</v>
      </c>
      <c r="AC13" s="323" t="s">
        <v>106</v>
      </c>
      <c r="AE13" s="349"/>
      <c r="AF13" s="349"/>
      <c r="AG13" s="349"/>
      <c r="AH13" s="349"/>
      <c r="AI13" s="349"/>
      <c r="AJ13" s="349"/>
      <c r="AK13" s="349"/>
      <c r="AL13" s="349"/>
      <c r="AM13" s="349"/>
      <c r="AN13" s="349"/>
      <c r="AO13" s="349"/>
      <c r="AP13" s="349"/>
      <c r="AQ13" s="349"/>
      <c r="AR13" s="349"/>
      <c r="AS13" s="349"/>
      <c r="AT13" s="349"/>
      <c r="AU13" s="349"/>
      <c r="AV13" s="349"/>
    </row>
    <row r="14" spans="1:48" s="150" customFormat="1" ht="20" hidden="1" customHeight="1" thickBot="1">
      <c r="B14" s="1829"/>
      <c r="C14" s="1867" t="s">
        <v>16</v>
      </c>
      <c r="D14" s="1868"/>
      <c r="E14" s="157"/>
      <c r="F14" s="157"/>
      <c r="G14" s="256"/>
      <c r="H14" s="274"/>
      <c r="I14" s="274"/>
      <c r="J14" s="274"/>
      <c r="K14" s="274"/>
      <c r="L14" s="161">
        <f>SUM(L6:L13)</f>
        <v>0</v>
      </c>
      <c r="M14" s="178">
        <f t="shared" ref="M14:AC14" si="1">SUM(M6:M13)</f>
        <v>7</v>
      </c>
      <c r="N14" s="178">
        <f t="shared" si="1"/>
        <v>7</v>
      </c>
      <c r="O14" s="178">
        <f t="shared" si="1"/>
        <v>7</v>
      </c>
      <c r="P14" s="185">
        <f t="shared" si="1"/>
        <v>8</v>
      </c>
      <c r="Q14" s="161">
        <f t="shared" si="1"/>
        <v>8</v>
      </c>
      <c r="R14" s="178">
        <f t="shared" si="1"/>
        <v>8</v>
      </c>
      <c r="S14" s="178">
        <f t="shared" si="1"/>
        <v>8</v>
      </c>
      <c r="T14" s="178">
        <f t="shared" si="1"/>
        <v>8</v>
      </c>
      <c r="U14" s="178">
        <f t="shared" si="1"/>
        <v>8</v>
      </c>
      <c r="V14" s="185">
        <f t="shared" si="1"/>
        <v>8</v>
      </c>
      <c r="W14" s="161">
        <f t="shared" si="1"/>
        <v>8</v>
      </c>
      <c r="X14" s="178">
        <f t="shared" si="1"/>
        <v>8</v>
      </c>
      <c r="Y14" s="185">
        <f t="shared" si="1"/>
        <v>8</v>
      </c>
      <c r="Z14" s="161">
        <f t="shared" si="1"/>
        <v>8</v>
      </c>
      <c r="AA14" s="185">
        <f t="shared" si="1"/>
        <v>5</v>
      </c>
      <c r="AB14" s="162">
        <f t="shared" si="1"/>
        <v>114</v>
      </c>
      <c r="AC14" s="420">
        <f t="shared" si="1"/>
        <v>0</v>
      </c>
      <c r="AD14" s="132"/>
      <c r="AE14" s="421"/>
      <c r="AF14" s="349"/>
      <c r="AG14" s="349"/>
      <c r="AH14" s="349"/>
      <c r="AI14" s="349"/>
      <c r="AJ14" s="349"/>
      <c r="AK14" s="349"/>
      <c r="AL14" s="349"/>
      <c r="AM14" s="349"/>
      <c r="AN14" s="349"/>
      <c r="AO14" s="349"/>
      <c r="AP14" s="349"/>
      <c r="AQ14" s="349"/>
      <c r="AR14" s="349"/>
      <c r="AS14" s="349"/>
      <c r="AT14" s="349"/>
      <c r="AU14" s="349"/>
      <c r="AV14" s="349"/>
    </row>
    <row r="15" spans="1:48" s="140" customFormat="1" ht="15" hidden="1">
      <c r="B15" s="1820"/>
      <c r="C15" s="242" t="s">
        <v>175</v>
      </c>
      <c r="D15" s="79" t="s">
        <v>38</v>
      </c>
      <c r="E15" s="1" t="s">
        <v>13</v>
      </c>
      <c r="F15" s="11" t="s">
        <v>123</v>
      </c>
      <c r="G15" s="253" t="s">
        <v>233</v>
      </c>
      <c r="H15" s="226" t="s">
        <v>17</v>
      </c>
      <c r="I15" s="224"/>
      <c r="J15" s="224"/>
      <c r="K15" s="224"/>
      <c r="L15" s="39"/>
      <c r="M15" s="28">
        <v>1</v>
      </c>
      <c r="N15" s="28">
        <v>1</v>
      </c>
      <c r="O15" s="28">
        <v>1</v>
      </c>
      <c r="P15" s="25">
        <v>1</v>
      </c>
      <c r="Q15" s="27">
        <v>1</v>
      </c>
      <c r="R15" s="28">
        <v>1</v>
      </c>
      <c r="S15" s="28">
        <v>1</v>
      </c>
      <c r="T15" s="28">
        <v>1</v>
      </c>
      <c r="U15" s="28">
        <v>1</v>
      </c>
      <c r="V15" s="25">
        <v>1</v>
      </c>
      <c r="W15" s="27">
        <v>1</v>
      </c>
      <c r="X15" s="28">
        <v>1</v>
      </c>
      <c r="Y15" s="25">
        <v>1</v>
      </c>
      <c r="Z15" s="27"/>
      <c r="AA15" s="16"/>
      <c r="AB15" s="59">
        <f t="shared" ref="AB15:AB70" si="2">SUM(L15:AA15)</f>
        <v>13</v>
      </c>
      <c r="AC15" s="325"/>
      <c r="AE15" s="349"/>
      <c r="AF15" s="349"/>
      <c r="AG15" s="349"/>
      <c r="AH15" s="349"/>
      <c r="AI15" s="349"/>
      <c r="AJ15" s="349"/>
      <c r="AK15" s="349"/>
      <c r="AL15" s="349"/>
      <c r="AM15" s="349"/>
      <c r="AN15" s="349"/>
      <c r="AO15" s="349"/>
      <c r="AP15" s="349"/>
      <c r="AQ15" s="349"/>
      <c r="AR15" s="349"/>
      <c r="AS15" s="349"/>
      <c r="AT15" s="349"/>
      <c r="AU15" s="349"/>
      <c r="AV15" s="349"/>
    </row>
    <row r="16" spans="1:48" s="140" customFormat="1" ht="15" hidden="1">
      <c r="B16" s="1820"/>
      <c r="C16" s="242" t="s">
        <v>25</v>
      </c>
      <c r="D16" s="79" t="s">
        <v>38</v>
      </c>
      <c r="E16" s="1" t="s">
        <v>19</v>
      </c>
      <c r="F16" s="11" t="s">
        <v>126</v>
      </c>
      <c r="G16" s="253" t="s">
        <v>232</v>
      </c>
      <c r="H16" s="226" t="s">
        <v>17</v>
      </c>
      <c r="I16" s="224"/>
      <c r="J16" s="224"/>
      <c r="K16" s="224"/>
      <c r="L16" s="39"/>
      <c r="M16" s="28"/>
      <c r="N16" s="28">
        <v>0.5</v>
      </c>
      <c r="O16" s="28">
        <v>0.5</v>
      </c>
      <c r="P16" s="25">
        <v>0.5</v>
      </c>
      <c r="Q16" s="27"/>
      <c r="R16" s="28"/>
      <c r="S16" s="28"/>
      <c r="T16" s="28"/>
      <c r="U16" s="28"/>
      <c r="V16" s="25">
        <v>0.5</v>
      </c>
      <c r="W16" s="27">
        <v>0.5</v>
      </c>
      <c r="X16" s="28">
        <v>0.5</v>
      </c>
      <c r="Y16" s="25"/>
      <c r="Z16" s="27"/>
      <c r="AA16" s="16"/>
      <c r="AB16" s="59">
        <f t="shared" si="2"/>
        <v>3</v>
      </c>
      <c r="AC16" s="325"/>
      <c r="AE16" s="349"/>
      <c r="AF16" s="349"/>
      <c r="AG16" s="349"/>
      <c r="AH16" s="349"/>
      <c r="AI16" s="349"/>
      <c r="AJ16" s="349"/>
      <c r="AK16" s="349"/>
      <c r="AL16" s="349"/>
      <c r="AM16" s="349"/>
      <c r="AN16" s="349"/>
      <c r="AO16" s="349"/>
      <c r="AP16" s="349"/>
      <c r="AQ16" s="349"/>
      <c r="AR16" s="349"/>
      <c r="AS16" s="349"/>
      <c r="AT16" s="349"/>
      <c r="AU16" s="349"/>
      <c r="AV16" s="349"/>
    </row>
    <row r="17" spans="2:48" s="140" customFormat="1" ht="15" hidden="1">
      <c r="B17" s="1820"/>
      <c r="C17" s="242" t="s">
        <v>89</v>
      </c>
      <c r="D17" s="79"/>
      <c r="E17" s="1" t="s">
        <v>19</v>
      </c>
      <c r="F17" s="11"/>
      <c r="G17" s="34"/>
      <c r="H17" s="226" t="s">
        <v>90</v>
      </c>
      <c r="I17" s="224"/>
      <c r="J17" s="224"/>
      <c r="K17" s="224"/>
      <c r="L17" s="39"/>
      <c r="M17" s="28"/>
      <c r="N17" s="28"/>
      <c r="O17" s="28">
        <v>1</v>
      </c>
      <c r="P17" s="25">
        <v>1</v>
      </c>
      <c r="Q17" s="27"/>
      <c r="R17" s="28"/>
      <c r="S17" s="28"/>
      <c r="T17" s="28"/>
      <c r="U17" s="28"/>
      <c r="V17" s="25"/>
      <c r="W17" s="27"/>
      <c r="X17" s="28"/>
      <c r="Y17" s="25"/>
      <c r="Z17" s="27"/>
      <c r="AA17" s="16"/>
      <c r="AB17" s="59">
        <f t="shared" si="2"/>
        <v>2</v>
      </c>
      <c r="AC17" s="325"/>
      <c r="AE17" s="349"/>
      <c r="AF17" s="349"/>
      <c r="AG17" s="349"/>
      <c r="AH17" s="349"/>
      <c r="AI17" s="349"/>
      <c r="AJ17" s="349"/>
      <c r="AK17" s="349"/>
      <c r="AL17" s="349"/>
      <c r="AM17" s="349"/>
      <c r="AN17" s="349"/>
      <c r="AO17" s="349"/>
      <c r="AP17" s="349"/>
      <c r="AQ17" s="349"/>
      <c r="AR17" s="349"/>
      <c r="AS17" s="349"/>
      <c r="AT17" s="349"/>
      <c r="AU17" s="349"/>
      <c r="AV17" s="349"/>
    </row>
    <row r="18" spans="2:48" s="140" customFormat="1" ht="15" hidden="1">
      <c r="B18" s="1820"/>
      <c r="C18" s="242" t="s">
        <v>122</v>
      </c>
      <c r="D18" s="79"/>
      <c r="E18" s="234" t="s">
        <v>21</v>
      </c>
      <c r="F18" s="11"/>
      <c r="G18" s="34"/>
      <c r="H18" s="226" t="s">
        <v>90</v>
      </c>
      <c r="I18" s="224"/>
      <c r="J18" s="224"/>
      <c r="K18" s="224"/>
      <c r="L18" s="39"/>
      <c r="M18" s="28"/>
      <c r="N18" s="28"/>
      <c r="O18" s="28"/>
      <c r="P18" s="25"/>
      <c r="Q18" s="27"/>
      <c r="R18" s="28"/>
      <c r="S18" s="28"/>
      <c r="T18" s="28"/>
      <c r="U18" s="28"/>
      <c r="V18" s="25"/>
      <c r="W18" s="27">
        <v>1</v>
      </c>
      <c r="X18" s="28">
        <v>1</v>
      </c>
      <c r="Y18" s="208">
        <v>0.25</v>
      </c>
      <c r="Z18" s="27"/>
      <c r="AA18" s="16"/>
      <c r="AB18" s="65">
        <f t="shared" si="2"/>
        <v>2.25</v>
      </c>
      <c r="AC18" s="325"/>
      <c r="AE18" s="349"/>
      <c r="AF18" s="349"/>
      <c r="AG18" s="349"/>
      <c r="AH18" s="349"/>
      <c r="AI18" s="349"/>
      <c r="AJ18" s="349"/>
      <c r="AK18" s="349"/>
      <c r="AL18" s="349"/>
      <c r="AM18" s="349"/>
      <c r="AN18" s="349"/>
      <c r="AO18" s="349"/>
      <c r="AP18" s="349"/>
      <c r="AQ18" s="349"/>
      <c r="AR18" s="349"/>
      <c r="AS18" s="349"/>
      <c r="AT18" s="349"/>
      <c r="AU18" s="349"/>
      <c r="AV18" s="349"/>
    </row>
    <row r="19" spans="2:48" s="140" customFormat="1" ht="15" hidden="1">
      <c r="B19" s="1820"/>
      <c r="C19" s="258" t="s">
        <v>91</v>
      </c>
      <c r="D19" s="183"/>
      <c r="E19" s="44" t="s">
        <v>21</v>
      </c>
      <c r="F19" s="45"/>
      <c r="G19" s="259"/>
      <c r="H19" s="224" t="s">
        <v>90</v>
      </c>
      <c r="I19" s="224"/>
      <c r="J19" s="224"/>
      <c r="K19" s="224"/>
      <c r="L19" s="39"/>
      <c r="M19" s="40"/>
      <c r="N19" s="40"/>
      <c r="O19" s="40"/>
      <c r="P19" s="122"/>
      <c r="Q19" s="39"/>
      <c r="R19" s="40"/>
      <c r="S19" s="40"/>
      <c r="T19" s="40"/>
      <c r="U19" s="40"/>
      <c r="V19" s="122">
        <v>0.5</v>
      </c>
      <c r="W19" s="39">
        <v>1</v>
      </c>
      <c r="X19" s="40">
        <v>1</v>
      </c>
      <c r="Y19" s="209">
        <v>0.5</v>
      </c>
      <c r="Z19" s="39"/>
      <c r="AA19" s="24"/>
      <c r="AB19" s="184">
        <f t="shared" si="2"/>
        <v>3</v>
      </c>
      <c r="AC19" s="325"/>
      <c r="AE19" s="349"/>
      <c r="AF19" s="349"/>
      <c r="AG19" s="349"/>
      <c r="AH19" s="349"/>
      <c r="AI19" s="349"/>
      <c r="AJ19" s="349"/>
      <c r="AK19" s="349"/>
      <c r="AL19" s="349"/>
      <c r="AM19" s="349"/>
      <c r="AN19" s="349"/>
      <c r="AO19" s="349"/>
      <c r="AP19" s="349"/>
      <c r="AQ19" s="349"/>
      <c r="AR19" s="349"/>
      <c r="AS19" s="349"/>
      <c r="AT19" s="349"/>
      <c r="AU19" s="349"/>
      <c r="AV19" s="349"/>
    </row>
    <row r="20" spans="2:48" s="150" customFormat="1" ht="16" hidden="1" thickBot="1">
      <c r="B20" s="1837"/>
      <c r="C20" s="1867" t="s">
        <v>16</v>
      </c>
      <c r="D20" s="1868"/>
      <c r="E20" s="157"/>
      <c r="F20" s="157"/>
      <c r="G20" s="256"/>
      <c r="H20" s="274"/>
      <c r="I20" s="274"/>
      <c r="J20" s="274"/>
      <c r="K20" s="274"/>
      <c r="L20" s="161">
        <f t="shared" ref="L20:AA20" si="3">SUM(L15:L19)</f>
        <v>0</v>
      </c>
      <c r="M20" s="178">
        <f t="shared" si="3"/>
        <v>1</v>
      </c>
      <c r="N20" s="178">
        <f t="shared" si="3"/>
        <v>1.5</v>
      </c>
      <c r="O20" s="178">
        <f t="shared" si="3"/>
        <v>2.5</v>
      </c>
      <c r="P20" s="160">
        <f t="shared" si="3"/>
        <v>2.5</v>
      </c>
      <c r="Q20" s="161">
        <f t="shared" si="3"/>
        <v>1</v>
      </c>
      <c r="R20" s="178">
        <f t="shared" si="3"/>
        <v>1</v>
      </c>
      <c r="S20" s="178">
        <f t="shared" si="3"/>
        <v>1</v>
      </c>
      <c r="T20" s="178">
        <f t="shared" si="3"/>
        <v>1</v>
      </c>
      <c r="U20" s="178">
        <f t="shared" si="3"/>
        <v>1</v>
      </c>
      <c r="V20" s="160">
        <f t="shared" si="3"/>
        <v>2</v>
      </c>
      <c r="W20" s="161">
        <f t="shared" si="3"/>
        <v>3.5</v>
      </c>
      <c r="X20" s="178">
        <f t="shared" si="3"/>
        <v>3.5</v>
      </c>
      <c r="Y20" s="160">
        <f t="shared" si="3"/>
        <v>1.75</v>
      </c>
      <c r="Z20" s="161">
        <f t="shared" si="3"/>
        <v>0</v>
      </c>
      <c r="AA20" s="160">
        <f t="shared" si="3"/>
        <v>0</v>
      </c>
      <c r="AB20" s="162">
        <f t="shared" si="2"/>
        <v>23.25</v>
      </c>
      <c r="AC20" s="326"/>
      <c r="AE20" s="349"/>
      <c r="AF20" s="349"/>
      <c r="AG20" s="349"/>
      <c r="AH20" s="349"/>
      <c r="AI20" s="349"/>
      <c r="AJ20" s="349"/>
      <c r="AK20" s="349"/>
      <c r="AL20" s="349"/>
      <c r="AM20" s="349"/>
      <c r="AN20" s="349"/>
      <c r="AO20" s="349"/>
      <c r="AP20" s="349"/>
      <c r="AQ20" s="349"/>
      <c r="AR20" s="349"/>
      <c r="AS20" s="349"/>
      <c r="AT20" s="349"/>
      <c r="AU20" s="349"/>
      <c r="AV20" s="349"/>
    </row>
    <row r="21" spans="2:48" s="140" customFormat="1" ht="15" hidden="1">
      <c r="B21" s="1826" t="s">
        <v>415</v>
      </c>
      <c r="C21" s="174" t="s">
        <v>148</v>
      </c>
      <c r="D21" s="80" t="s">
        <v>154</v>
      </c>
      <c r="E21" s="93" t="s">
        <v>77</v>
      </c>
      <c r="F21" s="106" t="s">
        <v>150</v>
      </c>
      <c r="G21" s="252" t="s">
        <v>231</v>
      </c>
      <c r="H21" s="222" t="s">
        <v>101</v>
      </c>
      <c r="I21" s="222"/>
      <c r="J21" s="222"/>
      <c r="K21" s="222"/>
      <c r="L21" s="48"/>
      <c r="M21" s="49">
        <v>1</v>
      </c>
      <c r="N21" s="49">
        <v>1</v>
      </c>
      <c r="O21" s="49">
        <v>1</v>
      </c>
      <c r="P21" s="50">
        <v>1</v>
      </c>
      <c r="Q21" s="48">
        <v>1</v>
      </c>
      <c r="R21" s="49">
        <v>1</v>
      </c>
      <c r="S21" s="49">
        <v>1</v>
      </c>
      <c r="T21" s="49">
        <v>1</v>
      </c>
      <c r="U21" s="49">
        <v>1</v>
      </c>
      <c r="V21" s="50">
        <v>1</v>
      </c>
      <c r="W21" s="48">
        <v>1</v>
      </c>
      <c r="X21" s="49">
        <v>1</v>
      </c>
      <c r="Y21" s="50">
        <v>1</v>
      </c>
      <c r="Z21" s="48"/>
      <c r="AA21" s="50"/>
      <c r="AB21" s="135">
        <f t="shared" si="2"/>
        <v>13</v>
      </c>
      <c r="AC21" s="324"/>
      <c r="AE21" s="349"/>
      <c r="AF21" s="349"/>
      <c r="AG21" s="349"/>
      <c r="AH21" s="349"/>
      <c r="AI21" s="349"/>
      <c r="AJ21" s="349"/>
      <c r="AK21" s="349"/>
      <c r="AL21" s="349"/>
      <c r="AM21" s="349"/>
      <c r="AN21" s="349"/>
      <c r="AO21" s="349"/>
      <c r="AP21" s="349"/>
      <c r="AQ21" s="349"/>
      <c r="AR21" s="349"/>
      <c r="AS21" s="349"/>
      <c r="AT21" s="349"/>
      <c r="AU21" s="349"/>
      <c r="AV21" s="349"/>
    </row>
    <row r="22" spans="2:48" s="140" customFormat="1" ht="15" hidden="1">
      <c r="B22" s="1820"/>
      <c r="C22" s="242" t="s">
        <v>201</v>
      </c>
      <c r="D22" s="99" t="s">
        <v>186</v>
      </c>
      <c r="E22" s="95" t="s">
        <v>13</v>
      </c>
      <c r="F22" s="119" t="s">
        <v>124</v>
      </c>
      <c r="G22" s="253" t="s">
        <v>230</v>
      </c>
      <c r="H22" s="226" t="s">
        <v>101</v>
      </c>
      <c r="I22" s="226"/>
      <c r="J22" s="226"/>
      <c r="K22" s="226"/>
      <c r="L22" s="27"/>
      <c r="M22" s="28">
        <v>1</v>
      </c>
      <c r="N22" s="28">
        <v>1</v>
      </c>
      <c r="O22" s="28">
        <v>1</v>
      </c>
      <c r="P22" s="25">
        <v>1</v>
      </c>
      <c r="Q22" s="27">
        <v>1</v>
      </c>
      <c r="R22" s="28">
        <v>1</v>
      </c>
      <c r="S22" s="28">
        <v>1</v>
      </c>
      <c r="T22" s="28">
        <v>1</v>
      </c>
      <c r="U22" s="28">
        <v>1</v>
      </c>
      <c r="V22" s="25">
        <v>1</v>
      </c>
      <c r="W22" s="27">
        <v>1</v>
      </c>
      <c r="X22" s="28">
        <v>1</v>
      </c>
      <c r="Y22" s="25">
        <v>1</v>
      </c>
      <c r="Z22" s="27">
        <v>1</v>
      </c>
      <c r="AA22" s="25"/>
      <c r="AB22" s="65">
        <f t="shared" si="2"/>
        <v>14</v>
      </c>
      <c r="AC22" s="325"/>
      <c r="AE22" s="349"/>
      <c r="AF22" s="349"/>
      <c r="AG22" s="349"/>
      <c r="AH22" s="349"/>
      <c r="AI22" s="349"/>
      <c r="AJ22" s="349"/>
      <c r="AK22" s="349"/>
      <c r="AL22" s="349"/>
      <c r="AM22" s="349"/>
      <c r="AN22" s="349"/>
      <c r="AO22" s="349"/>
      <c r="AP22" s="349"/>
      <c r="AQ22" s="349"/>
      <c r="AR22" s="349"/>
      <c r="AS22" s="349"/>
      <c r="AT22" s="349"/>
      <c r="AU22" s="349"/>
      <c r="AV22" s="349"/>
    </row>
    <row r="23" spans="2:48" s="140" customFormat="1" ht="16" hidden="1" thickBot="1">
      <c r="B23" s="1829"/>
      <c r="C23" s="243" t="s">
        <v>174</v>
      </c>
      <c r="D23" s="102" t="s">
        <v>149</v>
      </c>
      <c r="E23" s="175" t="s">
        <v>19</v>
      </c>
      <c r="F23" s="101" t="s">
        <v>126</v>
      </c>
      <c r="G23" s="260" t="s">
        <v>416</v>
      </c>
      <c r="H23" s="225" t="s">
        <v>101</v>
      </c>
      <c r="I23" s="225"/>
      <c r="J23" s="225"/>
      <c r="K23" s="225"/>
      <c r="L23" s="21"/>
      <c r="M23" s="8"/>
      <c r="N23" s="8"/>
      <c r="O23" s="8">
        <v>0.5</v>
      </c>
      <c r="P23" s="22">
        <v>1</v>
      </c>
      <c r="Q23" s="21">
        <v>1</v>
      </c>
      <c r="R23" s="8">
        <v>1</v>
      </c>
      <c r="S23" s="8">
        <v>1</v>
      </c>
      <c r="T23" s="8">
        <v>1</v>
      </c>
      <c r="U23" s="8">
        <v>1</v>
      </c>
      <c r="V23" s="22">
        <v>1</v>
      </c>
      <c r="W23" s="21">
        <v>1</v>
      </c>
      <c r="X23" s="8">
        <v>1</v>
      </c>
      <c r="Y23" s="22">
        <v>0.5</v>
      </c>
      <c r="Z23" s="21"/>
      <c r="AA23" s="22"/>
      <c r="AB23" s="136">
        <f t="shared" si="2"/>
        <v>10</v>
      </c>
      <c r="AC23" s="325" t="s">
        <v>151</v>
      </c>
      <c r="AE23" s="349"/>
      <c r="AF23" s="349"/>
      <c r="AG23" s="349"/>
      <c r="AH23" s="349"/>
      <c r="AI23" s="349"/>
      <c r="AJ23" s="349"/>
      <c r="AK23" s="349"/>
      <c r="AL23" s="349"/>
      <c r="AM23" s="349"/>
      <c r="AN23" s="349"/>
      <c r="AO23" s="349"/>
      <c r="AP23" s="349"/>
      <c r="AQ23" s="349"/>
      <c r="AR23" s="349"/>
      <c r="AS23" s="349"/>
      <c r="AT23" s="349"/>
      <c r="AU23" s="349"/>
      <c r="AV23" s="349"/>
    </row>
    <row r="24" spans="2:48" s="140" customFormat="1" ht="16" hidden="1">
      <c r="B24" s="1820"/>
      <c r="C24" s="422" t="s">
        <v>240</v>
      </c>
      <c r="D24" s="423" t="s">
        <v>417</v>
      </c>
      <c r="E24" s="217" t="s">
        <v>42</v>
      </c>
      <c r="F24" s="424"/>
      <c r="G24" s="425"/>
      <c r="H24" s="426" t="s">
        <v>40</v>
      </c>
      <c r="I24" s="464"/>
      <c r="J24" s="464"/>
      <c r="K24" s="464"/>
      <c r="L24" s="281"/>
      <c r="M24" s="218">
        <v>1</v>
      </c>
      <c r="N24" s="218">
        <v>1</v>
      </c>
      <c r="O24" s="218">
        <v>1</v>
      </c>
      <c r="P24" s="282">
        <v>1</v>
      </c>
      <c r="Q24" s="281">
        <v>1</v>
      </c>
      <c r="R24" s="218">
        <v>1</v>
      </c>
      <c r="S24" s="218">
        <v>1</v>
      </c>
      <c r="T24" s="218">
        <v>1</v>
      </c>
      <c r="U24" s="218">
        <v>1</v>
      </c>
      <c r="V24" s="282">
        <v>1</v>
      </c>
      <c r="W24" s="281">
        <v>1</v>
      </c>
      <c r="X24" s="218">
        <v>1</v>
      </c>
      <c r="Y24" s="284"/>
      <c r="Z24" s="52"/>
      <c r="AA24" s="54"/>
      <c r="AB24" s="65">
        <f t="shared" si="2"/>
        <v>12</v>
      </c>
      <c r="AC24" s="322" t="s">
        <v>129</v>
      </c>
      <c r="AE24" s="349"/>
      <c r="AF24" s="349"/>
      <c r="AG24" s="349"/>
      <c r="AH24" s="349"/>
      <c r="AI24" s="349"/>
      <c r="AJ24" s="349"/>
      <c r="AK24" s="349"/>
      <c r="AL24" s="349"/>
      <c r="AM24" s="349"/>
      <c r="AN24" s="349"/>
      <c r="AO24" s="349"/>
      <c r="AP24" s="349"/>
      <c r="AQ24" s="349"/>
      <c r="AR24" s="349"/>
      <c r="AS24" s="349"/>
      <c r="AT24" s="349"/>
      <c r="AU24" s="349"/>
      <c r="AV24" s="349"/>
    </row>
    <row r="25" spans="2:48" s="140" customFormat="1" ht="16" hidden="1">
      <c r="B25" s="1820"/>
      <c r="C25" s="176" t="s">
        <v>248</v>
      </c>
      <c r="D25" s="81" t="s">
        <v>417</v>
      </c>
      <c r="E25" s="217" t="s">
        <v>42</v>
      </c>
      <c r="F25" s="31"/>
      <c r="G25" s="236"/>
      <c r="H25" s="227" t="s">
        <v>40</v>
      </c>
      <c r="I25" s="464"/>
      <c r="J25" s="464"/>
      <c r="K25" s="464"/>
      <c r="L25" s="281"/>
      <c r="M25" s="218">
        <v>1</v>
      </c>
      <c r="N25" s="218">
        <v>1</v>
      </c>
      <c r="O25" s="218">
        <v>1</v>
      </c>
      <c r="P25" s="282">
        <v>1</v>
      </c>
      <c r="Q25" s="281">
        <v>1</v>
      </c>
      <c r="R25" s="219">
        <v>1</v>
      </c>
      <c r="S25" s="219"/>
      <c r="T25" s="219"/>
      <c r="U25" s="219"/>
      <c r="V25" s="284"/>
      <c r="W25" s="283"/>
      <c r="X25" s="219"/>
      <c r="Y25" s="284"/>
      <c r="Z25" s="27"/>
      <c r="AA25" s="25"/>
      <c r="AB25" s="65">
        <f t="shared" si="2"/>
        <v>6</v>
      </c>
      <c r="AC25" s="322" t="s">
        <v>129</v>
      </c>
      <c r="AE25" s="349"/>
      <c r="AF25" s="349"/>
      <c r="AG25" s="349"/>
      <c r="AH25" s="349"/>
      <c r="AI25" s="349"/>
      <c r="AJ25" s="349"/>
      <c r="AK25" s="349"/>
      <c r="AL25" s="349"/>
      <c r="AM25" s="349"/>
      <c r="AN25" s="349"/>
      <c r="AO25" s="349"/>
      <c r="AP25" s="349"/>
      <c r="AQ25" s="349"/>
      <c r="AR25" s="349"/>
      <c r="AS25" s="349"/>
      <c r="AT25" s="349"/>
      <c r="AU25" s="349"/>
      <c r="AV25" s="349"/>
    </row>
    <row r="26" spans="2:48" s="140" customFormat="1" ht="16" hidden="1">
      <c r="B26" s="1820"/>
      <c r="C26" s="176" t="s">
        <v>249</v>
      </c>
      <c r="D26" s="81" t="s">
        <v>417</v>
      </c>
      <c r="E26" s="217" t="s">
        <v>42</v>
      </c>
      <c r="F26" s="31"/>
      <c r="G26" s="236"/>
      <c r="H26" s="227" t="s">
        <v>40</v>
      </c>
      <c r="I26" s="464"/>
      <c r="J26" s="464"/>
      <c r="K26" s="464"/>
      <c r="L26" s="281"/>
      <c r="M26" s="218">
        <v>1</v>
      </c>
      <c r="N26" s="218">
        <v>1</v>
      </c>
      <c r="O26" s="218">
        <v>1</v>
      </c>
      <c r="P26" s="282">
        <v>1</v>
      </c>
      <c r="Q26" s="281">
        <v>1</v>
      </c>
      <c r="R26" s="219"/>
      <c r="S26" s="219"/>
      <c r="T26" s="219"/>
      <c r="U26" s="219"/>
      <c r="V26" s="284"/>
      <c r="W26" s="283"/>
      <c r="X26" s="219"/>
      <c r="Y26" s="284"/>
      <c r="Z26" s="27"/>
      <c r="AA26" s="25"/>
      <c r="AB26" s="65">
        <f t="shared" si="2"/>
        <v>5</v>
      </c>
      <c r="AC26" s="322" t="s">
        <v>129</v>
      </c>
      <c r="AE26" s="349"/>
      <c r="AF26" s="349"/>
      <c r="AG26" s="349"/>
      <c r="AH26" s="349"/>
      <c r="AI26" s="349"/>
      <c r="AJ26" s="349"/>
      <c r="AK26" s="349"/>
      <c r="AL26" s="349"/>
      <c r="AM26" s="349"/>
      <c r="AN26" s="349"/>
      <c r="AO26" s="349"/>
      <c r="AP26" s="349"/>
      <c r="AQ26" s="349"/>
      <c r="AR26" s="349"/>
      <c r="AS26" s="349"/>
      <c r="AT26" s="349"/>
      <c r="AU26" s="349"/>
      <c r="AV26" s="349"/>
    </row>
    <row r="27" spans="2:48" s="140" customFormat="1" ht="16" hidden="1">
      <c r="B27" s="1820"/>
      <c r="C27" s="176" t="s">
        <v>250</v>
      </c>
      <c r="D27" s="81" t="s">
        <v>417</v>
      </c>
      <c r="E27" s="217" t="s">
        <v>42</v>
      </c>
      <c r="F27" s="31"/>
      <c r="G27" s="236"/>
      <c r="H27" s="227" t="s">
        <v>40</v>
      </c>
      <c r="I27" s="227"/>
      <c r="J27" s="227"/>
      <c r="K27" s="227"/>
      <c r="L27" s="283"/>
      <c r="M27" s="219"/>
      <c r="N27" s="218">
        <v>1</v>
      </c>
      <c r="O27" s="218">
        <v>1</v>
      </c>
      <c r="P27" s="284"/>
      <c r="Q27" s="283"/>
      <c r="R27" s="219"/>
      <c r="S27" s="219"/>
      <c r="T27" s="219"/>
      <c r="U27" s="219"/>
      <c r="V27" s="282">
        <v>1</v>
      </c>
      <c r="W27" s="281"/>
      <c r="X27" s="219"/>
      <c r="Y27" s="284"/>
      <c r="Z27" s="27"/>
      <c r="AA27" s="25"/>
      <c r="AB27" s="65">
        <f t="shared" si="2"/>
        <v>3</v>
      </c>
      <c r="AC27" s="322"/>
      <c r="AE27" s="349"/>
      <c r="AF27" s="349"/>
      <c r="AG27" s="349"/>
      <c r="AH27" s="349"/>
      <c r="AI27" s="349"/>
      <c r="AJ27" s="349"/>
      <c r="AK27" s="349"/>
      <c r="AL27" s="349"/>
      <c r="AM27" s="349"/>
      <c r="AN27" s="349"/>
      <c r="AO27" s="349"/>
      <c r="AP27" s="349"/>
      <c r="AQ27" s="349"/>
      <c r="AR27" s="349"/>
      <c r="AS27" s="349"/>
      <c r="AT27" s="349"/>
      <c r="AU27" s="349"/>
      <c r="AV27" s="349"/>
    </row>
    <row r="28" spans="2:48" s="140" customFormat="1" ht="16" hidden="1">
      <c r="B28" s="1820"/>
      <c r="C28" s="216" t="s">
        <v>241</v>
      </c>
      <c r="D28" s="81" t="s">
        <v>417</v>
      </c>
      <c r="E28" s="217" t="s">
        <v>42</v>
      </c>
      <c r="F28" s="31"/>
      <c r="G28" s="236"/>
      <c r="H28" s="227" t="s">
        <v>40</v>
      </c>
      <c r="I28" s="227"/>
      <c r="J28" s="227"/>
      <c r="K28" s="227"/>
      <c r="L28" s="283"/>
      <c r="M28" s="219"/>
      <c r="N28" s="218">
        <v>1</v>
      </c>
      <c r="O28" s="218">
        <v>1</v>
      </c>
      <c r="P28" s="282">
        <v>1</v>
      </c>
      <c r="Q28" s="281">
        <v>1</v>
      </c>
      <c r="R28" s="285"/>
      <c r="S28" s="218"/>
      <c r="T28" s="218"/>
      <c r="U28" s="219"/>
      <c r="V28" s="284"/>
      <c r="W28" s="283"/>
      <c r="X28" s="219"/>
      <c r="Y28" s="284"/>
      <c r="Z28" s="27"/>
      <c r="AA28" s="25"/>
      <c r="AB28" s="65">
        <f t="shared" si="2"/>
        <v>4</v>
      </c>
      <c r="AC28" s="322" t="s">
        <v>129</v>
      </c>
      <c r="AE28" s="349"/>
      <c r="AF28" s="349"/>
      <c r="AG28" s="349"/>
      <c r="AH28" s="349"/>
      <c r="AI28" s="349"/>
      <c r="AJ28" s="349"/>
      <c r="AK28" s="349"/>
      <c r="AL28" s="349"/>
      <c r="AM28" s="349"/>
      <c r="AN28" s="349"/>
      <c r="AO28" s="349"/>
      <c r="AP28" s="349"/>
      <c r="AQ28" s="349"/>
      <c r="AR28" s="349"/>
      <c r="AS28" s="349"/>
      <c r="AT28" s="349"/>
      <c r="AU28" s="349"/>
      <c r="AV28" s="349"/>
    </row>
    <row r="29" spans="2:48" s="140" customFormat="1" ht="16" hidden="1">
      <c r="B29" s="1820"/>
      <c r="C29" s="176" t="s">
        <v>242</v>
      </c>
      <c r="D29" s="81" t="s">
        <v>417</v>
      </c>
      <c r="E29" s="217" t="s">
        <v>42</v>
      </c>
      <c r="F29" s="31"/>
      <c r="G29" s="236"/>
      <c r="H29" s="227" t="s">
        <v>40</v>
      </c>
      <c r="I29" s="227"/>
      <c r="J29" s="227"/>
      <c r="K29" s="227"/>
      <c r="L29" s="283"/>
      <c r="M29" s="218">
        <v>1</v>
      </c>
      <c r="N29" s="218">
        <v>1</v>
      </c>
      <c r="O29" s="285"/>
      <c r="P29" s="282"/>
      <c r="Q29" s="281"/>
      <c r="R29" s="218"/>
      <c r="S29" s="218"/>
      <c r="T29" s="219"/>
      <c r="U29" s="219"/>
      <c r="V29" s="284"/>
      <c r="W29" s="283"/>
      <c r="X29" s="219"/>
      <c r="Y29" s="284"/>
      <c r="Z29" s="27"/>
      <c r="AA29" s="25"/>
      <c r="AB29" s="59">
        <f t="shared" si="2"/>
        <v>2</v>
      </c>
      <c r="AC29" s="322" t="s">
        <v>129</v>
      </c>
      <c r="AE29" s="349"/>
      <c r="AF29" s="349"/>
      <c r="AG29" s="349"/>
      <c r="AH29" s="349"/>
      <c r="AI29" s="349"/>
      <c r="AJ29" s="349"/>
      <c r="AK29" s="349"/>
      <c r="AL29" s="349"/>
      <c r="AM29" s="349"/>
      <c r="AN29" s="349"/>
      <c r="AO29" s="349"/>
      <c r="AP29" s="349"/>
      <c r="AQ29" s="349"/>
      <c r="AR29" s="349"/>
      <c r="AS29" s="349"/>
      <c r="AT29" s="349"/>
      <c r="AU29" s="349"/>
      <c r="AV29" s="349"/>
    </row>
    <row r="30" spans="2:48" s="140" customFormat="1" ht="16" hidden="1">
      <c r="B30" s="1820"/>
      <c r="C30" s="176" t="s">
        <v>243</v>
      </c>
      <c r="D30" s="81" t="s">
        <v>417</v>
      </c>
      <c r="E30" s="217" t="s">
        <v>42</v>
      </c>
      <c r="F30" s="31"/>
      <c r="G30" s="236"/>
      <c r="H30" s="227" t="s">
        <v>40</v>
      </c>
      <c r="I30" s="227"/>
      <c r="J30" s="227"/>
      <c r="K30" s="227"/>
      <c r="L30" s="283"/>
      <c r="M30" s="219"/>
      <c r="N30" s="218">
        <v>1</v>
      </c>
      <c r="O30" s="218">
        <v>1</v>
      </c>
      <c r="P30" s="286"/>
      <c r="Q30" s="281"/>
      <c r="R30" s="218"/>
      <c r="S30" s="218"/>
      <c r="T30" s="219"/>
      <c r="U30" s="219"/>
      <c r="V30" s="284"/>
      <c r="W30" s="283"/>
      <c r="X30" s="219"/>
      <c r="Y30" s="284"/>
      <c r="Z30" s="27"/>
      <c r="AA30" s="25"/>
      <c r="AB30" s="59">
        <f t="shared" si="2"/>
        <v>2</v>
      </c>
      <c r="AC30" s="322" t="s">
        <v>129</v>
      </c>
      <c r="AE30" s="349"/>
      <c r="AF30" s="349"/>
      <c r="AG30" s="349"/>
      <c r="AH30" s="349"/>
      <c r="AI30" s="349"/>
      <c r="AJ30" s="349"/>
      <c r="AK30" s="349"/>
      <c r="AL30" s="349"/>
      <c r="AM30" s="349"/>
      <c r="AN30" s="349"/>
      <c r="AO30" s="349"/>
      <c r="AP30" s="349"/>
      <c r="AQ30" s="349"/>
      <c r="AR30" s="349"/>
      <c r="AS30" s="349"/>
      <c r="AT30" s="349"/>
      <c r="AU30" s="349"/>
      <c r="AV30" s="349"/>
    </row>
    <row r="31" spans="2:48" s="140" customFormat="1" ht="16" hidden="1">
      <c r="B31" s="1820"/>
      <c r="C31" s="176" t="s">
        <v>244</v>
      </c>
      <c r="D31" s="81" t="s">
        <v>417</v>
      </c>
      <c r="E31" s="217" t="s">
        <v>42</v>
      </c>
      <c r="F31" s="31"/>
      <c r="G31" s="236"/>
      <c r="H31" s="227" t="s">
        <v>40</v>
      </c>
      <c r="I31" s="227"/>
      <c r="J31" s="227"/>
      <c r="K31" s="227"/>
      <c r="L31" s="283"/>
      <c r="M31" s="219"/>
      <c r="N31" s="218"/>
      <c r="O31" s="218"/>
      <c r="P31" s="282">
        <v>1</v>
      </c>
      <c r="Q31" s="281">
        <v>1</v>
      </c>
      <c r="R31" s="218"/>
      <c r="S31" s="218"/>
      <c r="T31" s="219"/>
      <c r="U31" s="219"/>
      <c r="V31" s="284"/>
      <c r="W31" s="283"/>
      <c r="X31" s="219"/>
      <c r="Y31" s="284"/>
      <c r="Z31" s="27"/>
      <c r="AA31" s="25"/>
      <c r="AB31" s="59">
        <f t="shared" si="2"/>
        <v>2</v>
      </c>
      <c r="AC31" s="322" t="s">
        <v>129</v>
      </c>
      <c r="AE31" s="349"/>
      <c r="AF31" s="349"/>
      <c r="AG31" s="349"/>
      <c r="AH31" s="349"/>
      <c r="AI31" s="349"/>
      <c r="AJ31" s="349"/>
      <c r="AK31" s="349"/>
      <c r="AL31" s="349"/>
      <c r="AM31" s="349"/>
      <c r="AN31" s="349"/>
      <c r="AO31" s="349"/>
      <c r="AP31" s="349"/>
      <c r="AQ31" s="349"/>
      <c r="AR31" s="349"/>
      <c r="AS31" s="349"/>
      <c r="AT31" s="349"/>
      <c r="AU31" s="349"/>
      <c r="AV31" s="349"/>
    </row>
    <row r="32" spans="2:48" s="140" customFormat="1" ht="16" hidden="1">
      <c r="B32" s="1820"/>
      <c r="C32" s="176" t="s">
        <v>245</v>
      </c>
      <c r="D32" s="81" t="s">
        <v>417</v>
      </c>
      <c r="E32" s="217" t="s">
        <v>22</v>
      </c>
      <c r="F32" s="31"/>
      <c r="G32" s="236"/>
      <c r="H32" s="227" t="s">
        <v>40</v>
      </c>
      <c r="I32" s="227"/>
      <c r="J32" s="227"/>
      <c r="K32" s="227"/>
      <c r="L32" s="283"/>
      <c r="M32" s="219"/>
      <c r="N32" s="218"/>
      <c r="O32" s="218">
        <v>1</v>
      </c>
      <c r="P32" s="282">
        <v>1</v>
      </c>
      <c r="Q32" s="281"/>
      <c r="R32" s="218"/>
      <c r="S32" s="218"/>
      <c r="T32" s="219"/>
      <c r="U32" s="298"/>
      <c r="V32" s="284"/>
      <c r="W32" s="283"/>
      <c r="X32" s="219"/>
      <c r="Y32" s="284"/>
      <c r="Z32" s="27"/>
      <c r="AA32" s="25"/>
      <c r="AB32" s="59">
        <f t="shared" si="2"/>
        <v>2</v>
      </c>
      <c r="AC32" s="322" t="s">
        <v>129</v>
      </c>
      <c r="AE32" s="349"/>
      <c r="AF32" s="349"/>
      <c r="AG32" s="349"/>
      <c r="AH32" s="349"/>
      <c r="AI32" s="349"/>
      <c r="AJ32" s="349"/>
      <c r="AK32" s="349"/>
      <c r="AL32" s="349"/>
      <c r="AM32" s="349"/>
      <c r="AN32" s="349"/>
      <c r="AO32" s="349"/>
      <c r="AP32" s="349"/>
      <c r="AQ32" s="349"/>
      <c r="AR32" s="349"/>
      <c r="AS32" s="349"/>
      <c r="AT32" s="349"/>
      <c r="AU32" s="349"/>
      <c r="AV32" s="349"/>
    </row>
    <row r="33" spans="2:48" s="140" customFormat="1" ht="16" hidden="1">
      <c r="B33" s="1820"/>
      <c r="C33" s="176" t="s">
        <v>246</v>
      </c>
      <c r="D33" s="81" t="s">
        <v>417</v>
      </c>
      <c r="E33" s="217" t="s">
        <v>19</v>
      </c>
      <c r="F33" s="31"/>
      <c r="G33" s="236"/>
      <c r="H33" s="227" t="s">
        <v>40</v>
      </c>
      <c r="I33" s="227"/>
      <c r="J33" s="227"/>
      <c r="K33" s="227"/>
      <c r="L33" s="283"/>
      <c r="M33" s="219"/>
      <c r="N33" s="218"/>
      <c r="O33" s="218"/>
      <c r="P33" s="282">
        <v>1</v>
      </c>
      <c r="Q33" s="281">
        <v>1</v>
      </c>
      <c r="R33" s="218">
        <v>1</v>
      </c>
      <c r="S33" s="218">
        <v>1</v>
      </c>
      <c r="T33" s="218">
        <v>1</v>
      </c>
      <c r="U33" s="218">
        <v>1</v>
      </c>
      <c r="V33" s="284"/>
      <c r="W33" s="283"/>
      <c r="X33" s="219"/>
      <c r="Y33" s="284"/>
      <c r="Z33" s="27"/>
      <c r="AA33" s="25"/>
      <c r="AB33" s="59">
        <f t="shared" si="2"/>
        <v>6</v>
      </c>
      <c r="AC33" s="322" t="s">
        <v>129</v>
      </c>
      <c r="AE33" s="427"/>
      <c r="AF33" s="349"/>
      <c r="AG33" s="349"/>
      <c r="AH33" s="349"/>
      <c r="AI33" s="349"/>
      <c r="AJ33" s="349"/>
      <c r="AK33" s="349"/>
      <c r="AL33" s="349"/>
      <c r="AM33" s="349"/>
      <c r="AN33" s="349"/>
      <c r="AO33" s="349"/>
      <c r="AP33" s="349"/>
      <c r="AQ33" s="349"/>
      <c r="AR33" s="349"/>
      <c r="AS33" s="349"/>
      <c r="AT33" s="349"/>
      <c r="AU33" s="349"/>
      <c r="AV33" s="349"/>
    </row>
    <row r="34" spans="2:48" s="140" customFormat="1" ht="16" hidden="1">
      <c r="B34" s="1869"/>
      <c r="C34" s="176" t="s">
        <v>247</v>
      </c>
      <c r="D34" s="81" t="s">
        <v>417</v>
      </c>
      <c r="E34" s="217" t="s">
        <v>22</v>
      </c>
      <c r="F34" s="63"/>
      <c r="G34" s="237"/>
      <c r="H34" s="275" t="s">
        <v>40</v>
      </c>
      <c r="I34" s="275"/>
      <c r="J34" s="275"/>
      <c r="K34" s="275"/>
      <c r="L34" s="283"/>
      <c r="M34" s="219"/>
      <c r="N34" s="218"/>
      <c r="O34" s="218"/>
      <c r="P34" s="282"/>
      <c r="Q34" s="281">
        <v>1</v>
      </c>
      <c r="R34" s="218">
        <v>1</v>
      </c>
      <c r="S34" s="218"/>
      <c r="T34" s="218"/>
      <c r="U34" s="218"/>
      <c r="V34" s="284"/>
      <c r="W34" s="283"/>
      <c r="X34" s="219"/>
      <c r="Y34" s="284"/>
      <c r="Z34" s="39"/>
      <c r="AA34" s="122"/>
      <c r="AB34" s="76">
        <f t="shared" si="2"/>
        <v>2</v>
      </c>
      <c r="AC34" s="322" t="s">
        <v>129</v>
      </c>
      <c r="AE34" s="349"/>
      <c r="AF34" s="349"/>
      <c r="AG34" s="349"/>
      <c r="AH34" s="349"/>
      <c r="AI34" s="349"/>
      <c r="AJ34" s="349"/>
      <c r="AK34" s="349"/>
      <c r="AL34" s="349"/>
      <c r="AM34" s="349"/>
      <c r="AN34" s="349"/>
      <c r="AO34" s="349"/>
      <c r="AP34" s="349"/>
      <c r="AQ34" s="349"/>
      <c r="AR34" s="349"/>
      <c r="AS34" s="349"/>
      <c r="AT34" s="349"/>
      <c r="AU34" s="349"/>
      <c r="AV34" s="349"/>
    </row>
    <row r="35" spans="2:48" s="150" customFormat="1" ht="16" hidden="1" thickBot="1">
      <c r="B35" s="1837"/>
      <c r="C35" s="1867" t="s">
        <v>16</v>
      </c>
      <c r="D35" s="1868"/>
      <c r="E35" s="157"/>
      <c r="F35" s="157"/>
      <c r="G35" s="256"/>
      <c r="H35" s="274"/>
      <c r="I35" s="274"/>
      <c r="J35" s="274"/>
      <c r="K35" s="274"/>
      <c r="L35" s="161">
        <f t="shared" ref="L35:AA35" si="4">SUM(L21:L34)</f>
        <v>0</v>
      </c>
      <c r="M35" s="178">
        <f t="shared" si="4"/>
        <v>6</v>
      </c>
      <c r="N35" s="178">
        <f t="shared" si="4"/>
        <v>9</v>
      </c>
      <c r="O35" s="178">
        <f t="shared" si="4"/>
        <v>9.5</v>
      </c>
      <c r="P35" s="160">
        <f t="shared" si="4"/>
        <v>10</v>
      </c>
      <c r="Q35" s="161">
        <f t="shared" si="4"/>
        <v>10</v>
      </c>
      <c r="R35" s="178">
        <f t="shared" si="4"/>
        <v>7</v>
      </c>
      <c r="S35" s="178">
        <f t="shared" si="4"/>
        <v>5</v>
      </c>
      <c r="T35" s="178">
        <f t="shared" si="4"/>
        <v>5</v>
      </c>
      <c r="U35" s="178">
        <f t="shared" si="4"/>
        <v>5</v>
      </c>
      <c r="V35" s="160">
        <f t="shared" si="4"/>
        <v>5</v>
      </c>
      <c r="W35" s="161">
        <f t="shared" si="4"/>
        <v>4</v>
      </c>
      <c r="X35" s="178">
        <f t="shared" si="4"/>
        <v>4</v>
      </c>
      <c r="Y35" s="160">
        <f t="shared" si="4"/>
        <v>2.5</v>
      </c>
      <c r="Z35" s="161">
        <f t="shared" si="4"/>
        <v>1</v>
      </c>
      <c r="AA35" s="160">
        <f t="shared" si="4"/>
        <v>0</v>
      </c>
      <c r="AB35" s="162">
        <f t="shared" si="2"/>
        <v>83</v>
      </c>
      <c r="AC35" s="326"/>
      <c r="AE35" s="349"/>
      <c r="AF35" s="349"/>
      <c r="AG35" s="349"/>
      <c r="AH35" s="349"/>
      <c r="AI35" s="349"/>
      <c r="AJ35" s="349"/>
      <c r="AK35" s="349"/>
      <c r="AL35" s="349"/>
      <c r="AM35" s="349"/>
      <c r="AN35" s="349"/>
      <c r="AO35" s="349"/>
      <c r="AP35" s="349"/>
      <c r="AQ35" s="349"/>
      <c r="AR35" s="349"/>
      <c r="AS35" s="349"/>
      <c r="AT35" s="349"/>
      <c r="AU35" s="349"/>
      <c r="AV35" s="349"/>
    </row>
    <row r="36" spans="2:48" s="140" customFormat="1" ht="16" hidden="1" thickBot="1">
      <c r="B36" s="1830" t="s">
        <v>39</v>
      </c>
      <c r="C36" s="153" t="s">
        <v>146</v>
      </c>
      <c r="D36" s="105" t="s">
        <v>155</v>
      </c>
      <c r="E36" s="195" t="s">
        <v>13</v>
      </c>
      <c r="F36" s="196" t="s">
        <v>147</v>
      </c>
      <c r="G36" s="261" t="s">
        <v>229</v>
      </c>
      <c r="H36" s="276" t="s">
        <v>101</v>
      </c>
      <c r="I36" s="276"/>
      <c r="J36" s="276"/>
      <c r="K36" s="276"/>
      <c r="L36" s="287"/>
      <c r="M36" s="210">
        <v>1</v>
      </c>
      <c r="N36" s="154">
        <v>1</v>
      </c>
      <c r="O36" s="154">
        <v>1</v>
      </c>
      <c r="P36" s="288">
        <v>1</v>
      </c>
      <c r="Q36" s="155">
        <v>1</v>
      </c>
      <c r="R36" s="154">
        <v>1</v>
      </c>
      <c r="S36" s="154">
        <v>1</v>
      </c>
      <c r="T36" s="154">
        <v>1</v>
      </c>
      <c r="U36" s="154">
        <v>1</v>
      </c>
      <c r="V36" s="288">
        <v>1</v>
      </c>
      <c r="W36" s="155">
        <v>1</v>
      </c>
      <c r="X36" s="154">
        <v>1</v>
      </c>
      <c r="Y36" s="299">
        <v>0.5</v>
      </c>
      <c r="Z36" s="155"/>
      <c r="AA36" s="288"/>
      <c r="AB36" s="156">
        <f t="shared" si="2"/>
        <v>12.5</v>
      </c>
      <c r="AC36" s="327" t="s">
        <v>161</v>
      </c>
      <c r="AE36" s="349"/>
      <c r="AF36" s="349"/>
      <c r="AG36" s="349"/>
      <c r="AH36" s="349"/>
      <c r="AI36" s="349"/>
      <c r="AJ36" s="349"/>
      <c r="AK36" s="349"/>
      <c r="AL36" s="349"/>
      <c r="AM36" s="349"/>
      <c r="AN36" s="349"/>
      <c r="AO36" s="349"/>
      <c r="AP36" s="349"/>
      <c r="AQ36" s="349"/>
      <c r="AR36" s="349"/>
      <c r="AS36" s="349"/>
      <c r="AT36" s="349"/>
      <c r="AU36" s="349"/>
      <c r="AV36" s="349"/>
    </row>
    <row r="37" spans="2:48" s="140" customFormat="1" ht="15" hidden="1">
      <c r="B37" s="1831"/>
      <c r="C37" s="170" t="s">
        <v>92</v>
      </c>
      <c r="D37" s="152" t="s">
        <v>139</v>
      </c>
      <c r="E37" s="17" t="s">
        <v>13</v>
      </c>
      <c r="F37" s="18"/>
      <c r="G37" s="262"/>
      <c r="H37" s="223" t="s">
        <v>93</v>
      </c>
      <c r="I37" s="223"/>
      <c r="J37" s="223"/>
      <c r="K37" s="223"/>
      <c r="L37" s="19"/>
      <c r="M37" s="4"/>
      <c r="N37" s="4"/>
      <c r="O37" s="4"/>
      <c r="P37" s="20">
        <v>1</v>
      </c>
      <c r="Q37" s="15">
        <v>1</v>
      </c>
      <c r="R37" s="3">
        <v>1</v>
      </c>
      <c r="S37" s="3">
        <v>1</v>
      </c>
      <c r="T37" s="3">
        <v>1</v>
      </c>
      <c r="U37" s="3">
        <v>1</v>
      </c>
      <c r="V37" s="16">
        <v>1</v>
      </c>
      <c r="W37" s="15">
        <v>1</v>
      </c>
      <c r="X37" s="3">
        <v>1</v>
      </c>
      <c r="Y37" s="16">
        <v>1</v>
      </c>
      <c r="Z37" s="15">
        <v>1</v>
      </c>
      <c r="AA37" s="20"/>
      <c r="AB37" s="66">
        <f t="shared" si="2"/>
        <v>11</v>
      </c>
      <c r="AC37" s="327"/>
      <c r="AE37" s="349"/>
      <c r="AF37" s="349"/>
      <c r="AG37" s="349"/>
      <c r="AH37" s="349"/>
      <c r="AI37" s="349"/>
      <c r="AJ37" s="349"/>
      <c r="AK37" s="349"/>
      <c r="AL37" s="349"/>
      <c r="AM37" s="349"/>
      <c r="AN37" s="349"/>
      <c r="AO37" s="349"/>
      <c r="AP37" s="349"/>
      <c r="AQ37" s="349"/>
      <c r="AR37" s="349"/>
      <c r="AS37" s="349"/>
      <c r="AT37" s="349"/>
      <c r="AU37" s="349"/>
      <c r="AV37" s="349"/>
    </row>
    <row r="38" spans="2:48" s="140" customFormat="1" ht="15" hidden="1">
      <c r="B38" s="1831"/>
      <c r="C38" s="171" t="s">
        <v>94</v>
      </c>
      <c r="D38" s="123" t="s">
        <v>139</v>
      </c>
      <c r="E38" s="1" t="s">
        <v>13</v>
      </c>
      <c r="F38" s="11"/>
      <c r="G38" s="34"/>
      <c r="H38" s="277" t="s">
        <v>93</v>
      </c>
      <c r="I38" s="277"/>
      <c r="J38" s="277"/>
      <c r="K38" s="277"/>
      <c r="L38" s="15"/>
      <c r="M38" s="3"/>
      <c r="N38" s="3"/>
      <c r="O38" s="3"/>
      <c r="P38" s="16"/>
      <c r="Q38" s="15"/>
      <c r="R38" s="3"/>
      <c r="S38" s="3"/>
      <c r="T38" s="3"/>
      <c r="U38" s="3">
        <v>0.5</v>
      </c>
      <c r="V38" s="16">
        <v>1</v>
      </c>
      <c r="W38" s="15">
        <v>1</v>
      </c>
      <c r="X38" s="3">
        <v>1</v>
      </c>
      <c r="Y38" s="16">
        <v>1</v>
      </c>
      <c r="Z38" s="15">
        <v>0.5</v>
      </c>
      <c r="AA38" s="16"/>
      <c r="AB38" s="59">
        <f t="shared" si="2"/>
        <v>5</v>
      </c>
      <c r="AC38" s="327"/>
      <c r="AE38" s="349"/>
      <c r="AF38" s="349"/>
      <c r="AG38" s="349"/>
      <c r="AH38" s="349"/>
      <c r="AI38" s="349"/>
      <c r="AJ38" s="349"/>
      <c r="AK38" s="349"/>
      <c r="AL38" s="349"/>
      <c r="AM38" s="349"/>
      <c r="AN38" s="349"/>
      <c r="AO38" s="349"/>
      <c r="AP38" s="349"/>
      <c r="AQ38" s="349"/>
      <c r="AR38" s="349"/>
      <c r="AS38" s="349"/>
      <c r="AT38" s="349"/>
      <c r="AU38" s="349"/>
      <c r="AV38" s="349"/>
    </row>
    <row r="39" spans="2:48" s="140" customFormat="1" ht="16.5" hidden="1" customHeight="1">
      <c r="B39" s="1831"/>
      <c r="C39" s="1873" t="s">
        <v>95</v>
      </c>
      <c r="D39" s="124" t="s">
        <v>139</v>
      </c>
      <c r="E39" s="1" t="s">
        <v>13</v>
      </c>
      <c r="F39" s="11" t="s">
        <v>188</v>
      </c>
      <c r="G39" s="34"/>
      <c r="H39" s="277" t="s">
        <v>93</v>
      </c>
      <c r="I39" s="277"/>
      <c r="J39" s="277"/>
      <c r="K39" s="277"/>
      <c r="L39" s="15"/>
      <c r="M39" s="3"/>
      <c r="N39" s="3"/>
      <c r="O39" s="3"/>
      <c r="P39" s="16">
        <v>1</v>
      </c>
      <c r="Q39" s="15">
        <v>1</v>
      </c>
      <c r="R39" s="3">
        <v>1</v>
      </c>
      <c r="S39" s="3">
        <v>1</v>
      </c>
      <c r="T39" s="3">
        <v>1</v>
      </c>
      <c r="U39" s="3">
        <v>1</v>
      </c>
      <c r="V39" s="16">
        <v>1</v>
      </c>
      <c r="W39" s="15">
        <v>1</v>
      </c>
      <c r="X39" s="3">
        <v>1</v>
      </c>
      <c r="Y39" s="16">
        <v>1</v>
      </c>
      <c r="Z39" s="15">
        <v>0.5</v>
      </c>
      <c r="AA39" s="16"/>
      <c r="AB39" s="59">
        <f t="shared" si="2"/>
        <v>10.5</v>
      </c>
      <c r="AC39" s="325"/>
      <c r="AE39" s="349"/>
      <c r="AF39" s="349"/>
      <c r="AG39" s="349"/>
      <c r="AH39" s="349"/>
      <c r="AI39" s="349"/>
      <c r="AJ39" s="349"/>
      <c r="AK39" s="349"/>
      <c r="AL39" s="349"/>
      <c r="AM39" s="349"/>
      <c r="AN39" s="349"/>
      <c r="AO39" s="349"/>
      <c r="AP39" s="349"/>
      <c r="AQ39" s="349"/>
      <c r="AR39" s="349"/>
      <c r="AS39" s="349"/>
      <c r="AT39" s="349"/>
      <c r="AU39" s="349"/>
      <c r="AV39" s="349"/>
    </row>
    <row r="40" spans="2:48" s="140" customFormat="1" ht="16" hidden="1">
      <c r="B40" s="1831"/>
      <c r="C40" s="1874"/>
      <c r="D40" s="125" t="s">
        <v>139</v>
      </c>
      <c r="E40" s="1" t="s">
        <v>13</v>
      </c>
      <c r="F40" s="11" t="s">
        <v>188</v>
      </c>
      <c r="G40" s="34"/>
      <c r="H40" s="277" t="s">
        <v>93</v>
      </c>
      <c r="I40" s="277"/>
      <c r="J40" s="277"/>
      <c r="K40" s="277"/>
      <c r="L40" s="15"/>
      <c r="M40" s="3"/>
      <c r="N40" s="3"/>
      <c r="O40" s="3"/>
      <c r="P40" s="16"/>
      <c r="Q40" s="15">
        <v>1</v>
      </c>
      <c r="R40" s="3">
        <v>1</v>
      </c>
      <c r="S40" s="3">
        <v>1</v>
      </c>
      <c r="T40" s="3">
        <v>1</v>
      </c>
      <c r="U40" s="3">
        <v>1</v>
      </c>
      <c r="V40" s="16">
        <v>1</v>
      </c>
      <c r="W40" s="15">
        <v>1</v>
      </c>
      <c r="X40" s="3">
        <v>1</v>
      </c>
      <c r="Y40" s="16">
        <v>1</v>
      </c>
      <c r="Z40" s="15">
        <v>0.5</v>
      </c>
      <c r="AA40" s="16"/>
      <c r="AB40" s="59">
        <f t="shared" si="2"/>
        <v>9.5</v>
      </c>
      <c r="AC40" s="325"/>
      <c r="AE40" s="349"/>
      <c r="AF40" s="349"/>
      <c r="AG40" s="349"/>
      <c r="AH40" s="349"/>
      <c r="AI40" s="349"/>
      <c r="AJ40" s="349"/>
      <c r="AK40" s="349"/>
      <c r="AL40" s="349"/>
      <c r="AM40" s="349"/>
      <c r="AN40" s="349"/>
      <c r="AO40" s="349"/>
      <c r="AP40" s="349"/>
      <c r="AQ40" s="349"/>
      <c r="AR40" s="349"/>
      <c r="AS40" s="349"/>
      <c r="AT40" s="349"/>
      <c r="AU40" s="349"/>
      <c r="AV40" s="349"/>
    </row>
    <row r="41" spans="2:48" s="140" customFormat="1" ht="16" hidden="1">
      <c r="B41" s="1831"/>
      <c r="C41" s="1874"/>
      <c r="D41" s="125" t="s">
        <v>139</v>
      </c>
      <c r="E41" s="1" t="s">
        <v>19</v>
      </c>
      <c r="F41" s="11" t="s">
        <v>188</v>
      </c>
      <c r="G41" s="34"/>
      <c r="H41" s="277" t="s">
        <v>93</v>
      </c>
      <c r="I41" s="277"/>
      <c r="J41" s="277"/>
      <c r="K41" s="277"/>
      <c r="L41" s="15"/>
      <c r="M41" s="3"/>
      <c r="N41" s="3"/>
      <c r="O41" s="3"/>
      <c r="P41" s="16"/>
      <c r="Q41" s="15">
        <v>1</v>
      </c>
      <c r="R41" s="3">
        <v>1</v>
      </c>
      <c r="S41" s="3">
        <v>1</v>
      </c>
      <c r="T41" s="3">
        <v>1</v>
      </c>
      <c r="U41" s="3">
        <v>1</v>
      </c>
      <c r="V41" s="16">
        <v>1</v>
      </c>
      <c r="W41" s="15">
        <v>1</v>
      </c>
      <c r="X41" s="3">
        <v>1</v>
      </c>
      <c r="Y41" s="16">
        <v>1</v>
      </c>
      <c r="Z41" s="15">
        <v>0.5</v>
      </c>
      <c r="AA41" s="16"/>
      <c r="AB41" s="59">
        <f t="shared" si="2"/>
        <v>9.5</v>
      </c>
      <c r="AC41" s="325"/>
      <c r="AE41" s="349"/>
      <c r="AF41" s="349"/>
      <c r="AG41" s="349"/>
      <c r="AH41" s="349"/>
      <c r="AI41" s="349"/>
      <c r="AJ41" s="349"/>
      <c r="AK41" s="349"/>
      <c r="AL41" s="349"/>
      <c r="AM41" s="349"/>
      <c r="AN41" s="349"/>
      <c r="AO41" s="349"/>
      <c r="AP41" s="349"/>
      <c r="AQ41" s="349"/>
      <c r="AR41" s="349"/>
      <c r="AS41" s="349"/>
      <c r="AT41" s="349"/>
      <c r="AU41" s="349"/>
      <c r="AV41" s="349"/>
    </row>
    <row r="42" spans="2:48" s="140" customFormat="1" ht="16" hidden="1">
      <c r="B42" s="1831"/>
      <c r="C42" s="1874"/>
      <c r="D42" s="126" t="s">
        <v>139</v>
      </c>
      <c r="E42" s="1" t="s">
        <v>21</v>
      </c>
      <c r="F42" s="11" t="s">
        <v>188</v>
      </c>
      <c r="G42" s="34"/>
      <c r="H42" s="277" t="s">
        <v>93</v>
      </c>
      <c r="I42" s="277"/>
      <c r="J42" s="277"/>
      <c r="K42" s="277"/>
      <c r="L42" s="15"/>
      <c r="M42" s="3"/>
      <c r="N42" s="3"/>
      <c r="O42" s="3"/>
      <c r="P42" s="16"/>
      <c r="Q42" s="15">
        <v>1</v>
      </c>
      <c r="R42" s="3">
        <v>1</v>
      </c>
      <c r="S42" s="3">
        <v>1</v>
      </c>
      <c r="T42" s="3">
        <v>1</v>
      </c>
      <c r="U42" s="3">
        <v>1</v>
      </c>
      <c r="V42" s="16">
        <v>1</v>
      </c>
      <c r="W42" s="15">
        <v>1</v>
      </c>
      <c r="X42" s="3">
        <v>1</v>
      </c>
      <c r="Y42" s="16">
        <v>1</v>
      </c>
      <c r="Z42" s="15">
        <v>0.5</v>
      </c>
      <c r="AA42" s="16"/>
      <c r="AB42" s="59">
        <f t="shared" si="2"/>
        <v>9.5</v>
      </c>
      <c r="AC42" s="325"/>
      <c r="AE42" s="349"/>
      <c r="AF42" s="349"/>
      <c r="AG42" s="349"/>
      <c r="AH42" s="349"/>
      <c r="AI42" s="349"/>
      <c r="AJ42" s="349"/>
      <c r="AK42" s="349"/>
      <c r="AL42" s="349"/>
      <c r="AM42" s="349"/>
      <c r="AN42" s="349"/>
      <c r="AO42" s="349"/>
      <c r="AP42" s="349"/>
      <c r="AQ42" s="349"/>
      <c r="AR42" s="349"/>
      <c r="AS42" s="349"/>
      <c r="AT42" s="349"/>
      <c r="AU42" s="349"/>
      <c r="AV42" s="349"/>
    </row>
    <row r="43" spans="2:48" s="140" customFormat="1" ht="15" hidden="1">
      <c r="B43" s="1831"/>
      <c r="C43" s="1875"/>
      <c r="D43" s="233"/>
      <c r="E43" s="44" t="s">
        <v>22</v>
      </c>
      <c r="F43" s="11" t="s">
        <v>188</v>
      </c>
      <c r="G43" s="259"/>
      <c r="H43" s="277" t="s">
        <v>93</v>
      </c>
      <c r="I43" s="280"/>
      <c r="J43" s="280"/>
      <c r="K43" s="280"/>
      <c r="L43" s="23"/>
      <c r="M43" s="5"/>
      <c r="N43" s="5"/>
      <c r="O43" s="5"/>
      <c r="P43" s="24"/>
      <c r="Q43" s="15">
        <v>1</v>
      </c>
      <c r="R43" s="3">
        <v>1</v>
      </c>
      <c r="S43" s="3">
        <v>1</v>
      </c>
      <c r="T43" s="3">
        <v>1</v>
      </c>
      <c r="U43" s="3">
        <v>1</v>
      </c>
      <c r="V43" s="16">
        <v>1</v>
      </c>
      <c r="W43" s="15">
        <v>1</v>
      </c>
      <c r="X43" s="3">
        <v>1</v>
      </c>
      <c r="Y43" s="16">
        <v>1</v>
      </c>
      <c r="Z43" s="15">
        <v>0.5</v>
      </c>
      <c r="AA43" s="24"/>
      <c r="AB43" s="59">
        <f t="shared" si="2"/>
        <v>9.5</v>
      </c>
      <c r="AC43" s="325"/>
      <c r="AE43" s="349"/>
      <c r="AF43" s="349"/>
      <c r="AG43" s="349"/>
      <c r="AH43" s="349"/>
      <c r="AI43" s="349"/>
      <c r="AJ43" s="349"/>
      <c r="AK43" s="349"/>
      <c r="AL43" s="349"/>
      <c r="AM43" s="349"/>
      <c r="AN43" s="349"/>
      <c r="AO43" s="349"/>
      <c r="AP43" s="349"/>
      <c r="AQ43" s="349"/>
      <c r="AR43" s="349"/>
      <c r="AS43" s="349"/>
      <c r="AT43" s="349"/>
      <c r="AU43" s="349"/>
      <c r="AV43" s="349"/>
    </row>
    <row r="44" spans="2:48" s="140" customFormat="1" ht="33" hidden="1" thickBot="1">
      <c r="B44" s="1831"/>
      <c r="C44" s="172" t="s">
        <v>96</v>
      </c>
      <c r="D44" s="173" t="s">
        <v>139</v>
      </c>
      <c r="E44" s="103" t="s">
        <v>19</v>
      </c>
      <c r="F44" s="100" t="s">
        <v>188</v>
      </c>
      <c r="G44" s="104"/>
      <c r="H44" s="278" t="s">
        <v>93</v>
      </c>
      <c r="I44" s="280"/>
      <c r="J44" s="280"/>
      <c r="K44" s="280"/>
      <c r="L44" s="23"/>
      <c r="M44" s="5"/>
      <c r="N44" s="5"/>
      <c r="O44" s="5"/>
      <c r="P44" s="24"/>
      <c r="Q44" s="23">
        <v>0.5</v>
      </c>
      <c r="R44" s="5">
        <v>1</v>
      </c>
      <c r="S44" s="5">
        <v>1</v>
      </c>
      <c r="T44" s="5">
        <v>1</v>
      </c>
      <c r="U44" s="5">
        <v>1</v>
      </c>
      <c r="V44" s="24">
        <v>0.5</v>
      </c>
      <c r="W44" s="23"/>
      <c r="X44" s="5"/>
      <c r="Y44" s="24"/>
      <c r="Z44" s="23"/>
      <c r="AA44" s="24"/>
      <c r="AB44" s="76">
        <f t="shared" si="2"/>
        <v>5</v>
      </c>
      <c r="AC44" s="325"/>
      <c r="AE44" s="349"/>
      <c r="AF44" s="349"/>
      <c r="AG44" s="349"/>
      <c r="AH44" s="349"/>
      <c r="AI44" s="349"/>
      <c r="AJ44" s="349"/>
      <c r="AK44" s="349"/>
      <c r="AL44" s="349"/>
      <c r="AM44" s="349"/>
      <c r="AN44" s="349"/>
      <c r="AO44" s="349"/>
      <c r="AP44" s="349"/>
      <c r="AQ44" s="349"/>
      <c r="AR44" s="349"/>
      <c r="AS44" s="349"/>
      <c r="AT44" s="349"/>
      <c r="AU44" s="349"/>
      <c r="AV44" s="349"/>
    </row>
    <row r="45" spans="2:48" s="150" customFormat="1" ht="16" hidden="1" thickBot="1">
      <c r="B45" s="1832"/>
      <c r="C45" s="1867" t="s">
        <v>16</v>
      </c>
      <c r="D45" s="1868"/>
      <c r="E45" s="157"/>
      <c r="F45" s="157"/>
      <c r="G45" s="256"/>
      <c r="H45" s="274"/>
      <c r="I45" s="274"/>
      <c r="J45" s="274"/>
      <c r="K45" s="274"/>
      <c r="L45" s="161">
        <f t="shared" ref="L45" si="5">SUM(L37:L44)</f>
        <v>0</v>
      </c>
      <c r="M45" s="159">
        <f>SUM(M36:M44)</f>
        <v>1</v>
      </c>
      <c r="N45" s="159">
        <f t="shared" ref="N45:AB45" si="6">SUM(N36:N44)</f>
        <v>1</v>
      </c>
      <c r="O45" s="159">
        <f t="shared" si="6"/>
        <v>1</v>
      </c>
      <c r="P45" s="159">
        <f t="shared" si="6"/>
        <v>3</v>
      </c>
      <c r="Q45" s="159">
        <f t="shared" si="6"/>
        <v>7.5</v>
      </c>
      <c r="R45" s="159">
        <f t="shared" si="6"/>
        <v>8</v>
      </c>
      <c r="S45" s="159">
        <f t="shared" si="6"/>
        <v>8</v>
      </c>
      <c r="T45" s="159">
        <f t="shared" si="6"/>
        <v>8</v>
      </c>
      <c r="U45" s="159">
        <f t="shared" si="6"/>
        <v>8.5</v>
      </c>
      <c r="V45" s="159">
        <f t="shared" si="6"/>
        <v>8.5</v>
      </c>
      <c r="W45" s="159">
        <f t="shared" si="6"/>
        <v>8</v>
      </c>
      <c r="X45" s="159">
        <f t="shared" si="6"/>
        <v>8</v>
      </c>
      <c r="Y45" s="159">
        <f t="shared" si="6"/>
        <v>7.5</v>
      </c>
      <c r="Z45" s="159">
        <f t="shared" si="6"/>
        <v>4</v>
      </c>
      <c r="AA45" s="159">
        <f t="shared" si="6"/>
        <v>0</v>
      </c>
      <c r="AB45" s="159">
        <f t="shared" si="6"/>
        <v>82</v>
      </c>
      <c r="AC45" s="326"/>
      <c r="AE45" s="349"/>
      <c r="AF45" s="349"/>
      <c r="AG45" s="349"/>
      <c r="AH45" s="349"/>
      <c r="AI45" s="349"/>
      <c r="AJ45" s="349"/>
      <c r="AK45" s="349"/>
      <c r="AL45" s="349"/>
      <c r="AM45" s="349"/>
      <c r="AN45" s="349"/>
      <c r="AO45" s="349"/>
      <c r="AP45" s="349"/>
      <c r="AQ45" s="349"/>
      <c r="AR45" s="349"/>
      <c r="AS45" s="349"/>
      <c r="AT45" s="349"/>
      <c r="AU45" s="349"/>
      <c r="AV45" s="349"/>
    </row>
    <row r="46" spans="2:48" s="140" customFormat="1" ht="15" hidden="1">
      <c r="B46" s="1876" t="s">
        <v>203</v>
      </c>
      <c r="C46" s="167" t="s">
        <v>211</v>
      </c>
      <c r="D46" s="86" t="s">
        <v>156</v>
      </c>
      <c r="E46" s="232" t="s">
        <v>13</v>
      </c>
      <c r="F46" s="168" t="s">
        <v>123</v>
      </c>
      <c r="G46" s="252" t="s">
        <v>228</v>
      </c>
      <c r="H46" s="222" t="s">
        <v>101</v>
      </c>
      <c r="I46" s="223"/>
      <c r="J46" s="223"/>
      <c r="K46" s="223"/>
      <c r="L46" s="214"/>
      <c r="M46" s="212">
        <v>1</v>
      </c>
      <c r="N46" s="212">
        <v>1</v>
      </c>
      <c r="O46" s="212">
        <v>1</v>
      </c>
      <c r="P46" s="213"/>
      <c r="Q46" s="214"/>
      <c r="R46" s="212"/>
      <c r="S46" s="212"/>
      <c r="T46" s="212"/>
      <c r="U46" s="212"/>
      <c r="V46" s="213"/>
      <c r="W46" s="214"/>
      <c r="X46" s="212"/>
      <c r="Y46" s="213"/>
      <c r="Z46" s="214"/>
      <c r="AA46" s="213"/>
      <c r="AB46" s="66">
        <f t="shared" si="2"/>
        <v>3</v>
      </c>
      <c r="AC46" s="325" t="s">
        <v>162</v>
      </c>
      <c r="AE46" s="349"/>
      <c r="AF46" s="349"/>
      <c r="AG46" s="349"/>
      <c r="AH46" s="349"/>
      <c r="AI46" s="349"/>
      <c r="AJ46" s="349"/>
      <c r="AK46" s="349"/>
      <c r="AL46" s="349"/>
      <c r="AM46" s="349"/>
      <c r="AN46" s="349"/>
      <c r="AO46" s="349"/>
      <c r="AP46" s="349"/>
      <c r="AQ46" s="349"/>
      <c r="AR46" s="349"/>
      <c r="AS46" s="349"/>
      <c r="AT46" s="349"/>
      <c r="AU46" s="349"/>
      <c r="AV46" s="349"/>
    </row>
    <row r="47" spans="2:48" s="140" customFormat="1" ht="15" hidden="1">
      <c r="B47" s="1827"/>
      <c r="C47" s="169" t="s">
        <v>210</v>
      </c>
      <c r="D47" s="73" t="s">
        <v>70</v>
      </c>
      <c r="E47" s="142" t="s">
        <v>13</v>
      </c>
      <c r="F47" s="143"/>
      <c r="G47" s="34" t="s">
        <v>204</v>
      </c>
      <c r="H47" s="277" t="s">
        <v>102</v>
      </c>
      <c r="I47" s="277"/>
      <c r="J47" s="277"/>
      <c r="K47" s="277"/>
      <c r="L47" s="211"/>
      <c r="M47" s="145">
        <v>1</v>
      </c>
      <c r="N47" s="145">
        <v>1</v>
      </c>
      <c r="O47" s="145">
        <v>1</v>
      </c>
      <c r="P47" s="144">
        <v>1</v>
      </c>
      <c r="Q47" s="211">
        <v>1</v>
      </c>
      <c r="R47" s="145">
        <v>1</v>
      </c>
      <c r="S47" s="145">
        <v>1</v>
      </c>
      <c r="T47" s="145">
        <v>1</v>
      </c>
      <c r="U47" s="145">
        <v>1</v>
      </c>
      <c r="V47" s="144">
        <v>1</v>
      </c>
      <c r="W47" s="211">
        <v>1</v>
      </c>
      <c r="X47" s="145">
        <v>1</v>
      </c>
      <c r="Y47" s="144">
        <v>1</v>
      </c>
      <c r="Z47" s="211">
        <v>1</v>
      </c>
      <c r="AA47" s="144">
        <v>1</v>
      </c>
      <c r="AB47" s="59">
        <f t="shared" si="2"/>
        <v>15</v>
      </c>
      <c r="AC47" s="325"/>
      <c r="AE47" s="349"/>
      <c r="AF47" s="349"/>
      <c r="AG47" s="349"/>
      <c r="AH47" s="349"/>
      <c r="AI47" s="349"/>
      <c r="AJ47" s="349"/>
      <c r="AK47" s="349"/>
      <c r="AL47" s="349"/>
      <c r="AM47" s="349"/>
      <c r="AN47" s="349"/>
      <c r="AO47" s="349"/>
      <c r="AP47" s="349"/>
      <c r="AQ47" s="349"/>
      <c r="AR47" s="349"/>
      <c r="AS47" s="349"/>
      <c r="AT47" s="349"/>
      <c r="AU47" s="349"/>
      <c r="AV47" s="349"/>
    </row>
    <row r="48" spans="2:48" s="140" customFormat="1" ht="15" hidden="1">
      <c r="B48" s="1827"/>
      <c r="C48" s="169" t="s">
        <v>212</v>
      </c>
      <c r="D48" s="73" t="s">
        <v>70</v>
      </c>
      <c r="E48" s="142" t="s">
        <v>21</v>
      </c>
      <c r="F48" s="143"/>
      <c r="G48" s="34" t="s">
        <v>205</v>
      </c>
      <c r="H48" s="277" t="s">
        <v>102</v>
      </c>
      <c r="I48" s="277"/>
      <c r="J48" s="277"/>
      <c r="K48" s="277"/>
      <c r="L48" s="211"/>
      <c r="M48" s="145"/>
      <c r="N48" s="145">
        <v>1</v>
      </c>
      <c r="O48" s="145">
        <v>1</v>
      </c>
      <c r="P48" s="144">
        <v>1</v>
      </c>
      <c r="Q48" s="211">
        <v>1</v>
      </c>
      <c r="R48" s="145">
        <v>1</v>
      </c>
      <c r="S48" s="145">
        <v>1</v>
      </c>
      <c r="T48" s="145">
        <v>1</v>
      </c>
      <c r="U48" s="145">
        <v>1</v>
      </c>
      <c r="V48" s="144"/>
      <c r="W48" s="211"/>
      <c r="X48" s="145"/>
      <c r="Y48" s="144"/>
      <c r="Z48" s="211"/>
      <c r="AA48" s="144"/>
      <c r="AB48" s="59">
        <f t="shared" si="2"/>
        <v>8</v>
      </c>
      <c r="AC48" s="325"/>
      <c r="AD48" s="428"/>
      <c r="AE48" s="349"/>
      <c r="AF48" s="349"/>
      <c r="AG48" s="349"/>
      <c r="AH48" s="349"/>
      <c r="AI48" s="349"/>
      <c r="AJ48" s="349"/>
      <c r="AK48" s="349"/>
      <c r="AL48" s="349"/>
      <c r="AM48" s="349"/>
      <c r="AN48" s="349"/>
      <c r="AO48" s="349"/>
      <c r="AP48" s="349"/>
      <c r="AQ48" s="349"/>
      <c r="AR48" s="349"/>
      <c r="AS48" s="349"/>
      <c r="AT48" s="349"/>
      <c r="AU48" s="349"/>
      <c r="AV48" s="349"/>
    </row>
    <row r="49" spans="2:48" s="140" customFormat="1" ht="32" hidden="1">
      <c r="B49" s="1827"/>
      <c r="C49" s="207" t="s">
        <v>213</v>
      </c>
      <c r="D49" s="73" t="s">
        <v>70</v>
      </c>
      <c r="E49" s="142" t="s">
        <v>13</v>
      </c>
      <c r="F49" s="143"/>
      <c r="G49" s="34" t="s">
        <v>206</v>
      </c>
      <c r="H49" s="277" t="s">
        <v>102</v>
      </c>
      <c r="I49" s="277"/>
      <c r="J49" s="277"/>
      <c r="K49" s="277"/>
      <c r="L49" s="211"/>
      <c r="M49" s="145"/>
      <c r="N49" s="145">
        <v>1</v>
      </c>
      <c r="O49" s="145">
        <v>1</v>
      </c>
      <c r="P49" s="144">
        <v>1</v>
      </c>
      <c r="Q49" s="211"/>
      <c r="R49" s="145"/>
      <c r="S49" s="145"/>
      <c r="T49" s="145"/>
      <c r="U49" s="145"/>
      <c r="V49" s="144"/>
      <c r="W49" s="211"/>
      <c r="X49" s="145"/>
      <c r="Y49" s="144"/>
      <c r="Z49" s="211"/>
      <c r="AA49" s="144"/>
      <c r="AB49" s="59">
        <f t="shared" si="2"/>
        <v>3</v>
      </c>
      <c r="AC49" s="325"/>
      <c r="AE49" s="349"/>
      <c r="AF49" s="349"/>
      <c r="AG49" s="349"/>
      <c r="AH49" s="349"/>
      <c r="AI49" s="349"/>
      <c r="AJ49" s="349"/>
      <c r="AK49" s="349"/>
      <c r="AL49" s="349"/>
      <c r="AM49" s="349"/>
      <c r="AN49" s="349"/>
      <c r="AO49" s="349"/>
      <c r="AP49" s="349"/>
      <c r="AQ49" s="349"/>
      <c r="AR49" s="349"/>
      <c r="AS49" s="349"/>
      <c r="AT49" s="349"/>
      <c r="AU49" s="349"/>
      <c r="AV49" s="349"/>
    </row>
    <row r="50" spans="2:48" s="140" customFormat="1" ht="32" hidden="1">
      <c r="B50" s="1827"/>
      <c r="C50" s="207" t="s">
        <v>214</v>
      </c>
      <c r="D50" s="73" t="s">
        <v>70</v>
      </c>
      <c r="E50" s="142" t="s">
        <v>21</v>
      </c>
      <c r="F50" s="143"/>
      <c r="G50" s="34" t="s">
        <v>207</v>
      </c>
      <c r="H50" s="277" t="s">
        <v>102</v>
      </c>
      <c r="I50" s="277"/>
      <c r="J50" s="277"/>
      <c r="K50" s="277"/>
      <c r="L50" s="211"/>
      <c r="M50" s="145">
        <v>1</v>
      </c>
      <c r="N50" s="145">
        <v>1</v>
      </c>
      <c r="O50" s="145">
        <v>1</v>
      </c>
      <c r="P50" s="144">
        <v>1</v>
      </c>
      <c r="Q50" s="211">
        <v>1</v>
      </c>
      <c r="R50" s="145">
        <v>1</v>
      </c>
      <c r="S50" s="145">
        <v>1</v>
      </c>
      <c r="T50" s="145">
        <v>1</v>
      </c>
      <c r="U50" s="145">
        <v>1</v>
      </c>
      <c r="V50" s="144">
        <v>1</v>
      </c>
      <c r="W50" s="211">
        <v>1</v>
      </c>
      <c r="X50" s="145">
        <v>1</v>
      </c>
      <c r="Y50" s="144">
        <v>1</v>
      </c>
      <c r="Z50" s="211">
        <v>1</v>
      </c>
      <c r="AA50" s="144">
        <v>1</v>
      </c>
      <c r="AB50" s="59">
        <f t="shared" si="2"/>
        <v>15</v>
      </c>
      <c r="AC50" s="325"/>
      <c r="AE50" s="349"/>
      <c r="AF50" s="349"/>
      <c r="AG50" s="349"/>
      <c r="AH50" s="349"/>
      <c r="AI50" s="349"/>
      <c r="AJ50" s="349"/>
      <c r="AK50" s="349"/>
      <c r="AL50" s="349"/>
      <c r="AM50" s="349"/>
      <c r="AN50" s="349"/>
      <c r="AO50" s="349"/>
      <c r="AP50" s="349"/>
      <c r="AQ50" s="349"/>
      <c r="AR50" s="349"/>
      <c r="AS50" s="349"/>
      <c r="AT50" s="349"/>
      <c r="AU50" s="349"/>
      <c r="AV50" s="349"/>
    </row>
    <row r="51" spans="2:48" s="140" customFormat="1" ht="15" hidden="1">
      <c r="B51" s="1827"/>
      <c r="C51" s="169" t="s">
        <v>215</v>
      </c>
      <c r="D51" s="73" t="s">
        <v>70</v>
      </c>
      <c r="E51" s="142" t="s">
        <v>13</v>
      </c>
      <c r="F51" s="143"/>
      <c r="G51" s="34" t="s">
        <v>208</v>
      </c>
      <c r="H51" s="277" t="s">
        <v>102</v>
      </c>
      <c r="I51" s="277"/>
      <c r="J51" s="277"/>
      <c r="K51" s="277"/>
      <c r="L51" s="211"/>
      <c r="M51" s="145"/>
      <c r="N51" s="145"/>
      <c r="O51" s="145">
        <v>1</v>
      </c>
      <c r="P51" s="144">
        <v>1</v>
      </c>
      <c r="Q51" s="211">
        <v>1</v>
      </c>
      <c r="R51" s="145">
        <v>1</v>
      </c>
      <c r="S51" s="145"/>
      <c r="T51" s="145"/>
      <c r="U51" s="145"/>
      <c r="V51" s="144"/>
      <c r="W51" s="211"/>
      <c r="X51" s="145"/>
      <c r="Y51" s="144"/>
      <c r="Z51" s="211"/>
      <c r="AA51" s="144"/>
      <c r="AB51" s="59">
        <f t="shared" si="2"/>
        <v>4</v>
      </c>
      <c r="AC51" s="325"/>
      <c r="AE51" s="349"/>
      <c r="AF51" s="349"/>
      <c r="AG51" s="349"/>
      <c r="AH51" s="349"/>
      <c r="AI51" s="349"/>
      <c r="AJ51" s="349"/>
      <c r="AK51" s="349"/>
      <c r="AL51" s="349"/>
      <c r="AM51" s="349"/>
      <c r="AN51" s="349"/>
      <c r="AO51" s="349"/>
      <c r="AP51" s="349"/>
      <c r="AQ51" s="349"/>
      <c r="AR51" s="349"/>
      <c r="AS51" s="349"/>
      <c r="AT51" s="349"/>
      <c r="AU51" s="349"/>
      <c r="AV51" s="349"/>
    </row>
    <row r="52" spans="2:48" s="140" customFormat="1" ht="15" hidden="1">
      <c r="B52" s="1827"/>
      <c r="C52" s="169" t="s">
        <v>216</v>
      </c>
      <c r="D52" s="73" t="s">
        <v>70</v>
      </c>
      <c r="E52" s="142" t="s">
        <v>22</v>
      </c>
      <c r="F52" s="143"/>
      <c r="G52" s="34" t="s">
        <v>209</v>
      </c>
      <c r="H52" s="277" t="s">
        <v>102</v>
      </c>
      <c r="I52" s="277"/>
      <c r="J52" s="277"/>
      <c r="K52" s="277"/>
      <c r="L52" s="211"/>
      <c r="M52" s="145"/>
      <c r="N52" s="145"/>
      <c r="O52" s="145"/>
      <c r="P52" s="144"/>
      <c r="Q52" s="211"/>
      <c r="R52" s="145">
        <v>1</v>
      </c>
      <c r="S52" s="145">
        <v>1</v>
      </c>
      <c r="T52" s="145"/>
      <c r="U52" s="145"/>
      <c r="V52" s="144"/>
      <c r="W52" s="211"/>
      <c r="X52" s="145"/>
      <c r="Y52" s="144"/>
      <c r="Z52" s="211"/>
      <c r="AA52" s="144"/>
      <c r="AB52" s="59">
        <f t="shared" si="2"/>
        <v>2</v>
      </c>
      <c r="AC52" s="325"/>
      <c r="AE52" s="349"/>
      <c r="AF52" s="349"/>
      <c r="AG52" s="349"/>
      <c r="AH52" s="349"/>
      <c r="AI52" s="349"/>
      <c r="AJ52" s="349"/>
      <c r="AK52" s="349"/>
      <c r="AL52" s="349"/>
      <c r="AM52" s="349"/>
      <c r="AN52" s="349"/>
      <c r="AO52" s="349"/>
      <c r="AP52" s="349"/>
      <c r="AQ52" s="349"/>
      <c r="AR52" s="349"/>
      <c r="AS52" s="349"/>
      <c r="AT52" s="349"/>
      <c r="AU52" s="349"/>
      <c r="AV52" s="349"/>
    </row>
    <row r="53" spans="2:48" s="140" customFormat="1" ht="15" hidden="1">
      <c r="B53" s="1827"/>
      <c r="C53" s="169" t="s">
        <v>217</v>
      </c>
      <c r="D53" s="73" t="s">
        <v>70</v>
      </c>
      <c r="E53" s="142" t="s">
        <v>21</v>
      </c>
      <c r="F53" s="143" t="s">
        <v>125</v>
      </c>
      <c r="G53" s="34" t="s">
        <v>226</v>
      </c>
      <c r="H53" s="226" t="s">
        <v>101</v>
      </c>
      <c r="I53" s="226"/>
      <c r="J53" s="226"/>
      <c r="K53" s="226"/>
      <c r="L53" s="429">
        <v>0</v>
      </c>
      <c r="M53" s="430">
        <v>1</v>
      </c>
      <c r="N53" s="430">
        <v>1</v>
      </c>
      <c r="O53" s="430">
        <v>1</v>
      </c>
      <c r="P53" s="431">
        <v>1</v>
      </c>
      <c r="Q53" s="429">
        <v>1</v>
      </c>
      <c r="R53" s="430">
        <v>1</v>
      </c>
      <c r="S53" s="430">
        <v>0</v>
      </c>
      <c r="T53" s="430">
        <v>0</v>
      </c>
      <c r="U53" s="430">
        <v>1</v>
      </c>
      <c r="V53" s="431">
        <v>1</v>
      </c>
      <c r="W53" s="429"/>
      <c r="X53" s="430"/>
      <c r="Y53" s="431"/>
      <c r="Z53" s="429"/>
      <c r="AA53" s="432"/>
      <c r="AB53" s="433">
        <f t="shared" si="2"/>
        <v>8</v>
      </c>
      <c r="AC53" s="325"/>
      <c r="AE53" s="349"/>
      <c r="AF53" s="349"/>
      <c r="AG53" s="349"/>
      <c r="AH53" s="349"/>
      <c r="AI53" s="349"/>
      <c r="AJ53" s="349"/>
      <c r="AK53" s="349"/>
      <c r="AL53" s="349"/>
      <c r="AM53" s="349"/>
      <c r="AN53" s="349"/>
      <c r="AO53" s="349"/>
      <c r="AP53" s="349"/>
      <c r="AQ53" s="349"/>
      <c r="AR53" s="349"/>
      <c r="AS53" s="349"/>
      <c r="AT53" s="349"/>
      <c r="AU53" s="349"/>
      <c r="AV53" s="349"/>
    </row>
    <row r="54" spans="2:48" s="140" customFormat="1" ht="15" hidden="1">
      <c r="B54" s="1827"/>
      <c r="C54" s="169" t="s">
        <v>218</v>
      </c>
      <c r="D54" s="73" t="s">
        <v>70</v>
      </c>
      <c r="E54" s="142" t="s">
        <v>21</v>
      </c>
      <c r="F54" s="143" t="s">
        <v>127</v>
      </c>
      <c r="G54" s="34" t="s">
        <v>227</v>
      </c>
      <c r="H54" s="226" t="s">
        <v>101</v>
      </c>
      <c r="I54" s="226"/>
      <c r="J54" s="226"/>
      <c r="K54" s="226"/>
      <c r="L54" s="211"/>
      <c r="M54" s="145"/>
      <c r="N54" s="145"/>
      <c r="O54" s="145">
        <v>1</v>
      </c>
      <c r="P54" s="144">
        <v>1</v>
      </c>
      <c r="Q54" s="211">
        <v>1</v>
      </c>
      <c r="R54" s="145">
        <v>1</v>
      </c>
      <c r="S54" s="145">
        <v>1</v>
      </c>
      <c r="T54" s="145">
        <v>1</v>
      </c>
      <c r="U54" s="145">
        <v>1</v>
      </c>
      <c r="V54" s="144">
        <v>1</v>
      </c>
      <c r="W54" s="211">
        <v>1</v>
      </c>
      <c r="X54" s="145">
        <v>1</v>
      </c>
      <c r="Y54" s="144"/>
      <c r="Z54" s="211"/>
      <c r="AA54" s="144"/>
      <c r="AB54" s="59">
        <f t="shared" si="2"/>
        <v>10</v>
      </c>
      <c r="AC54" s="325"/>
      <c r="AE54" s="349"/>
      <c r="AF54" s="349"/>
      <c r="AG54" s="349"/>
      <c r="AH54" s="349"/>
      <c r="AI54" s="349"/>
      <c r="AJ54" s="349"/>
      <c r="AK54" s="349"/>
      <c r="AL54" s="349"/>
      <c r="AM54" s="349"/>
      <c r="AN54" s="349"/>
      <c r="AO54" s="349"/>
      <c r="AP54" s="349"/>
      <c r="AQ54" s="349"/>
      <c r="AR54" s="349"/>
      <c r="AS54" s="349"/>
      <c r="AT54" s="349"/>
      <c r="AU54" s="349"/>
      <c r="AV54" s="349"/>
    </row>
    <row r="55" spans="2:48" s="150" customFormat="1" ht="16" hidden="1" thickBot="1">
      <c r="B55" s="1829"/>
      <c r="C55" s="1867" t="s">
        <v>16</v>
      </c>
      <c r="D55" s="1868"/>
      <c r="E55" s="157"/>
      <c r="F55" s="157"/>
      <c r="G55" s="256"/>
      <c r="H55" s="274"/>
      <c r="I55" s="274"/>
      <c r="J55" s="274"/>
      <c r="K55" s="274"/>
      <c r="L55" s="161">
        <f t="shared" ref="L55:AA55" si="7">SUM(L46:L54)</f>
        <v>0</v>
      </c>
      <c r="M55" s="178">
        <f t="shared" si="7"/>
        <v>4</v>
      </c>
      <c r="N55" s="178">
        <f t="shared" si="7"/>
        <v>6</v>
      </c>
      <c r="O55" s="178">
        <f t="shared" si="7"/>
        <v>8</v>
      </c>
      <c r="P55" s="160">
        <f t="shared" si="7"/>
        <v>7</v>
      </c>
      <c r="Q55" s="161">
        <f t="shared" si="7"/>
        <v>6</v>
      </c>
      <c r="R55" s="178">
        <f t="shared" si="7"/>
        <v>7</v>
      </c>
      <c r="S55" s="178">
        <f t="shared" si="7"/>
        <v>5</v>
      </c>
      <c r="T55" s="178">
        <f t="shared" si="7"/>
        <v>4</v>
      </c>
      <c r="U55" s="178">
        <f t="shared" si="7"/>
        <v>5</v>
      </c>
      <c r="V55" s="160">
        <f t="shared" si="7"/>
        <v>4</v>
      </c>
      <c r="W55" s="161">
        <f t="shared" si="7"/>
        <v>3</v>
      </c>
      <c r="X55" s="178">
        <f t="shared" si="7"/>
        <v>3</v>
      </c>
      <c r="Y55" s="160">
        <f t="shared" si="7"/>
        <v>2</v>
      </c>
      <c r="Z55" s="161">
        <f t="shared" si="7"/>
        <v>2</v>
      </c>
      <c r="AA55" s="160">
        <f t="shared" si="7"/>
        <v>2</v>
      </c>
      <c r="AB55" s="162">
        <f t="shared" si="2"/>
        <v>68</v>
      </c>
      <c r="AC55" s="328"/>
      <c r="AE55" s="349"/>
      <c r="AF55" s="349"/>
      <c r="AG55" s="349"/>
      <c r="AH55" s="349"/>
      <c r="AI55" s="349"/>
      <c r="AJ55" s="349"/>
      <c r="AK55" s="349"/>
      <c r="AL55" s="349"/>
      <c r="AM55" s="349"/>
      <c r="AN55" s="349"/>
      <c r="AO55" s="349"/>
      <c r="AP55" s="349"/>
      <c r="AQ55" s="349"/>
      <c r="AR55" s="349"/>
      <c r="AS55" s="349"/>
      <c r="AT55" s="349"/>
      <c r="AU55" s="349"/>
      <c r="AV55" s="349"/>
    </row>
    <row r="56" spans="2:48" s="140" customFormat="1" ht="15" hidden="1">
      <c r="B56" s="1877" t="s">
        <v>20</v>
      </c>
      <c r="C56" s="434" t="s">
        <v>24</v>
      </c>
      <c r="D56" s="166" t="s">
        <v>24</v>
      </c>
      <c r="E56" s="94" t="s">
        <v>13</v>
      </c>
      <c r="F56" s="18"/>
      <c r="G56" s="262"/>
      <c r="H56" s="223" t="s">
        <v>56</v>
      </c>
      <c r="I56" s="223"/>
      <c r="J56" s="223"/>
      <c r="K56" s="223"/>
      <c r="L56" s="48"/>
      <c r="M56" s="7">
        <v>1</v>
      </c>
      <c r="N56" s="7">
        <v>1</v>
      </c>
      <c r="O56" s="7">
        <v>1</v>
      </c>
      <c r="P56" s="14">
        <v>1</v>
      </c>
      <c r="Q56" s="13">
        <v>1</v>
      </c>
      <c r="R56" s="7">
        <v>1</v>
      </c>
      <c r="S56" s="7">
        <v>1</v>
      </c>
      <c r="T56" s="7">
        <v>1</v>
      </c>
      <c r="U56" s="7">
        <v>1</v>
      </c>
      <c r="V56" s="14">
        <v>1</v>
      </c>
      <c r="W56" s="13">
        <v>1</v>
      </c>
      <c r="X56" s="7">
        <v>1</v>
      </c>
      <c r="Y56" s="14">
        <v>1</v>
      </c>
      <c r="Z56" s="13">
        <v>1</v>
      </c>
      <c r="AA56" s="14">
        <v>0.5</v>
      </c>
      <c r="AB56" s="59">
        <f t="shared" si="2"/>
        <v>14.5</v>
      </c>
      <c r="AC56" s="324"/>
      <c r="AE56" s="349"/>
      <c r="AF56" s="349"/>
      <c r="AG56" s="349"/>
      <c r="AH56" s="349"/>
      <c r="AI56" s="349"/>
      <c r="AJ56" s="349"/>
      <c r="AK56" s="349"/>
      <c r="AL56" s="349"/>
      <c r="AM56" s="349"/>
      <c r="AN56" s="349"/>
      <c r="AO56" s="349"/>
      <c r="AP56" s="349"/>
      <c r="AQ56" s="349"/>
      <c r="AR56" s="349"/>
      <c r="AS56" s="349"/>
      <c r="AT56" s="349"/>
      <c r="AU56" s="349"/>
      <c r="AV56" s="349"/>
    </row>
    <row r="57" spans="2:48" s="140" customFormat="1" ht="15" hidden="1">
      <c r="B57" s="1878"/>
      <c r="C57" s="1880" t="s">
        <v>418</v>
      </c>
      <c r="D57" s="83"/>
      <c r="E57" s="94" t="s">
        <v>19</v>
      </c>
      <c r="F57" s="18"/>
      <c r="G57" s="34"/>
      <c r="H57" s="226" t="s">
        <v>56</v>
      </c>
      <c r="I57" s="226"/>
      <c r="J57" s="226"/>
      <c r="K57" s="226"/>
      <c r="L57" s="27"/>
      <c r="M57" s="3">
        <v>1</v>
      </c>
      <c r="N57" s="3">
        <v>1</v>
      </c>
      <c r="O57" s="3">
        <v>1</v>
      </c>
      <c r="P57" s="16">
        <v>1</v>
      </c>
      <c r="Q57" s="15">
        <v>1</v>
      </c>
      <c r="R57" s="3">
        <v>1</v>
      </c>
      <c r="S57" s="3">
        <v>1</v>
      </c>
      <c r="T57" s="3">
        <v>1</v>
      </c>
      <c r="U57" s="3">
        <v>1</v>
      </c>
      <c r="V57" s="16">
        <v>1</v>
      </c>
      <c r="W57" s="15">
        <v>1</v>
      </c>
      <c r="X57" s="3">
        <v>1</v>
      </c>
      <c r="Y57" s="16">
        <v>1</v>
      </c>
      <c r="Z57" s="15">
        <v>1</v>
      </c>
      <c r="AA57" s="16">
        <v>0.5</v>
      </c>
      <c r="AB57" s="59">
        <f t="shared" si="2"/>
        <v>14.5</v>
      </c>
      <c r="AC57" s="325"/>
      <c r="AE57" s="349"/>
      <c r="AF57" s="349"/>
      <c r="AG57" s="349"/>
      <c r="AH57" s="349"/>
      <c r="AI57" s="349"/>
      <c r="AJ57" s="349"/>
      <c r="AK57" s="349"/>
      <c r="AL57" s="349"/>
      <c r="AM57" s="349"/>
      <c r="AN57" s="349"/>
      <c r="AO57" s="349"/>
      <c r="AP57" s="349"/>
      <c r="AQ57" s="349"/>
      <c r="AR57" s="349"/>
      <c r="AS57" s="349"/>
      <c r="AT57" s="349"/>
      <c r="AU57" s="349"/>
      <c r="AV57" s="349"/>
    </row>
    <row r="58" spans="2:48" s="140" customFormat="1" ht="15" hidden="1">
      <c r="B58" s="1878"/>
      <c r="C58" s="1881"/>
      <c r="D58" s="83"/>
      <c r="E58" s="17" t="s">
        <v>19</v>
      </c>
      <c r="F58" s="18"/>
      <c r="G58" s="34"/>
      <c r="H58" s="226" t="s">
        <v>56</v>
      </c>
      <c r="I58" s="226"/>
      <c r="J58" s="226"/>
      <c r="K58" s="226"/>
      <c r="L58" s="27"/>
      <c r="M58" s="3">
        <v>1</v>
      </c>
      <c r="N58" s="3">
        <v>1</v>
      </c>
      <c r="O58" s="3">
        <v>1</v>
      </c>
      <c r="P58" s="16">
        <v>1</v>
      </c>
      <c r="Q58" s="15">
        <v>1</v>
      </c>
      <c r="R58" s="3">
        <v>1</v>
      </c>
      <c r="S58" s="3">
        <v>1</v>
      </c>
      <c r="T58" s="3">
        <v>1</v>
      </c>
      <c r="U58" s="3">
        <v>1</v>
      </c>
      <c r="V58" s="16">
        <v>1</v>
      </c>
      <c r="W58" s="15">
        <v>1</v>
      </c>
      <c r="X58" s="3">
        <v>1</v>
      </c>
      <c r="Y58" s="16">
        <v>1</v>
      </c>
      <c r="Z58" s="15">
        <v>0.5</v>
      </c>
      <c r="AA58" s="16"/>
      <c r="AB58" s="59">
        <f t="shared" si="2"/>
        <v>13.5</v>
      </c>
      <c r="AC58" s="325"/>
      <c r="AE58" s="349"/>
      <c r="AF58" s="349"/>
      <c r="AG58" s="349"/>
      <c r="AH58" s="349"/>
      <c r="AI58" s="349"/>
      <c r="AJ58" s="349"/>
      <c r="AK58" s="349"/>
      <c r="AL58" s="349"/>
      <c r="AM58" s="349"/>
      <c r="AN58" s="349"/>
      <c r="AO58" s="349"/>
      <c r="AP58" s="349"/>
      <c r="AQ58" s="349"/>
      <c r="AR58" s="349"/>
      <c r="AS58" s="349"/>
      <c r="AT58" s="349"/>
      <c r="AU58" s="349"/>
      <c r="AV58" s="349"/>
    </row>
    <row r="59" spans="2:48" s="140" customFormat="1" ht="15" hidden="1">
      <c r="B59" s="1878"/>
      <c r="C59" s="1881"/>
      <c r="D59" s="83"/>
      <c r="E59" s="17" t="s">
        <v>19</v>
      </c>
      <c r="F59" s="18"/>
      <c r="G59" s="34"/>
      <c r="H59" s="226" t="s">
        <v>56</v>
      </c>
      <c r="I59" s="226"/>
      <c r="J59" s="226"/>
      <c r="K59" s="226"/>
      <c r="L59" s="27"/>
      <c r="M59" s="3">
        <v>1</v>
      </c>
      <c r="N59" s="3">
        <v>1</v>
      </c>
      <c r="O59" s="3">
        <v>1</v>
      </c>
      <c r="P59" s="16">
        <v>1</v>
      </c>
      <c r="Q59" s="15">
        <v>1</v>
      </c>
      <c r="R59" s="3">
        <v>1</v>
      </c>
      <c r="S59" s="3">
        <v>1</v>
      </c>
      <c r="T59" s="3">
        <v>1</v>
      </c>
      <c r="U59" s="3">
        <v>1</v>
      </c>
      <c r="V59" s="16">
        <v>1</v>
      </c>
      <c r="W59" s="15">
        <v>1</v>
      </c>
      <c r="X59" s="3">
        <v>1</v>
      </c>
      <c r="Y59" s="16">
        <v>0.5</v>
      </c>
      <c r="Z59" s="15"/>
      <c r="AA59" s="16"/>
      <c r="AB59" s="59">
        <f t="shared" si="2"/>
        <v>12.5</v>
      </c>
      <c r="AC59" s="325"/>
      <c r="AE59" s="349"/>
      <c r="AF59" s="349"/>
      <c r="AG59" s="349"/>
      <c r="AH59" s="349"/>
      <c r="AI59" s="349"/>
      <c r="AJ59" s="349"/>
      <c r="AK59" s="349"/>
      <c r="AL59" s="349"/>
      <c r="AM59" s="349"/>
      <c r="AN59" s="349"/>
      <c r="AO59" s="349"/>
      <c r="AP59" s="349"/>
      <c r="AQ59" s="349"/>
      <c r="AR59" s="349"/>
      <c r="AS59" s="349"/>
      <c r="AT59" s="349"/>
      <c r="AU59" s="349"/>
      <c r="AV59" s="349"/>
    </row>
    <row r="60" spans="2:48" s="140" customFormat="1" ht="15" hidden="1">
      <c r="B60" s="1878"/>
      <c r="C60" s="1881"/>
      <c r="D60" s="83"/>
      <c r="E60" s="17" t="s">
        <v>21</v>
      </c>
      <c r="F60" s="18"/>
      <c r="G60" s="34"/>
      <c r="H60" s="226" t="s">
        <v>56</v>
      </c>
      <c r="I60" s="226"/>
      <c r="J60" s="226"/>
      <c r="K60" s="226"/>
      <c r="L60" s="27"/>
      <c r="M60" s="3">
        <v>1</v>
      </c>
      <c r="N60" s="3">
        <v>1</v>
      </c>
      <c r="O60" s="3">
        <v>1</v>
      </c>
      <c r="P60" s="16">
        <v>1</v>
      </c>
      <c r="Q60" s="15">
        <v>1</v>
      </c>
      <c r="R60" s="3">
        <v>1</v>
      </c>
      <c r="S60" s="3">
        <v>1</v>
      </c>
      <c r="T60" s="3">
        <v>1</v>
      </c>
      <c r="U60" s="3">
        <v>1</v>
      </c>
      <c r="V60" s="16">
        <v>1</v>
      </c>
      <c r="W60" s="15">
        <v>1</v>
      </c>
      <c r="X60" s="3">
        <v>1</v>
      </c>
      <c r="Y60" s="16">
        <v>1</v>
      </c>
      <c r="Z60" s="15">
        <v>0.5</v>
      </c>
      <c r="AA60" s="16"/>
      <c r="AB60" s="59">
        <f t="shared" si="2"/>
        <v>13.5</v>
      </c>
      <c r="AC60" s="325"/>
      <c r="AE60" s="349"/>
      <c r="AF60" s="349"/>
      <c r="AG60" s="349"/>
      <c r="AH60" s="349"/>
      <c r="AI60" s="349"/>
      <c r="AJ60" s="349"/>
      <c r="AK60" s="349"/>
      <c r="AL60" s="349"/>
      <c r="AM60" s="349"/>
      <c r="AN60" s="349"/>
      <c r="AO60" s="349"/>
      <c r="AP60" s="349"/>
      <c r="AQ60" s="349"/>
      <c r="AR60" s="349"/>
      <c r="AS60" s="349"/>
      <c r="AT60" s="349"/>
      <c r="AU60" s="349"/>
      <c r="AV60" s="349"/>
    </row>
    <row r="61" spans="2:48" s="140" customFormat="1" ht="15" hidden="1">
      <c r="B61" s="1878"/>
      <c r="C61" s="1881"/>
      <c r="D61" s="83"/>
      <c r="E61" s="17" t="s">
        <v>21</v>
      </c>
      <c r="F61" s="18"/>
      <c r="G61" s="34"/>
      <c r="H61" s="226" t="s">
        <v>56</v>
      </c>
      <c r="I61" s="226"/>
      <c r="J61" s="226"/>
      <c r="K61" s="226"/>
      <c r="L61" s="27"/>
      <c r="M61" s="3">
        <v>1</v>
      </c>
      <c r="N61" s="3">
        <v>1</v>
      </c>
      <c r="O61" s="3">
        <v>1</v>
      </c>
      <c r="P61" s="16">
        <v>1</v>
      </c>
      <c r="Q61" s="15">
        <v>1</v>
      </c>
      <c r="R61" s="3">
        <v>1</v>
      </c>
      <c r="S61" s="3">
        <v>1</v>
      </c>
      <c r="T61" s="3">
        <v>1</v>
      </c>
      <c r="U61" s="3">
        <v>1</v>
      </c>
      <c r="V61" s="16">
        <v>1</v>
      </c>
      <c r="W61" s="15">
        <v>1</v>
      </c>
      <c r="X61" s="3">
        <v>0.5</v>
      </c>
      <c r="Y61" s="16"/>
      <c r="Z61" s="15"/>
      <c r="AA61" s="16"/>
      <c r="AB61" s="59">
        <f t="shared" si="2"/>
        <v>11.5</v>
      </c>
      <c r="AC61" s="325"/>
      <c r="AE61" s="349"/>
      <c r="AF61" s="349"/>
      <c r="AG61" s="349"/>
      <c r="AH61" s="349"/>
      <c r="AI61" s="349"/>
      <c r="AJ61" s="349"/>
      <c r="AK61" s="349"/>
      <c r="AL61" s="349"/>
      <c r="AM61" s="349"/>
      <c r="AN61" s="349"/>
      <c r="AO61" s="349"/>
      <c r="AP61" s="349"/>
      <c r="AQ61" s="349"/>
      <c r="AR61" s="349"/>
      <c r="AS61" s="349"/>
      <c r="AT61" s="349"/>
      <c r="AU61" s="349"/>
      <c r="AV61" s="349"/>
    </row>
    <row r="62" spans="2:48" s="140" customFormat="1" ht="15" hidden="1">
      <c r="B62" s="1878"/>
      <c r="C62" s="1881"/>
      <c r="D62" s="98" t="s">
        <v>44</v>
      </c>
      <c r="E62" s="17" t="s">
        <v>22</v>
      </c>
      <c r="F62" s="18"/>
      <c r="G62" s="34"/>
      <c r="H62" s="226" t="s">
        <v>56</v>
      </c>
      <c r="I62" s="226"/>
      <c r="J62" s="226"/>
      <c r="K62" s="226"/>
      <c r="L62" s="27"/>
      <c r="M62" s="3">
        <v>1</v>
      </c>
      <c r="N62" s="3">
        <v>1</v>
      </c>
      <c r="O62" s="3">
        <v>1</v>
      </c>
      <c r="P62" s="16">
        <v>1</v>
      </c>
      <c r="Q62" s="15">
        <v>1</v>
      </c>
      <c r="R62" s="3">
        <v>1</v>
      </c>
      <c r="S62" s="3">
        <v>1</v>
      </c>
      <c r="T62" s="3">
        <v>1</v>
      </c>
      <c r="U62" s="3">
        <v>1</v>
      </c>
      <c r="V62" s="16">
        <v>1</v>
      </c>
      <c r="W62" s="15">
        <v>1</v>
      </c>
      <c r="X62" s="3">
        <v>1</v>
      </c>
      <c r="Y62" s="16">
        <v>1</v>
      </c>
      <c r="Z62" s="15">
        <v>1</v>
      </c>
      <c r="AA62" s="16">
        <v>0.5</v>
      </c>
      <c r="AB62" s="59">
        <f t="shared" si="2"/>
        <v>14.5</v>
      </c>
      <c r="AC62" s="325"/>
      <c r="AE62" s="349"/>
      <c r="AF62" s="349"/>
      <c r="AG62" s="349"/>
      <c r="AH62" s="349"/>
      <c r="AI62" s="349"/>
      <c r="AJ62" s="349"/>
      <c r="AK62" s="349"/>
      <c r="AL62" s="349"/>
      <c r="AM62" s="349"/>
      <c r="AN62" s="349"/>
      <c r="AO62" s="349"/>
      <c r="AP62" s="349"/>
      <c r="AQ62" s="349"/>
      <c r="AR62" s="349"/>
      <c r="AS62" s="349"/>
      <c r="AT62" s="349"/>
      <c r="AU62" s="349"/>
      <c r="AV62" s="349"/>
    </row>
    <row r="63" spans="2:48" s="140" customFormat="1" ht="15" hidden="1">
      <c r="B63" s="1878"/>
      <c r="C63" s="1881"/>
      <c r="D63" s="83"/>
      <c r="E63" s="17" t="s">
        <v>22</v>
      </c>
      <c r="F63" s="18"/>
      <c r="G63" s="34"/>
      <c r="H63" s="226" t="s">
        <v>56</v>
      </c>
      <c r="I63" s="226"/>
      <c r="J63" s="226"/>
      <c r="K63" s="226"/>
      <c r="L63" s="27"/>
      <c r="M63" s="3">
        <v>1</v>
      </c>
      <c r="N63" s="3">
        <v>1</v>
      </c>
      <c r="O63" s="3">
        <v>1</v>
      </c>
      <c r="P63" s="16">
        <v>1</v>
      </c>
      <c r="Q63" s="15">
        <v>0.5</v>
      </c>
      <c r="R63" s="3"/>
      <c r="S63" s="3"/>
      <c r="T63" s="3"/>
      <c r="U63" s="3"/>
      <c r="V63" s="16"/>
      <c r="W63" s="15"/>
      <c r="X63" s="3"/>
      <c r="Y63" s="16"/>
      <c r="Z63" s="15"/>
      <c r="AA63" s="16"/>
      <c r="AB63" s="59">
        <f t="shared" si="2"/>
        <v>4.5</v>
      </c>
      <c r="AC63" s="325"/>
      <c r="AE63" s="349"/>
      <c r="AF63" s="349"/>
      <c r="AG63" s="349"/>
      <c r="AH63" s="349"/>
      <c r="AI63" s="349"/>
      <c r="AJ63" s="349"/>
      <c r="AK63" s="349"/>
      <c r="AL63" s="349"/>
      <c r="AM63" s="349"/>
      <c r="AN63" s="349"/>
      <c r="AO63" s="349"/>
      <c r="AP63" s="349"/>
      <c r="AQ63" s="349"/>
      <c r="AR63" s="349"/>
      <c r="AS63" s="349"/>
      <c r="AT63" s="349"/>
      <c r="AU63" s="349"/>
      <c r="AV63" s="349"/>
    </row>
    <row r="64" spans="2:48" s="140" customFormat="1" ht="15" hidden="1">
      <c r="B64" s="1878"/>
      <c r="C64" s="1880" t="s">
        <v>419</v>
      </c>
      <c r="D64" s="82"/>
      <c r="E64" s="95" t="s">
        <v>21</v>
      </c>
      <c r="F64" s="18"/>
      <c r="G64" s="34"/>
      <c r="H64" s="226" t="s">
        <v>56</v>
      </c>
      <c r="I64" s="226"/>
      <c r="J64" s="226"/>
      <c r="K64" s="226"/>
      <c r="L64" s="27"/>
      <c r="M64" s="3">
        <v>1</v>
      </c>
      <c r="N64" s="3">
        <v>1</v>
      </c>
      <c r="O64" s="3">
        <v>1</v>
      </c>
      <c r="P64" s="16">
        <v>1</v>
      </c>
      <c r="Q64" s="15">
        <v>1</v>
      </c>
      <c r="R64" s="3">
        <v>1</v>
      </c>
      <c r="S64" s="3">
        <v>1</v>
      </c>
      <c r="T64" s="3">
        <v>1</v>
      </c>
      <c r="U64" s="3">
        <v>1</v>
      </c>
      <c r="V64" s="16">
        <v>1</v>
      </c>
      <c r="W64" s="15">
        <v>1</v>
      </c>
      <c r="X64" s="3">
        <v>1</v>
      </c>
      <c r="Y64" s="16">
        <v>1</v>
      </c>
      <c r="Z64" s="15">
        <v>1</v>
      </c>
      <c r="AA64" s="16">
        <v>0.5</v>
      </c>
      <c r="AB64" s="59">
        <f t="shared" si="2"/>
        <v>14.5</v>
      </c>
      <c r="AC64" s="325"/>
      <c r="AE64" s="349"/>
      <c r="AF64" s="349"/>
      <c r="AG64" s="349"/>
      <c r="AH64" s="349"/>
      <c r="AI64" s="349"/>
      <c r="AJ64" s="349"/>
      <c r="AK64" s="349"/>
      <c r="AL64" s="349"/>
      <c r="AM64" s="349"/>
      <c r="AN64" s="349"/>
      <c r="AO64" s="349"/>
      <c r="AP64" s="349"/>
      <c r="AQ64" s="349"/>
      <c r="AR64" s="349"/>
      <c r="AS64" s="349"/>
      <c r="AT64" s="349"/>
      <c r="AU64" s="349"/>
      <c r="AV64" s="349"/>
    </row>
    <row r="65" spans="2:48" s="140" customFormat="1" ht="15" hidden="1">
      <c r="B65" s="1878"/>
      <c r="C65" s="1881"/>
      <c r="D65" s="83"/>
      <c r="E65" s="1" t="s">
        <v>21</v>
      </c>
      <c r="F65" s="18"/>
      <c r="G65" s="34"/>
      <c r="H65" s="226" t="s">
        <v>56</v>
      </c>
      <c r="I65" s="226"/>
      <c r="J65" s="226"/>
      <c r="K65" s="226"/>
      <c r="L65" s="27"/>
      <c r="M65" s="3">
        <v>1</v>
      </c>
      <c r="N65" s="3">
        <v>1</v>
      </c>
      <c r="O65" s="3">
        <v>1</v>
      </c>
      <c r="P65" s="16">
        <v>1</v>
      </c>
      <c r="Q65" s="15">
        <v>1</v>
      </c>
      <c r="R65" s="3">
        <v>1</v>
      </c>
      <c r="S65" s="3">
        <v>1</v>
      </c>
      <c r="T65" s="3">
        <v>1</v>
      </c>
      <c r="U65" s="3">
        <v>1</v>
      </c>
      <c r="V65" s="16">
        <v>1</v>
      </c>
      <c r="W65" s="15">
        <v>1</v>
      </c>
      <c r="X65" s="3">
        <v>1</v>
      </c>
      <c r="Y65" s="16">
        <v>0.5</v>
      </c>
      <c r="Z65" s="15"/>
      <c r="AA65" s="16"/>
      <c r="AB65" s="59">
        <f t="shared" si="2"/>
        <v>12.5</v>
      </c>
      <c r="AC65" s="325"/>
      <c r="AE65" s="349"/>
      <c r="AF65" s="349"/>
      <c r="AG65" s="349"/>
      <c r="AH65" s="349"/>
      <c r="AI65" s="349"/>
      <c r="AJ65" s="349"/>
      <c r="AK65" s="349"/>
      <c r="AL65" s="349"/>
      <c r="AM65" s="349"/>
      <c r="AN65" s="349"/>
      <c r="AO65" s="349"/>
      <c r="AP65" s="349"/>
      <c r="AQ65" s="349"/>
      <c r="AR65" s="349"/>
      <c r="AS65" s="349"/>
      <c r="AT65" s="349"/>
      <c r="AU65" s="349"/>
      <c r="AV65" s="349"/>
    </row>
    <row r="66" spans="2:48" s="140" customFormat="1" ht="15" hidden="1">
      <c r="B66" s="1878"/>
      <c r="C66" s="1881"/>
      <c r="D66" s="83"/>
      <c r="E66" s="1" t="s">
        <v>21</v>
      </c>
      <c r="F66" s="18"/>
      <c r="G66" s="34"/>
      <c r="H66" s="226" t="s">
        <v>56</v>
      </c>
      <c r="I66" s="226"/>
      <c r="J66" s="226"/>
      <c r="K66" s="226"/>
      <c r="L66" s="27"/>
      <c r="M66" s="3"/>
      <c r="N66" s="3">
        <v>1</v>
      </c>
      <c r="O66" s="3">
        <v>1</v>
      </c>
      <c r="P66" s="16">
        <v>1</v>
      </c>
      <c r="Q66" s="15">
        <v>1</v>
      </c>
      <c r="R66" s="3">
        <v>1</v>
      </c>
      <c r="S66" s="3">
        <v>1</v>
      </c>
      <c r="T66" s="3">
        <v>1</v>
      </c>
      <c r="U66" s="3">
        <v>1</v>
      </c>
      <c r="V66" s="16">
        <v>1</v>
      </c>
      <c r="W66" s="15">
        <v>1</v>
      </c>
      <c r="X66" s="3"/>
      <c r="Y66" s="16"/>
      <c r="Z66" s="15"/>
      <c r="AA66" s="16"/>
      <c r="AB66" s="59">
        <f t="shared" si="2"/>
        <v>10</v>
      </c>
      <c r="AC66" s="325"/>
      <c r="AE66" s="349"/>
      <c r="AF66" s="349"/>
      <c r="AG66" s="349"/>
      <c r="AH66" s="349"/>
      <c r="AI66" s="349"/>
      <c r="AJ66" s="349"/>
      <c r="AK66" s="349"/>
      <c r="AL66" s="349"/>
      <c r="AM66" s="349"/>
      <c r="AN66" s="349"/>
      <c r="AO66" s="349"/>
      <c r="AP66" s="349"/>
      <c r="AQ66" s="349"/>
      <c r="AR66" s="349"/>
      <c r="AS66" s="349"/>
      <c r="AT66" s="349"/>
      <c r="AU66" s="349"/>
      <c r="AV66" s="349"/>
    </row>
    <row r="67" spans="2:48" s="140" customFormat="1" ht="15" hidden="1">
      <c r="B67" s="1878"/>
      <c r="C67" s="1881"/>
      <c r="D67" s="83"/>
      <c r="E67" s="1" t="s">
        <v>22</v>
      </c>
      <c r="F67" s="18"/>
      <c r="G67" s="34"/>
      <c r="H67" s="226" t="s">
        <v>56</v>
      </c>
      <c r="I67" s="226"/>
      <c r="J67" s="226"/>
      <c r="K67" s="226"/>
      <c r="L67" s="27"/>
      <c r="M67" s="3">
        <v>1</v>
      </c>
      <c r="N67" s="3">
        <v>1</v>
      </c>
      <c r="O67" s="3">
        <v>1</v>
      </c>
      <c r="P67" s="16">
        <v>1</v>
      </c>
      <c r="Q67" s="15">
        <v>1</v>
      </c>
      <c r="R67" s="3">
        <v>1</v>
      </c>
      <c r="S67" s="3">
        <v>1</v>
      </c>
      <c r="T67" s="3">
        <v>1</v>
      </c>
      <c r="U67" s="3">
        <v>1</v>
      </c>
      <c r="V67" s="16">
        <v>1</v>
      </c>
      <c r="W67" s="15">
        <v>1</v>
      </c>
      <c r="X67" s="3">
        <v>1</v>
      </c>
      <c r="Y67" s="16">
        <v>1</v>
      </c>
      <c r="Z67" s="15">
        <v>1</v>
      </c>
      <c r="AA67" s="16"/>
      <c r="AB67" s="59">
        <f t="shared" si="2"/>
        <v>14</v>
      </c>
      <c r="AC67" s="325"/>
      <c r="AE67" s="349"/>
      <c r="AF67" s="349"/>
      <c r="AG67" s="349"/>
      <c r="AH67" s="349"/>
      <c r="AI67" s="349"/>
      <c r="AJ67" s="349"/>
      <c r="AK67" s="349"/>
      <c r="AL67" s="349"/>
      <c r="AM67" s="349"/>
      <c r="AN67" s="349"/>
      <c r="AO67" s="349"/>
      <c r="AP67" s="349"/>
      <c r="AQ67" s="349"/>
      <c r="AR67" s="349"/>
      <c r="AS67" s="349"/>
      <c r="AT67" s="349"/>
      <c r="AU67" s="349"/>
      <c r="AV67" s="349"/>
    </row>
    <row r="68" spans="2:48" s="140" customFormat="1" ht="15" hidden="1">
      <c r="B68" s="1878"/>
      <c r="C68" s="1881"/>
      <c r="D68" s="83"/>
      <c r="E68" s="1" t="s">
        <v>22</v>
      </c>
      <c r="F68" s="18"/>
      <c r="G68" s="34"/>
      <c r="H68" s="226" t="s">
        <v>56</v>
      </c>
      <c r="I68" s="226"/>
      <c r="J68" s="226"/>
      <c r="K68" s="226"/>
      <c r="L68" s="27"/>
      <c r="M68" s="3"/>
      <c r="N68" s="3"/>
      <c r="O68" s="3">
        <v>1</v>
      </c>
      <c r="P68" s="16">
        <v>1</v>
      </c>
      <c r="Q68" s="15">
        <v>1</v>
      </c>
      <c r="R68" s="3">
        <v>1</v>
      </c>
      <c r="S68" s="3">
        <v>1</v>
      </c>
      <c r="T68" s="3">
        <v>1</v>
      </c>
      <c r="U68" s="3">
        <v>1</v>
      </c>
      <c r="V68" s="16">
        <v>1</v>
      </c>
      <c r="W68" s="15"/>
      <c r="X68" s="3"/>
      <c r="Y68" s="16"/>
      <c r="Z68" s="15"/>
      <c r="AA68" s="16"/>
      <c r="AB68" s="59">
        <f t="shared" si="2"/>
        <v>8</v>
      </c>
      <c r="AC68" s="325"/>
      <c r="AE68" s="349"/>
      <c r="AF68" s="349"/>
      <c r="AG68" s="349"/>
      <c r="AH68" s="349"/>
      <c r="AI68" s="349"/>
      <c r="AJ68" s="349"/>
      <c r="AK68" s="349"/>
      <c r="AL68" s="349"/>
      <c r="AM68" s="349"/>
      <c r="AN68" s="349"/>
      <c r="AO68" s="349"/>
      <c r="AP68" s="349"/>
      <c r="AQ68" s="349"/>
      <c r="AR68" s="349"/>
      <c r="AS68" s="349"/>
      <c r="AT68" s="349"/>
      <c r="AU68" s="349"/>
      <c r="AV68" s="349"/>
    </row>
    <row r="69" spans="2:48" s="140" customFormat="1" ht="15" hidden="1">
      <c r="B69" s="1878"/>
      <c r="C69" s="1881"/>
      <c r="D69" s="83"/>
      <c r="E69" s="1" t="s">
        <v>22</v>
      </c>
      <c r="F69" s="18"/>
      <c r="G69" s="34"/>
      <c r="H69" s="226" t="s">
        <v>56</v>
      </c>
      <c r="I69" s="226"/>
      <c r="J69" s="226"/>
      <c r="K69" s="226"/>
      <c r="L69" s="27"/>
      <c r="M69" s="3"/>
      <c r="N69" s="3"/>
      <c r="O69" s="3">
        <v>1</v>
      </c>
      <c r="P69" s="16">
        <v>1</v>
      </c>
      <c r="Q69" s="15">
        <v>1</v>
      </c>
      <c r="R69" s="3">
        <v>1</v>
      </c>
      <c r="S69" s="3">
        <v>1</v>
      </c>
      <c r="T69" s="3">
        <v>1</v>
      </c>
      <c r="U69" s="3">
        <v>1</v>
      </c>
      <c r="V69" s="16"/>
      <c r="W69" s="15"/>
      <c r="X69" s="3"/>
      <c r="Y69" s="16"/>
      <c r="Z69" s="15"/>
      <c r="AA69" s="16"/>
      <c r="AB69" s="59">
        <f t="shared" si="2"/>
        <v>7</v>
      </c>
      <c r="AC69" s="325"/>
      <c r="AE69" s="349"/>
      <c r="AF69" s="349"/>
      <c r="AG69" s="349"/>
      <c r="AH69" s="349"/>
      <c r="AI69" s="349"/>
      <c r="AJ69" s="349"/>
      <c r="AK69" s="349"/>
      <c r="AL69" s="349"/>
      <c r="AM69" s="349"/>
      <c r="AN69" s="349"/>
      <c r="AO69" s="349"/>
      <c r="AP69" s="349"/>
      <c r="AQ69" s="349"/>
      <c r="AR69" s="349"/>
      <c r="AS69" s="349"/>
      <c r="AT69" s="349"/>
      <c r="AU69" s="349"/>
      <c r="AV69" s="349"/>
    </row>
    <row r="70" spans="2:48" s="140" customFormat="1" ht="16" hidden="1" thickBot="1">
      <c r="B70" s="1878"/>
      <c r="C70" s="1881"/>
      <c r="D70" s="83"/>
      <c r="E70" s="44" t="s">
        <v>22</v>
      </c>
      <c r="F70" s="46"/>
      <c r="G70" s="259"/>
      <c r="H70" s="224" t="s">
        <v>56</v>
      </c>
      <c r="I70" s="224"/>
      <c r="J70" s="224"/>
      <c r="K70" s="224"/>
      <c r="L70" s="51"/>
      <c r="M70" s="8"/>
      <c r="N70" s="8"/>
      <c r="O70" s="8">
        <v>1</v>
      </c>
      <c r="P70" s="22">
        <v>1</v>
      </c>
      <c r="Q70" s="21">
        <v>1</v>
      </c>
      <c r="R70" s="8">
        <v>1</v>
      </c>
      <c r="S70" s="8">
        <v>1</v>
      </c>
      <c r="T70" s="8">
        <v>1</v>
      </c>
      <c r="U70" s="8">
        <v>1</v>
      </c>
      <c r="V70" s="22"/>
      <c r="W70" s="21"/>
      <c r="X70" s="8"/>
      <c r="Y70" s="22"/>
      <c r="Z70" s="23"/>
      <c r="AA70" s="24"/>
      <c r="AB70" s="59">
        <f t="shared" si="2"/>
        <v>7</v>
      </c>
      <c r="AC70" s="329"/>
      <c r="AE70" s="349"/>
      <c r="AF70" s="349"/>
      <c r="AG70" s="349"/>
      <c r="AH70" s="349"/>
      <c r="AI70" s="349"/>
      <c r="AJ70" s="349"/>
      <c r="AK70" s="349"/>
      <c r="AL70" s="349"/>
      <c r="AM70" s="349"/>
      <c r="AN70" s="349"/>
      <c r="AO70" s="349"/>
      <c r="AP70" s="349"/>
      <c r="AQ70" s="349"/>
      <c r="AR70" s="349"/>
      <c r="AS70" s="349"/>
      <c r="AT70" s="349"/>
      <c r="AU70" s="349"/>
      <c r="AV70" s="349"/>
    </row>
    <row r="71" spans="2:48" s="140" customFormat="1" ht="15" hidden="1">
      <c r="B71" s="1878"/>
      <c r="C71" s="1882" t="s">
        <v>187</v>
      </c>
      <c r="D71" s="165"/>
      <c r="E71" s="93" t="s">
        <v>19</v>
      </c>
      <c r="F71" s="106"/>
      <c r="G71" s="252" t="s">
        <v>224</v>
      </c>
      <c r="H71" s="222" t="s">
        <v>17</v>
      </c>
      <c r="I71" s="223"/>
      <c r="J71" s="223"/>
      <c r="K71" s="223"/>
      <c r="L71" s="289"/>
      <c r="M71" s="127">
        <v>1</v>
      </c>
      <c r="N71" s="127">
        <v>1</v>
      </c>
      <c r="O71" s="128">
        <v>1</v>
      </c>
      <c r="P71" s="129">
        <v>1</v>
      </c>
      <c r="Q71" s="130">
        <v>1</v>
      </c>
      <c r="R71" s="128">
        <v>1</v>
      </c>
      <c r="S71" s="128">
        <v>1</v>
      </c>
      <c r="T71" s="128">
        <v>1</v>
      </c>
      <c r="U71" s="128">
        <v>1</v>
      </c>
      <c r="V71" s="129">
        <v>1</v>
      </c>
      <c r="W71" s="130">
        <v>1</v>
      </c>
      <c r="X71" s="131">
        <v>1</v>
      </c>
      <c r="Y71" s="129">
        <v>1</v>
      </c>
      <c r="Z71" s="435">
        <v>0.5</v>
      </c>
      <c r="AA71" s="14"/>
      <c r="AB71" s="35">
        <f>SUM(L71:AA71)</f>
        <v>13.5</v>
      </c>
      <c r="AC71" s="1883" t="s">
        <v>130</v>
      </c>
      <c r="AE71" s="349"/>
      <c r="AF71" s="349"/>
      <c r="AG71" s="349"/>
      <c r="AH71" s="349"/>
      <c r="AI71" s="349"/>
      <c r="AJ71" s="349"/>
      <c r="AK71" s="349"/>
      <c r="AL71" s="349"/>
      <c r="AM71" s="349"/>
      <c r="AN71" s="349"/>
      <c r="AO71" s="349"/>
      <c r="AP71" s="349"/>
      <c r="AQ71" s="349"/>
      <c r="AR71" s="349"/>
      <c r="AS71" s="349"/>
      <c r="AT71" s="349"/>
      <c r="AU71" s="349"/>
      <c r="AV71" s="349"/>
    </row>
    <row r="72" spans="2:48" s="140" customFormat="1" ht="15" hidden="1">
      <c r="B72" s="1878"/>
      <c r="C72" s="1881"/>
      <c r="D72" s="83"/>
      <c r="E72" s="95" t="s">
        <v>19</v>
      </c>
      <c r="F72" s="120"/>
      <c r="G72" s="253" t="s">
        <v>225</v>
      </c>
      <c r="H72" s="226" t="s">
        <v>17</v>
      </c>
      <c r="I72" s="226"/>
      <c r="J72" s="226"/>
      <c r="K72" s="226"/>
      <c r="L72" s="75"/>
      <c r="M72" s="118">
        <v>1</v>
      </c>
      <c r="N72" s="67">
        <v>1</v>
      </c>
      <c r="O72" s="67">
        <v>1</v>
      </c>
      <c r="P72" s="69">
        <v>1</v>
      </c>
      <c r="Q72" s="70">
        <v>1</v>
      </c>
      <c r="R72" s="67">
        <v>1</v>
      </c>
      <c r="S72" s="67">
        <v>1</v>
      </c>
      <c r="T72" s="67">
        <v>1</v>
      </c>
      <c r="U72" s="67">
        <v>1</v>
      </c>
      <c r="V72" s="69">
        <v>1</v>
      </c>
      <c r="W72" s="70">
        <v>1</v>
      </c>
      <c r="X72" s="68">
        <v>1</v>
      </c>
      <c r="Y72" s="69">
        <v>1</v>
      </c>
      <c r="Z72" s="70"/>
      <c r="AA72" s="16"/>
      <c r="AB72" s="38">
        <f t="shared" ref="AB72:AB74" si="8">SUM(L72:AA72)</f>
        <v>13</v>
      </c>
      <c r="AC72" s="1883"/>
      <c r="AE72" s="349"/>
      <c r="AF72" s="349"/>
      <c r="AG72" s="349"/>
      <c r="AH72" s="349"/>
      <c r="AI72" s="349"/>
      <c r="AJ72" s="349"/>
      <c r="AK72" s="349"/>
      <c r="AL72" s="349"/>
      <c r="AM72" s="349"/>
      <c r="AN72" s="349"/>
      <c r="AO72" s="349"/>
      <c r="AP72" s="349"/>
      <c r="AQ72" s="349"/>
      <c r="AR72" s="349"/>
      <c r="AS72" s="349"/>
      <c r="AT72" s="349"/>
      <c r="AU72" s="349"/>
      <c r="AV72" s="349"/>
    </row>
    <row r="73" spans="2:48" s="140" customFormat="1" ht="15" hidden="1">
      <c r="B73" s="1878"/>
      <c r="C73" s="1881"/>
      <c r="D73" s="83"/>
      <c r="E73" s="234" t="s">
        <v>19</v>
      </c>
      <c r="F73" s="18"/>
      <c r="G73" s="34"/>
      <c r="H73" s="226" t="s">
        <v>59</v>
      </c>
      <c r="I73" s="226"/>
      <c r="J73" s="226"/>
      <c r="K73" s="226"/>
      <c r="L73" s="75"/>
      <c r="M73" s="67"/>
      <c r="N73" s="67">
        <v>0.5</v>
      </c>
      <c r="O73" s="67">
        <v>1</v>
      </c>
      <c r="P73" s="69">
        <v>1</v>
      </c>
      <c r="Q73" s="70">
        <v>1</v>
      </c>
      <c r="R73" s="67">
        <v>1</v>
      </c>
      <c r="S73" s="67">
        <v>1</v>
      </c>
      <c r="T73" s="67">
        <v>1</v>
      </c>
      <c r="U73" s="67">
        <v>1</v>
      </c>
      <c r="V73" s="69">
        <v>1</v>
      </c>
      <c r="W73" s="70">
        <v>1</v>
      </c>
      <c r="X73" s="71">
        <v>1</v>
      </c>
      <c r="Y73" s="69"/>
      <c r="Z73" s="70"/>
      <c r="AA73" s="436"/>
      <c r="AB73" s="38">
        <f t="shared" si="8"/>
        <v>10.5</v>
      </c>
      <c r="AC73" s="1883"/>
      <c r="AE73" s="349"/>
      <c r="AF73" s="349"/>
      <c r="AG73" s="349"/>
      <c r="AH73" s="349"/>
      <c r="AI73" s="349"/>
      <c r="AJ73" s="349"/>
      <c r="AK73" s="349"/>
      <c r="AL73" s="349"/>
      <c r="AM73" s="349"/>
      <c r="AN73" s="349"/>
      <c r="AO73" s="349"/>
      <c r="AP73" s="349"/>
      <c r="AQ73" s="349"/>
      <c r="AR73" s="349"/>
      <c r="AS73" s="349"/>
      <c r="AT73" s="349"/>
      <c r="AU73" s="349"/>
      <c r="AV73" s="349"/>
    </row>
    <row r="74" spans="2:48" s="140" customFormat="1" ht="15" hidden="1">
      <c r="B74" s="1878"/>
      <c r="C74" s="1881"/>
      <c r="D74" s="83"/>
      <c r="E74" s="44" t="s">
        <v>21</v>
      </c>
      <c r="F74" s="46"/>
      <c r="G74" s="259"/>
      <c r="H74" s="224" t="s">
        <v>59</v>
      </c>
      <c r="I74" s="224"/>
      <c r="J74" s="224"/>
      <c r="K74" s="224"/>
      <c r="L74" s="290"/>
      <c r="M74" s="179"/>
      <c r="N74" s="179">
        <v>0.5</v>
      </c>
      <c r="O74" s="179">
        <v>1</v>
      </c>
      <c r="P74" s="180">
        <v>1</v>
      </c>
      <c r="Q74" s="181">
        <v>1</v>
      </c>
      <c r="R74" s="179">
        <v>1</v>
      </c>
      <c r="S74" s="179">
        <v>1</v>
      </c>
      <c r="T74" s="179">
        <v>1</v>
      </c>
      <c r="U74" s="179">
        <v>1</v>
      </c>
      <c r="V74" s="180">
        <v>1</v>
      </c>
      <c r="W74" s="181">
        <v>1</v>
      </c>
      <c r="X74" s="182">
        <v>1</v>
      </c>
      <c r="Y74" s="180"/>
      <c r="Z74" s="181"/>
      <c r="AA74" s="293"/>
      <c r="AB74" s="340">
        <f t="shared" si="8"/>
        <v>10.5</v>
      </c>
      <c r="AC74" s="1883"/>
      <c r="AE74" s="349"/>
      <c r="AF74" s="349"/>
      <c r="AG74" s="349"/>
      <c r="AH74" s="349"/>
      <c r="AI74" s="349"/>
      <c r="AJ74" s="349"/>
      <c r="AK74" s="349"/>
      <c r="AL74" s="349"/>
      <c r="AM74" s="349"/>
      <c r="AN74" s="349"/>
      <c r="AO74" s="349"/>
      <c r="AP74" s="349"/>
      <c r="AQ74" s="349"/>
      <c r="AR74" s="349"/>
      <c r="AS74" s="349"/>
      <c r="AT74" s="349"/>
      <c r="AU74" s="349"/>
      <c r="AV74" s="349"/>
    </row>
    <row r="75" spans="2:48" s="150" customFormat="1" ht="16" hidden="1" thickBot="1">
      <c r="B75" s="1879"/>
      <c r="C75" s="1867" t="s">
        <v>16</v>
      </c>
      <c r="D75" s="1868"/>
      <c r="E75" s="157"/>
      <c r="F75" s="157"/>
      <c r="G75" s="256"/>
      <c r="H75" s="437"/>
      <c r="I75" s="437"/>
      <c r="J75" s="437"/>
      <c r="K75" s="437"/>
      <c r="L75" s="161">
        <f>SUM(L56:L74)</f>
        <v>0</v>
      </c>
      <c r="M75" s="178">
        <f>SUM(M56:M74)</f>
        <v>13</v>
      </c>
      <c r="N75" s="178">
        <f t="shared" ref="N75:AB75" si="9">SUM(N56:N74)</f>
        <v>15</v>
      </c>
      <c r="O75" s="178">
        <f t="shared" si="9"/>
        <v>19</v>
      </c>
      <c r="P75" s="185">
        <f t="shared" si="9"/>
        <v>19</v>
      </c>
      <c r="Q75" s="161">
        <f t="shared" si="9"/>
        <v>18.5</v>
      </c>
      <c r="R75" s="178">
        <f t="shared" si="9"/>
        <v>18</v>
      </c>
      <c r="S75" s="178">
        <f t="shared" si="9"/>
        <v>18</v>
      </c>
      <c r="T75" s="178">
        <f t="shared" si="9"/>
        <v>18</v>
      </c>
      <c r="U75" s="178">
        <f t="shared" si="9"/>
        <v>18</v>
      </c>
      <c r="V75" s="185">
        <f t="shared" si="9"/>
        <v>16</v>
      </c>
      <c r="W75" s="161">
        <f t="shared" si="9"/>
        <v>15</v>
      </c>
      <c r="X75" s="178">
        <f t="shared" si="9"/>
        <v>13.5</v>
      </c>
      <c r="Y75" s="185">
        <f t="shared" si="9"/>
        <v>10</v>
      </c>
      <c r="Z75" s="161">
        <f t="shared" si="9"/>
        <v>6.5</v>
      </c>
      <c r="AA75" s="185">
        <f t="shared" si="9"/>
        <v>2</v>
      </c>
      <c r="AB75" s="341">
        <f t="shared" si="9"/>
        <v>219.5</v>
      </c>
      <c r="AC75" s="132"/>
      <c r="AE75" s="349"/>
      <c r="AF75" s="349"/>
      <c r="AG75" s="349"/>
      <c r="AH75" s="349"/>
      <c r="AI75" s="349"/>
      <c r="AJ75" s="349"/>
      <c r="AK75" s="349"/>
      <c r="AL75" s="349"/>
      <c r="AM75" s="349"/>
      <c r="AN75" s="349"/>
      <c r="AO75" s="349"/>
      <c r="AP75" s="349"/>
      <c r="AQ75" s="349"/>
      <c r="AR75" s="349"/>
      <c r="AS75" s="349"/>
      <c r="AT75" s="349"/>
      <c r="AU75" s="349"/>
      <c r="AV75" s="349"/>
    </row>
    <row r="76" spans="2:48" s="140" customFormat="1" ht="15" hidden="1">
      <c r="B76" s="1870" t="s">
        <v>65</v>
      </c>
      <c r="C76" s="263" t="s">
        <v>420</v>
      </c>
      <c r="D76" s="115" t="s">
        <v>24</v>
      </c>
      <c r="E76" s="108" t="s">
        <v>13</v>
      </c>
      <c r="F76" s="138"/>
      <c r="G76" s="235" t="s">
        <v>421</v>
      </c>
      <c r="H76" s="438" t="s">
        <v>57</v>
      </c>
      <c r="I76" s="438"/>
      <c r="J76" s="438"/>
      <c r="K76" s="438"/>
      <c r="L76" s="52"/>
      <c r="M76" s="53">
        <v>1</v>
      </c>
      <c r="N76" s="53">
        <v>1</v>
      </c>
      <c r="O76" s="53">
        <v>1</v>
      </c>
      <c r="P76" s="54">
        <v>1</v>
      </c>
      <c r="Q76" s="52">
        <v>1</v>
      </c>
      <c r="R76" s="53">
        <v>1</v>
      </c>
      <c r="S76" s="53">
        <v>1</v>
      </c>
      <c r="T76" s="53">
        <v>1</v>
      </c>
      <c r="U76" s="53">
        <v>1</v>
      </c>
      <c r="V76" s="54">
        <v>1</v>
      </c>
      <c r="W76" s="52">
        <v>1</v>
      </c>
      <c r="X76" s="53">
        <v>1</v>
      </c>
      <c r="Y76" s="54">
        <v>1</v>
      </c>
      <c r="Z76" s="52">
        <v>1</v>
      </c>
      <c r="AA76" s="54">
        <v>1</v>
      </c>
      <c r="AB76" s="215">
        <f t="shared" ref="AB76:AB132" si="10">SUM(L76:AA76)</f>
        <v>15</v>
      </c>
      <c r="AC76" s="330"/>
      <c r="AE76" s="349"/>
      <c r="AF76" s="349"/>
      <c r="AG76" s="349"/>
      <c r="AH76" s="349"/>
      <c r="AI76" s="349"/>
      <c r="AJ76" s="349"/>
      <c r="AK76" s="349"/>
      <c r="AL76" s="349"/>
      <c r="AM76" s="349"/>
      <c r="AN76" s="349"/>
      <c r="AO76" s="349"/>
      <c r="AP76" s="349"/>
      <c r="AQ76" s="349"/>
      <c r="AR76" s="349"/>
      <c r="AS76" s="349"/>
      <c r="AT76" s="349"/>
      <c r="AU76" s="349"/>
      <c r="AV76" s="349"/>
    </row>
    <row r="77" spans="2:48" s="140" customFormat="1" ht="15" hidden="1">
      <c r="B77" s="1871"/>
      <c r="C77" s="263" t="s">
        <v>110</v>
      </c>
      <c r="D77" s="115" t="s">
        <v>24</v>
      </c>
      <c r="E77" s="108" t="s">
        <v>19</v>
      </c>
      <c r="F77" s="138"/>
      <c r="G77" s="235" t="s">
        <v>422</v>
      </c>
      <c r="H77" s="438" t="s">
        <v>57</v>
      </c>
      <c r="I77" s="438"/>
      <c r="J77" s="438"/>
      <c r="K77" s="438"/>
      <c r="L77" s="27"/>
      <c r="M77" s="28">
        <v>1</v>
      </c>
      <c r="N77" s="28">
        <v>1</v>
      </c>
      <c r="O77" s="28">
        <v>1</v>
      </c>
      <c r="P77" s="25">
        <v>1</v>
      </c>
      <c r="Q77" s="27">
        <v>1</v>
      </c>
      <c r="R77" s="28">
        <v>1</v>
      </c>
      <c r="S77" s="28">
        <v>1</v>
      </c>
      <c r="T77" s="28">
        <v>1</v>
      </c>
      <c r="U77" s="28">
        <v>1</v>
      </c>
      <c r="V77" s="25">
        <v>1</v>
      </c>
      <c r="W77" s="27">
        <v>1</v>
      </c>
      <c r="X77" s="28">
        <v>1</v>
      </c>
      <c r="Y77" s="25">
        <v>1</v>
      </c>
      <c r="Z77" s="27">
        <v>1</v>
      </c>
      <c r="AA77" s="25">
        <v>1</v>
      </c>
      <c r="AB77" s="77">
        <f t="shared" si="10"/>
        <v>15</v>
      </c>
      <c r="AC77" s="322"/>
      <c r="AE77" s="349"/>
      <c r="AF77" s="349"/>
      <c r="AG77" s="349"/>
      <c r="AH77" s="349"/>
      <c r="AI77" s="349"/>
      <c r="AJ77" s="349"/>
      <c r="AK77" s="349"/>
      <c r="AL77" s="349"/>
      <c r="AM77" s="349"/>
      <c r="AN77" s="349"/>
      <c r="AO77" s="349"/>
      <c r="AP77" s="349"/>
      <c r="AQ77" s="349"/>
      <c r="AR77" s="349"/>
      <c r="AS77" s="349"/>
      <c r="AT77" s="349"/>
      <c r="AU77" s="349"/>
      <c r="AV77" s="349"/>
    </row>
    <row r="78" spans="2:48" s="140" customFormat="1" ht="15" hidden="1">
      <c r="B78" s="1871"/>
      <c r="C78" s="263" t="s">
        <v>423</v>
      </c>
      <c r="D78" s="115" t="s">
        <v>24</v>
      </c>
      <c r="E78" s="108" t="s">
        <v>13</v>
      </c>
      <c r="F78" s="138"/>
      <c r="G78" s="235" t="s">
        <v>424</v>
      </c>
      <c r="H78" s="438" t="s">
        <v>57</v>
      </c>
      <c r="I78" s="438"/>
      <c r="J78" s="438"/>
      <c r="K78" s="438"/>
      <c r="L78" s="27"/>
      <c r="M78" s="28">
        <v>1</v>
      </c>
      <c r="N78" s="28">
        <v>1</v>
      </c>
      <c r="O78" s="28">
        <v>1</v>
      </c>
      <c r="P78" s="25">
        <v>1</v>
      </c>
      <c r="Q78" s="27">
        <v>1</v>
      </c>
      <c r="R78" s="28">
        <v>1</v>
      </c>
      <c r="S78" s="28">
        <v>1</v>
      </c>
      <c r="T78" s="28">
        <v>1</v>
      </c>
      <c r="U78" s="28">
        <v>1</v>
      </c>
      <c r="V78" s="25">
        <v>1</v>
      </c>
      <c r="W78" s="27">
        <v>1</v>
      </c>
      <c r="X78" s="28">
        <v>1</v>
      </c>
      <c r="Y78" s="25">
        <v>1</v>
      </c>
      <c r="Z78" s="27">
        <v>1</v>
      </c>
      <c r="AA78" s="25">
        <v>1</v>
      </c>
      <c r="AB78" s="77">
        <f t="shared" si="10"/>
        <v>15</v>
      </c>
      <c r="AC78" s="331" t="s">
        <v>132</v>
      </c>
      <c r="AE78" s="349"/>
      <c r="AF78" s="349"/>
      <c r="AG78" s="349"/>
      <c r="AH78" s="349"/>
      <c r="AI78" s="349"/>
      <c r="AJ78" s="349"/>
      <c r="AK78" s="349"/>
      <c r="AL78" s="349"/>
      <c r="AM78" s="349"/>
      <c r="AN78" s="349"/>
      <c r="AO78" s="349"/>
      <c r="AP78" s="349"/>
      <c r="AQ78" s="349"/>
      <c r="AR78" s="349"/>
      <c r="AS78" s="349"/>
      <c r="AT78" s="349"/>
      <c r="AU78" s="349"/>
      <c r="AV78" s="349"/>
    </row>
    <row r="79" spans="2:48" s="140" customFormat="1" ht="15" hidden="1">
      <c r="B79" s="1871"/>
      <c r="C79" s="263" t="s">
        <v>425</v>
      </c>
      <c r="D79" s="115" t="s">
        <v>24</v>
      </c>
      <c r="E79" s="108" t="s">
        <v>19</v>
      </c>
      <c r="F79" s="138"/>
      <c r="G79" s="235" t="s">
        <v>426</v>
      </c>
      <c r="H79" s="438" t="s">
        <v>57</v>
      </c>
      <c r="I79" s="438"/>
      <c r="J79" s="438"/>
      <c r="K79" s="438"/>
      <c r="L79" s="47"/>
      <c r="M79" s="28">
        <v>1</v>
      </c>
      <c r="N79" s="28">
        <v>1</v>
      </c>
      <c r="O79" s="28">
        <v>1</v>
      </c>
      <c r="P79" s="25">
        <v>1</v>
      </c>
      <c r="Q79" s="27">
        <v>1</v>
      </c>
      <c r="R79" s="28">
        <v>1</v>
      </c>
      <c r="S79" s="28">
        <v>1</v>
      </c>
      <c r="T79" s="28">
        <v>1</v>
      </c>
      <c r="U79" s="28">
        <v>1</v>
      </c>
      <c r="V79" s="25">
        <v>1</v>
      </c>
      <c r="W79" s="27">
        <v>1</v>
      </c>
      <c r="X79" s="28">
        <v>1</v>
      </c>
      <c r="Y79" s="25">
        <v>1</v>
      </c>
      <c r="Z79" s="27">
        <v>1</v>
      </c>
      <c r="AA79" s="25">
        <v>1</v>
      </c>
      <c r="AB79" s="77">
        <f t="shared" si="10"/>
        <v>15</v>
      </c>
      <c r="AC79" s="331"/>
      <c r="AE79" s="349"/>
      <c r="AF79" s="349"/>
      <c r="AG79" s="349"/>
      <c r="AH79" s="349"/>
      <c r="AI79" s="349"/>
      <c r="AJ79" s="349"/>
      <c r="AK79" s="349"/>
      <c r="AL79" s="349"/>
      <c r="AM79" s="349"/>
      <c r="AN79" s="349"/>
      <c r="AO79" s="349"/>
      <c r="AP79" s="349"/>
      <c r="AQ79" s="349"/>
      <c r="AR79" s="349"/>
      <c r="AS79" s="349"/>
      <c r="AT79" s="349"/>
      <c r="AU79" s="349"/>
      <c r="AV79" s="349"/>
    </row>
    <row r="80" spans="2:48" s="140" customFormat="1" ht="15" hidden="1">
      <c r="B80" s="1871"/>
      <c r="C80" s="263" t="s">
        <v>427</v>
      </c>
      <c r="D80" s="115" t="s">
        <v>24</v>
      </c>
      <c r="E80" s="108" t="s">
        <v>19</v>
      </c>
      <c r="F80" s="138"/>
      <c r="G80" s="235" t="s">
        <v>428</v>
      </c>
      <c r="H80" s="438" t="s">
        <v>57</v>
      </c>
      <c r="I80" s="438"/>
      <c r="J80" s="438"/>
      <c r="K80" s="438"/>
      <c r="L80" s="47"/>
      <c r="M80" s="28">
        <v>1</v>
      </c>
      <c r="N80" s="28">
        <v>1</v>
      </c>
      <c r="O80" s="28">
        <v>1</v>
      </c>
      <c r="P80" s="25">
        <v>1</v>
      </c>
      <c r="Q80" s="27">
        <v>1</v>
      </c>
      <c r="R80" s="28">
        <v>1</v>
      </c>
      <c r="S80" s="28">
        <v>1</v>
      </c>
      <c r="T80" s="28">
        <v>1</v>
      </c>
      <c r="U80" s="28">
        <v>1</v>
      </c>
      <c r="V80" s="25">
        <v>1</v>
      </c>
      <c r="W80" s="27">
        <v>1</v>
      </c>
      <c r="X80" s="28">
        <v>1</v>
      </c>
      <c r="Y80" s="25">
        <v>1</v>
      </c>
      <c r="Z80" s="27">
        <v>1</v>
      </c>
      <c r="AA80" s="25"/>
      <c r="AB80" s="77">
        <f t="shared" si="10"/>
        <v>14</v>
      </c>
      <c r="AC80" s="331" t="s">
        <v>131</v>
      </c>
      <c r="AE80" s="349"/>
      <c r="AF80" s="349"/>
      <c r="AG80" s="349"/>
      <c r="AH80" s="349"/>
      <c r="AI80" s="349"/>
      <c r="AJ80" s="349"/>
      <c r="AK80" s="349"/>
      <c r="AL80" s="349"/>
      <c r="AM80" s="349"/>
      <c r="AN80" s="349"/>
      <c r="AO80" s="349"/>
      <c r="AP80" s="349"/>
      <c r="AQ80" s="349"/>
      <c r="AR80" s="349"/>
      <c r="AS80" s="349"/>
      <c r="AT80" s="349"/>
      <c r="AU80" s="349"/>
      <c r="AV80" s="349"/>
    </row>
    <row r="81" spans="2:48" s="140" customFormat="1" ht="15" hidden="1">
      <c r="B81" s="1871"/>
      <c r="C81" s="264" t="s">
        <v>111</v>
      </c>
      <c r="D81" s="114"/>
      <c r="E81" s="110" t="s">
        <v>21</v>
      </c>
      <c r="F81" s="138"/>
      <c r="G81" s="235" t="s">
        <v>429</v>
      </c>
      <c r="H81" s="438" t="s">
        <v>57</v>
      </c>
      <c r="I81" s="438"/>
      <c r="J81" s="438"/>
      <c r="K81" s="438"/>
      <c r="L81" s="47"/>
      <c r="M81" s="28">
        <v>1</v>
      </c>
      <c r="N81" s="28">
        <v>1</v>
      </c>
      <c r="O81" s="28">
        <v>1</v>
      </c>
      <c r="P81" s="25">
        <v>1</v>
      </c>
      <c r="Q81" s="27">
        <v>1</v>
      </c>
      <c r="R81" s="28">
        <v>1</v>
      </c>
      <c r="S81" s="28">
        <v>1</v>
      </c>
      <c r="T81" s="28">
        <v>1</v>
      </c>
      <c r="U81" s="28">
        <v>1</v>
      </c>
      <c r="V81" s="25">
        <v>1</v>
      </c>
      <c r="W81" s="27">
        <v>1</v>
      </c>
      <c r="X81" s="28">
        <v>1</v>
      </c>
      <c r="Y81" s="25">
        <v>1</v>
      </c>
      <c r="Z81" s="27">
        <v>1</v>
      </c>
      <c r="AA81" s="25"/>
      <c r="AB81" s="77">
        <f t="shared" si="10"/>
        <v>14</v>
      </c>
      <c r="AC81" s="331"/>
      <c r="AE81" s="349"/>
      <c r="AF81" s="349"/>
      <c r="AG81" s="349"/>
      <c r="AH81" s="349"/>
      <c r="AI81" s="349"/>
      <c r="AJ81" s="349"/>
      <c r="AK81" s="349"/>
      <c r="AL81" s="349"/>
      <c r="AM81" s="349"/>
      <c r="AN81" s="349"/>
      <c r="AO81" s="349"/>
      <c r="AP81" s="349"/>
      <c r="AQ81" s="349"/>
      <c r="AR81" s="349"/>
      <c r="AS81" s="349"/>
      <c r="AT81" s="349"/>
      <c r="AU81" s="349"/>
      <c r="AV81" s="349"/>
    </row>
    <row r="82" spans="2:48" s="140" customFormat="1" ht="15" hidden="1">
      <c r="B82" s="1871"/>
      <c r="C82" s="264" t="s">
        <v>112</v>
      </c>
      <c r="D82" s="114"/>
      <c r="E82" s="110" t="s">
        <v>22</v>
      </c>
      <c r="F82" s="138"/>
      <c r="G82" s="235" t="s">
        <v>430</v>
      </c>
      <c r="H82" s="438" t="s">
        <v>57</v>
      </c>
      <c r="I82" s="438"/>
      <c r="J82" s="438"/>
      <c r="K82" s="438"/>
      <c r="L82" s="47"/>
      <c r="M82" s="28">
        <v>1</v>
      </c>
      <c r="N82" s="28">
        <v>1</v>
      </c>
      <c r="O82" s="28">
        <v>1</v>
      </c>
      <c r="P82" s="25">
        <v>1</v>
      </c>
      <c r="Q82" s="27">
        <v>1</v>
      </c>
      <c r="R82" s="28">
        <v>1</v>
      </c>
      <c r="S82" s="28">
        <v>1</v>
      </c>
      <c r="T82" s="28">
        <v>1</v>
      </c>
      <c r="U82" s="28">
        <v>1</v>
      </c>
      <c r="V82" s="25">
        <v>1</v>
      </c>
      <c r="W82" s="27">
        <v>1</v>
      </c>
      <c r="X82" s="28">
        <v>1</v>
      </c>
      <c r="Y82" s="25">
        <v>1</v>
      </c>
      <c r="Z82" s="27">
        <v>1</v>
      </c>
      <c r="AA82" s="25"/>
      <c r="AB82" s="77">
        <f t="shared" si="10"/>
        <v>14</v>
      </c>
      <c r="AC82" s="331"/>
      <c r="AE82" s="349"/>
      <c r="AF82" s="349"/>
      <c r="AG82" s="349"/>
      <c r="AH82" s="349"/>
      <c r="AI82" s="349"/>
      <c r="AJ82" s="349"/>
      <c r="AK82" s="349"/>
      <c r="AL82" s="349"/>
      <c r="AM82" s="349"/>
      <c r="AN82" s="349"/>
      <c r="AO82" s="349"/>
      <c r="AP82" s="349"/>
      <c r="AQ82" s="349"/>
      <c r="AR82" s="349"/>
      <c r="AS82" s="349"/>
      <c r="AT82" s="349"/>
      <c r="AU82" s="349"/>
      <c r="AV82" s="349"/>
    </row>
    <row r="83" spans="2:48" s="140" customFormat="1" ht="15" hidden="1">
      <c r="B83" s="1871"/>
      <c r="C83" s="264" t="s">
        <v>113</v>
      </c>
      <c r="D83" s="114"/>
      <c r="E83" s="111" t="s">
        <v>21</v>
      </c>
      <c r="F83" s="112"/>
      <c r="G83" s="163" t="s">
        <v>431</v>
      </c>
      <c r="H83" s="439" t="s">
        <v>57</v>
      </c>
      <c r="I83" s="439"/>
      <c r="J83" s="439"/>
      <c r="K83" s="439"/>
      <c r="L83" s="27"/>
      <c r="M83" s="28"/>
      <c r="N83" s="28"/>
      <c r="O83" s="28"/>
      <c r="P83" s="25"/>
      <c r="Q83" s="27">
        <v>1</v>
      </c>
      <c r="R83" s="28">
        <v>1</v>
      </c>
      <c r="S83" s="28">
        <v>1</v>
      </c>
      <c r="T83" s="28">
        <v>1</v>
      </c>
      <c r="U83" s="28">
        <v>1</v>
      </c>
      <c r="V83" s="25">
        <v>1</v>
      </c>
      <c r="W83" s="27">
        <v>1</v>
      </c>
      <c r="X83" s="28">
        <v>1</v>
      </c>
      <c r="Y83" s="25">
        <v>1</v>
      </c>
      <c r="Z83" s="27">
        <v>1</v>
      </c>
      <c r="AA83" s="25">
        <v>1</v>
      </c>
      <c r="AB83" s="77">
        <f t="shared" si="10"/>
        <v>11</v>
      </c>
      <c r="AC83" s="322"/>
      <c r="AE83" s="349"/>
      <c r="AF83" s="349"/>
      <c r="AG83" s="349"/>
      <c r="AH83" s="349"/>
      <c r="AI83" s="349"/>
      <c r="AJ83" s="349"/>
      <c r="AK83" s="349"/>
      <c r="AL83" s="349"/>
      <c r="AM83" s="349"/>
      <c r="AN83" s="349"/>
      <c r="AO83" s="349"/>
      <c r="AP83" s="349"/>
      <c r="AQ83" s="349"/>
      <c r="AR83" s="349"/>
      <c r="AS83" s="349"/>
      <c r="AT83" s="349"/>
      <c r="AU83" s="349"/>
      <c r="AV83" s="349"/>
    </row>
    <row r="84" spans="2:48" s="140" customFormat="1" ht="15" hidden="1">
      <c r="B84" s="1871"/>
      <c r="C84" s="264" t="s">
        <v>113</v>
      </c>
      <c r="D84" s="114"/>
      <c r="E84" s="111" t="s">
        <v>19</v>
      </c>
      <c r="F84" s="112"/>
      <c r="G84" s="163" t="s">
        <v>432</v>
      </c>
      <c r="H84" s="439" t="s">
        <v>57</v>
      </c>
      <c r="I84" s="439"/>
      <c r="J84" s="439"/>
      <c r="K84" s="439"/>
      <c r="L84" s="27"/>
      <c r="M84" s="28"/>
      <c r="N84" s="28"/>
      <c r="O84" s="28"/>
      <c r="P84" s="25"/>
      <c r="Q84" s="27">
        <v>1</v>
      </c>
      <c r="R84" s="28">
        <v>1</v>
      </c>
      <c r="S84" s="28">
        <v>1</v>
      </c>
      <c r="T84" s="28">
        <v>1</v>
      </c>
      <c r="U84" s="28">
        <v>1</v>
      </c>
      <c r="V84" s="25">
        <v>1</v>
      </c>
      <c r="W84" s="27">
        <v>1</v>
      </c>
      <c r="X84" s="28">
        <v>1</v>
      </c>
      <c r="Y84" s="25">
        <v>1</v>
      </c>
      <c r="Z84" s="27">
        <v>1</v>
      </c>
      <c r="AA84" s="25"/>
      <c r="AB84" s="77">
        <f t="shared" si="10"/>
        <v>10</v>
      </c>
      <c r="AC84" s="322"/>
      <c r="AE84" s="349"/>
      <c r="AF84" s="349"/>
      <c r="AG84" s="349"/>
      <c r="AH84" s="349"/>
      <c r="AI84" s="349"/>
      <c r="AJ84" s="349"/>
      <c r="AK84" s="349"/>
      <c r="AL84" s="349"/>
      <c r="AM84" s="349"/>
      <c r="AN84" s="349"/>
      <c r="AO84" s="349"/>
      <c r="AP84" s="349"/>
      <c r="AQ84" s="349"/>
      <c r="AR84" s="349"/>
      <c r="AS84" s="349"/>
      <c r="AT84" s="349"/>
      <c r="AU84" s="349"/>
      <c r="AV84" s="349"/>
    </row>
    <row r="85" spans="2:48" s="140" customFormat="1" ht="15" hidden="1">
      <c r="B85" s="1871"/>
      <c r="C85" s="265" t="s">
        <v>114</v>
      </c>
      <c r="D85" s="109"/>
      <c r="E85" s="110" t="s">
        <v>21</v>
      </c>
      <c r="F85" s="116"/>
      <c r="G85" s="163" t="s">
        <v>433</v>
      </c>
      <c r="H85" s="439" t="s">
        <v>57</v>
      </c>
      <c r="I85" s="439"/>
      <c r="J85" s="439"/>
      <c r="K85" s="439"/>
      <c r="L85" s="27"/>
      <c r="M85" s="28"/>
      <c r="N85" s="28"/>
      <c r="O85" s="28"/>
      <c r="P85" s="25"/>
      <c r="Q85" s="27">
        <v>1</v>
      </c>
      <c r="R85" s="28">
        <v>1</v>
      </c>
      <c r="S85" s="28">
        <v>1</v>
      </c>
      <c r="T85" s="28">
        <v>1</v>
      </c>
      <c r="U85" s="28">
        <v>1</v>
      </c>
      <c r="V85" s="25">
        <v>1</v>
      </c>
      <c r="W85" s="27">
        <v>1</v>
      </c>
      <c r="X85" s="28">
        <v>1</v>
      </c>
      <c r="Y85" s="25">
        <v>1</v>
      </c>
      <c r="Z85" s="27">
        <v>1</v>
      </c>
      <c r="AA85" s="25">
        <v>1</v>
      </c>
      <c r="AB85" s="77">
        <f t="shared" si="10"/>
        <v>11</v>
      </c>
      <c r="AC85" s="322"/>
      <c r="AE85" s="349"/>
      <c r="AF85" s="349"/>
      <c r="AG85" s="349"/>
      <c r="AH85" s="349"/>
      <c r="AI85" s="349"/>
      <c r="AJ85" s="349"/>
      <c r="AK85" s="349"/>
      <c r="AL85" s="349"/>
      <c r="AM85" s="349"/>
      <c r="AN85" s="349"/>
      <c r="AO85" s="349"/>
      <c r="AP85" s="349"/>
      <c r="AQ85" s="349"/>
      <c r="AR85" s="349"/>
      <c r="AS85" s="349"/>
      <c r="AT85" s="349"/>
      <c r="AU85" s="349"/>
      <c r="AV85" s="349"/>
    </row>
    <row r="86" spans="2:48" s="140" customFormat="1" ht="15" hidden="1">
      <c r="B86" s="1871"/>
      <c r="C86" s="265" t="s">
        <v>115</v>
      </c>
      <c r="D86" s="109"/>
      <c r="E86" s="110" t="s">
        <v>19</v>
      </c>
      <c r="F86" s="116"/>
      <c r="G86" s="163" t="s">
        <v>434</v>
      </c>
      <c r="H86" s="439" t="s">
        <v>57</v>
      </c>
      <c r="I86" s="439"/>
      <c r="J86" s="439"/>
      <c r="K86" s="439"/>
      <c r="L86" s="27"/>
      <c r="M86" s="28"/>
      <c r="N86" s="28"/>
      <c r="O86" s="28"/>
      <c r="P86" s="25"/>
      <c r="Q86" s="27">
        <v>1</v>
      </c>
      <c r="R86" s="28">
        <v>1</v>
      </c>
      <c r="S86" s="28">
        <v>1</v>
      </c>
      <c r="T86" s="28">
        <v>1</v>
      </c>
      <c r="U86" s="28">
        <v>1</v>
      </c>
      <c r="V86" s="25">
        <v>1</v>
      </c>
      <c r="W86" s="27">
        <v>1</v>
      </c>
      <c r="X86" s="28">
        <v>1</v>
      </c>
      <c r="Y86" s="25">
        <v>1</v>
      </c>
      <c r="Z86" s="27">
        <v>1</v>
      </c>
      <c r="AA86" s="25">
        <v>1</v>
      </c>
      <c r="AB86" s="77">
        <f t="shared" si="10"/>
        <v>11</v>
      </c>
      <c r="AC86" s="322"/>
      <c r="AE86" s="349"/>
      <c r="AF86" s="349"/>
      <c r="AG86" s="349"/>
      <c r="AH86" s="349"/>
      <c r="AI86" s="349"/>
      <c r="AJ86" s="349"/>
      <c r="AK86" s="349"/>
      <c r="AL86" s="349"/>
      <c r="AM86" s="349"/>
      <c r="AN86" s="349"/>
      <c r="AO86" s="349"/>
      <c r="AP86" s="349"/>
      <c r="AQ86" s="349"/>
      <c r="AR86" s="349"/>
      <c r="AS86" s="349"/>
      <c r="AT86" s="349"/>
      <c r="AU86" s="349"/>
      <c r="AV86" s="349"/>
    </row>
    <row r="87" spans="2:48" s="140" customFormat="1" ht="15" hidden="1">
      <c r="B87" s="1871"/>
      <c r="C87" s="265" t="s">
        <v>116</v>
      </c>
      <c r="D87" s="109"/>
      <c r="E87" s="110" t="s">
        <v>19</v>
      </c>
      <c r="F87" s="116"/>
      <c r="G87" s="163" t="s">
        <v>435</v>
      </c>
      <c r="H87" s="439" t="s">
        <v>57</v>
      </c>
      <c r="I87" s="439"/>
      <c r="J87" s="439"/>
      <c r="K87" s="439"/>
      <c r="L87" s="27"/>
      <c r="M87" s="28"/>
      <c r="N87" s="28"/>
      <c r="O87" s="28"/>
      <c r="P87" s="25"/>
      <c r="Q87" s="27">
        <v>1</v>
      </c>
      <c r="R87" s="28">
        <v>1</v>
      </c>
      <c r="S87" s="28">
        <v>1</v>
      </c>
      <c r="T87" s="28">
        <v>1</v>
      </c>
      <c r="U87" s="28">
        <v>1</v>
      </c>
      <c r="V87" s="25">
        <v>1</v>
      </c>
      <c r="W87" s="27">
        <v>1</v>
      </c>
      <c r="X87" s="28">
        <v>1</v>
      </c>
      <c r="Y87" s="25">
        <v>1</v>
      </c>
      <c r="Z87" s="27">
        <v>1</v>
      </c>
      <c r="AA87" s="25">
        <v>1</v>
      </c>
      <c r="AB87" s="77">
        <f t="shared" si="10"/>
        <v>11</v>
      </c>
      <c r="AC87" s="322"/>
      <c r="AE87" s="349"/>
      <c r="AF87" s="349"/>
      <c r="AG87" s="349"/>
      <c r="AH87" s="349"/>
      <c r="AI87" s="349"/>
      <c r="AJ87" s="349"/>
      <c r="AK87" s="349"/>
      <c r="AL87" s="349"/>
      <c r="AM87" s="349"/>
      <c r="AN87" s="349"/>
      <c r="AO87" s="349"/>
      <c r="AP87" s="349"/>
      <c r="AQ87" s="349"/>
      <c r="AR87" s="349"/>
      <c r="AS87" s="349"/>
      <c r="AT87" s="349"/>
      <c r="AU87" s="349"/>
      <c r="AV87" s="349"/>
    </row>
    <row r="88" spans="2:48" s="140" customFormat="1" ht="15" hidden="1">
      <c r="B88" s="1871"/>
      <c r="C88" s="265" t="s">
        <v>117</v>
      </c>
      <c r="D88" s="109"/>
      <c r="E88" s="110" t="s">
        <v>22</v>
      </c>
      <c r="F88" s="116"/>
      <c r="G88" s="163" t="s">
        <v>436</v>
      </c>
      <c r="H88" s="439" t="s">
        <v>57</v>
      </c>
      <c r="I88" s="439"/>
      <c r="J88" s="439"/>
      <c r="K88" s="439"/>
      <c r="L88" s="27"/>
      <c r="M88" s="28"/>
      <c r="N88" s="28"/>
      <c r="O88" s="28"/>
      <c r="P88" s="25"/>
      <c r="Q88" s="27">
        <v>1</v>
      </c>
      <c r="R88" s="28">
        <v>1</v>
      </c>
      <c r="S88" s="28">
        <v>1</v>
      </c>
      <c r="T88" s="28">
        <v>1</v>
      </c>
      <c r="U88" s="28">
        <v>1</v>
      </c>
      <c r="V88" s="25">
        <v>1</v>
      </c>
      <c r="W88" s="27">
        <v>1</v>
      </c>
      <c r="X88" s="28">
        <v>1</v>
      </c>
      <c r="Y88" s="25">
        <v>1</v>
      </c>
      <c r="Z88" s="27">
        <v>1</v>
      </c>
      <c r="AA88" s="25">
        <v>1</v>
      </c>
      <c r="AB88" s="77">
        <f t="shared" si="10"/>
        <v>11</v>
      </c>
      <c r="AC88" s="322"/>
      <c r="AE88" s="349"/>
      <c r="AF88" s="349"/>
      <c r="AG88" s="349"/>
      <c r="AH88" s="349"/>
      <c r="AI88" s="349"/>
      <c r="AJ88" s="349"/>
      <c r="AK88" s="349"/>
      <c r="AL88" s="349"/>
      <c r="AM88" s="349"/>
      <c r="AN88" s="349"/>
      <c r="AO88" s="349"/>
      <c r="AP88" s="349"/>
      <c r="AQ88" s="349"/>
      <c r="AR88" s="349"/>
      <c r="AS88" s="349"/>
      <c r="AT88" s="349"/>
      <c r="AU88" s="349"/>
      <c r="AV88" s="349"/>
    </row>
    <row r="89" spans="2:48" s="140" customFormat="1" ht="15" hidden="1">
      <c r="B89" s="1871"/>
      <c r="C89" s="265" t="s">
        <v>117</v>
      </c>
      <c r="D89" s="109"/>
      <c r="E89" s="110" t="s">
        <v>22</v>
      </c>
      <c r="F89" s="116"/>
      <c r="G89" s="163" t="s">
        <v>437</v>
      </c>
      <c r="H89" s="439" t="s">
        <v>57</v>
      </c>
      <c r="I89" s="439"/>
      <c r="J89" s="439"/>
      <c r="K89" s="439"/>
      <c r="L89" s="27"/>
      <c r="M89" s="28"/>
      <c r="N89" s="28"/>
      <c r="O89" s="28"/>
      <c r="P89" s="25"/>
      <c r="Q89" s="27">
        <v>1</v>
      </c>
      <c r="R89" s="28">
        <v>1</v>
      </c>
      <c r="S89" s="28">
        <v>1</v>
      </c>
      <c r="T89" s="28">
        <v>1</v>
      </c>
      <c r="U89" s="28">
        <v>1</v>
      </c>
      <c r="V89" s="25">
        <v>1</v>
      </c>
      <c r="W89" s="27">
        <v>1</v>
      </c>
      <c r="X89" s="28">
        <v>1</v>
      </c>
      <c r="Y89" s="25">
        <v>1</v>
      </c>
      <c r="Z89" s="27">
        <v>1</v>
      </c>
      <c r="AA89" s="25"/>
      <c r="AB89" s="77">
        <f t="shared" si="10"/>
        <v>10</v>
      </c>
      <c r="AC89" s="322"/>
      <c r="AE89" s="349"/>
      <c r="AF89" s="349"/>
      <c r="AG89" s="349"/>
      <c r="AH89" s="349"/>
      <c r="AI89" s="349"/>
      <c r="AJ89" s="349"/>
      <c r="AK89" s="349"/>
      <c r="AL89" s="349"/>
      <c r="AM89" s="349"/>
      <c r="AN89" s="349"/>
      <c r="AO89" s="349"/>
      <c r="AP89" s="349"/>
      <c r="AQ89" s="349"/>
      <c r="AR89" s="349"/>
      <c r="AS89" s="349"/>
      <c r="AT89" s="349"/>
      <c r="AU89" s="349"/>
      <c r="AV89" s="349"/>
    </row>
    <row r="90" spans="2:48" s="140" customFormat="1" ht="15" hidden="1">
      <c r="B90" s="1871"/>
      <c r="C90" s="265" t="s">
        <v>118</v>
      </c>
      <c r="D90" s="109"/>
      <c r="E90" s="110" t="s">
        <v>22</v>
      </c>
      <c r="F90" s="116"/>
      <c r="G90" s="163" t="s">
        <v>438</v>
      </c>
      <c r="H90" s="439" t="s">
        <v>57</v>
      </c>
      <c r="I90" s="439"/>
      <c r="J90" s="439"/>
      <c r="K90" s="439"/>
      <c r="L90" s="27"/>
      <c r="M90" s="28"/>
      <c r="N90" s="28"/>
      <c r="O90" s="28"/>
      <c r="P90" s="25"/>
      <c r="Q90" s="27">
        <v>1</v>
      </c>
      <c r="R90" s="28">
        <v>1</v>
      </c>
      <c r="S90" s="28">
        <v>1</v>
      </c>
      <c r="T90" s="28">
        <v>1</v>
      </c>
      <c r="U90" s="28">
        <v>1</v>
      </c>
      <c r="V90" s="25">
        <v>1</v>
      </c>
      <c r="W90" s="27">
        <v>1</v>
      </c>
      <c r="X90" s="28">
        <v>1</v>
      </c>
      <c r="Y90" s="25">
        <v>1</v>
      </c>
      <c r="Z90" s="27">
        <v>1</v>
      </c>
      <c r="AA90" s="25"/>
      <c r="AB90" s="77">
        <f t="shared" si="10"/>
        <v>10</v>
      </c>
      <c r="AC90" s="322"/>
      <c r="AE90" s="349"/>
      <c r="AF90" s="349"/>
      <c r="AG90" s="349"/>
      <c r="AH90" s="349"/>
      <c r="AI90" s="349"/>
      <c r="AJ90" s="349"/>
      <c r="AK90" s="349"/>
      <c r="AL90" s="349"/>
      <c r="AM90" s="349"/>
      <c r="AN90" s="349"/>
      <c r="AO90" s="349"/>
      <c r="AP90" s="349"/>
      <c r="AQ90" s="349"/>
      <c r="AR90" s="349"/>
      <c r="AS90" s="349"/>
      <c r="AT90" s="349"/>
      <c r="AU90" s="349"/>
      <c r="AV90" s="349"/>
    </row>
    <row r="91" spans="2:48" s="140" customFormat="1" ht="15" hidden="1">
      <c r="B91" s="1871"/>
      <c r="C91" s="266" t="s">
        <v>439</v>
      </c>
      <c r="D91" s="113" t="s">
        <v>144</v>
      </c>
      <c r="E91" s="108" t="s">
        <v>21</v>
      </c>
      <c r="F91" s="440"/>
      <c r="G91" s="164" t="s">
        <v>74</v>
      </c>
      <c r="H91" s="441" t="s">
        <v>57</v>
      </c>
      <c r="I91" s="441"/>
      <c r="J91" s="441"/>
      <c r="K91" s="441"/>
      <c r="L91" s="52"/>
      <c r="M91" s="53"/>
      <c r="N91" s="53"/>
      <c r="O91" s="53"/>
      <c r="P91" s="54"/>
      <c r="Q91" s="52">
        <v>1</v>
      </c>
      <c r="R91" s="53">
        <v>1</v>
      </c>
      <c r="S91" s="53">
        <v>1</v>
      </c>
      <c r="T91" s="53">
        <v>1</v>
      </c>
      <c r="U91" s="53">
        <v>1</v>
      </c>
      <c r="V91" s="54">
        <v>1</v>
      </c>
      <c r="W91" s="52">
        <v>1</v>
      </c>
      <c r="X91" s="53">
        <v>1</v>
      </c>
      <c r="Y91" s="54">
        <v>1</v>
      </c>
      <c r="Z91" s="52">
        <v>1</v>
      </c>
      <c r="AA91" s="54">
        <v>1</v>
      </c>
      <c r="AB91" s="215">
        <f t="shared" si="10"/>
        <v>11</v>
      </c>
      <c r="AC91" s="331"/>
      <c r="AE91" s="349"/>
      <c r="AF91" s="349"/>
      <c r="AG91" s="349"/>
      <c r="AH91" s="349"/>
      <c r="AI91" s="349"/>
      <c r="AJ91" s="349"/>
      <c r="AK91" s="349"/>
      <c r="AL91" s="349"/>
      <c r="AM91" s="349"/>
      <c r="AN91" s="349"/>
      <c r="AO91" s="349"/>
      <c r="AP91" s="349"/>
      <c r="AQ91" s="349"/>
      <c r="AR91" s="349"/>
      <c r="AS91" s="349"/>
      <c r="AT91" s="349"/>
      <c r="AU91" s="349"/>
      <c r="AV91" s="349"/>
    </row>
    <row r="92" spans="2:48" s="140" customFormat="1" ht="15" hidden="1">
      <c r="B92" s="1871"/>
      <c r="C92" s="266" t="s">
        <v>439</v>
      </c>
      <c r="D92" s="113" t="s">
        <v>144</v>
      </c>
      <c r="E92" s="108" t="s">
        <v>22</v>
      </c>
      <c r="F92" s="138"/>
      <c r="G92" s="164" t="s">
        <v>440</v>
      </c>
      <c r="H92" s="439" t="s">
        <v>57</v>
      </c>
      <c r="I92" s="439"/>
      <c r="J92" s="439"/>
      <c r="K92" s="439"/>
      <c r="L92" s="27"/>
      <c r="M92" s="28"/>
      <c r="N92" s="28"/>
      <c r="O92" s="28"/>
      <c r="P92" s="25"/>
      <c r="Q92" s="27">
        <v>1</v>
      </c>
      <c r="R92" s="28">
        <v>1</v>
      </c>
      <c r="S92" s="28">
        <v>1</v>
      </c>
      <c r="T92" s="28">
        <v>1</v>
      </c>
      <c r="U92" s="28">
        <v>1</v>
      </c>
      <c r="V92" s="25">
        <v>1</v>
      </c>
      <c r="W92" s="27">
        <v>1</v>
      </c>
      <c r="X92" s="28">
        <v>1</v>
      </c>
      <c r="Y92" s="25">
        <v>1</v>
      </c>
      <c r="Z92" s="27">
        <v>1</v>
      </c>
      <c r="AA92" s="25"/>
      <c r="AB92" s="215">
        <f t="shared" si="10"/>
        <v>10</v>
      </c>
      <c r="AC92" s="331"/>
      <c r="AE92" s="349"/>
      <c r="AF92" s="349"/>
      <c r="AG92" s="349"/>
      <c r="AH92" s="349"/>
      <c r="AI92" s="349"/>
      <c r="AJ92" s="349"/>
      <c r="AK92" s="349"/>
      <c r="AL92" s="349"/>
      <c r="AM92" s="349"/>
      <c r="AN92" s="349"/>
      <c r="AO92" s="349"/>
      <c r="AP92" s="349"/>
      <c r="AQ92" s="349"/>
      <c r="AR92" s="349"/>
      <c r="AS92" s="349"/>
      <c r="AT92" s="349"/>
      <c r="AU92" s="349"/>
      <c r="AV92" s="349"/>
    </row>
    <row r="93" spans="2:48" s="140" customFormat="1" ht="15" hidden="1">
      <c r="B93" s="1871"/>
      <c r="C93" s="265" t="s">
        <v>441</v>
      </c>
      <c r="D93" s="109"/>
      <c r="E93" s="110" t="s">
        <v>19</v>
      </c>
      <c r="F93" s="116"/>
      <c r="G93" s="164" t="s">
        <v>74</v>
      </c>
      <c r="H93" s="439" t="s">
        <v>57</v>
      </c>
      <c r="I93" s="439"/>
      <c r="J93" s="439"/>
      <c r="K93" s="439"/>
      <c r="L93" s="27"/>
      <c r="M93" s="28"/>
      <c r="N93" s="28"/>
      <c r="O93" s="28"/>
      <c r="P93" s="25"/>
      <c r="Q93" s="27"/>
      <c r="R93" s="28"/>
      <c r="S93" s="28">
        <v>1</v>
      </c>
      <c r="T93" s="28">
        <v>1</v>
      </c>
      <c r="U93" s="28">
        <v>1</v>
      </c>
      <c r="V93" s="25">
        <v>1</v>
      </c>
      <c r="W93" s="27">
        <v>1</v>
      </c>
      <c r="X93" s="28">
        <v>1</v>
      </c>
      <c r="Y93" s="25">
        <v>1</v>
      </c>
      <c r="Z93" s="27">
        <v>1</v>
      </c>
      <c r="AA93" s="25"/>
      <c r="AB93" s="77">
        <f t="shared" si="10"/>
        <v>8</v>
      </c>
      <c r="AC93" s="322"/>
      <c r="AE93" s="349"/>
      <c r="AF93" s="349"/>
      <c r="AG93" s="349"/>
      <c r="AH93" s="349"/>
      <c r="AI93" s="349"/>
      <c r="AJ93" s="349"/>
      <c r="AK93" s="349"/>
      <c r="AL93" s="349"/>
      <c r="AM93" s="349"/>
      <c r="AN93" s="349"/>
      <c r="AO93" s="349"/>
      <c r="AP93" s="349"/>
      <c r="AQ93" s="349"/>
      <c r="AR93" s="349"/>
      <c r="AS93" s="349"/>
      <c r="AT93" s="349"/>
      <c r="AU93" s="349"/>
      <c r="AV93" s="349"/>
    </row>
    <row r="94" spans="2:48" s="140" customFormat="1" ht="15" hidden="1">
      <c r="B94" s="1871"/>
      <c r="C94" s="267" t="s">
        <v>442</v>
      </c>
      <c r="D94" s="186"/>
      <c r="E94" s="187" t="s">
        <v>19</v>
      </c>
      <c r="F94" s="442"/>
      <c r="G94" s="188" t="s">
        <v>74</v>
      </c>
      <c r="H94" s="443" t="s">
        <v>57</v>
      </c>
      <c r="I94" s="443"/>
      <c r="J94" s="443"/>
      <c r="K94" s="443"/>
      <c r="L94" s="39"/>
      <c r="M94" s="40"/>
      <c r="N94" s="40"/>
      <c r="O94" s="40"/>
      <c r="P94" s="122"/>
      <c r="Q94" s="39"/>
      <c r="R94" s="40"/>
      <c r="S94" s="40">
        <v>1</v>
      </c>
      <c r="T94" s="40">
        <v>1</v>
      </c>
      <c r="U94" s="40">
        <v>1</v>
      </c>
      <c r="V94" s="122">
        <v>1</v>
      </c>
      <c r="W94" s="39">
        <v>1</v>
      </c>
      <c r="X94" s="40">
        <v>1</v>
      </c>
      <c r="Y94" s="122">
        <v>1</v>
      </c>
      <c r="Z94" s="39">
        <v>1</v>
      </c>
      <c r="AA94" s="122"/>
      <c r="AB94" s="190">
        <f t="shared" si="10"/>
        <v>8</v>
      </c>
      <c r="AC94" s="322"/>
      <c r="AE94" s="349"/>
      <c r="AF94" s="349"/>
      <c r="AG94" s="349"/>
      <c r="AH94" s="349"/>
      <c r="AI94" s="349"/>
      <c r="AJ94" s="349"/>
      <c r="AK94" s="349"/>
      <c r="AL94" s="349"/>
      <c r="AM94" s="349"/>
      <c r="AN94" s="349"/>
      <c r="AO94" s="349"/>
      <c r="AP94" s="349"/>
      <c r="AQ94" s="349"/>
      <c r="AR94" s="349"/>
      <c r="AS94" s="349"/>
      <c r="AT94" s="349"/>
      <c r="AU94" s="349"/>
      <c r="AV94" s="349"/>
    </row>
    <row r="95" spans="2:48" s="140" customFormat="1" ht="15">
      <c r="B95" s="1871"/>
      <c r="C95" s="169" t="s">
        <v>443</v>
      </c>
      <c r="D95" s="73" t="s">
        <v>145</v>
      </c>
      <c r="E95" s="2" t="s">
        <v>13</v>
      </c>
      <c r="F95" s="30"/>
      <c r="G95" s="163"/>
      <c r="H95" s="73" t="s">
        <v>348</v>
      </c>
      <c r="I95" s="444"/>
      <c r="J95" s="444"/>
      <c r="K95" s="444"/>
      <c r="L95" s="55"/>
      <c r="M95" s="56">
        <v>0.25</v>
      </c>
      <c r="N95" s="56">
        <v>0.25</v>
      </c>
      <c r="O95" s="3"/>
      <c r="P95" s="16"/>
      <c r="Q95" s="55">
        <v>0.25</v>
      </c>
      <c r="R95" s="3"/>
      <c r="S95" s="3"/>
      <c r="T95" s="3"/>
      <c r="U95" s="3"/>
      <c r="V95" s="16"/>
      <c r="W95" s="55">
        <v>0.25</v>
      </c>
      <c r="X95" s="3"/>
      <c r="Y95" s="16"/>
      <c r="Z95" s="15"/>
      <c r="AA95" s="16"/>
      <c r="AB95" s="36">
        <f t="shared" si="10"/>
        <v>1</v>
      </c>
      <c r="AC95" s="322"/>
      <c r="AE95" s="349"/>
      <c r="AF95" s="349"/>
      <c r="AG95" s="349"/>
      <c r="AH95" s="349"/>
      <c r="AI95" s="349"/>
      <c r="AJ95" s="349"/>
      <c r="AK95" s="349"/>
      <c r="AL95" s="349"/>
      <c r="AM95" s="349"/>
      <c r="AN95" s="349"/>
      <c r="AO95" s="349"/>
      <c r="AP95" s="349"/>
      <c r="AQ95" s="349"/>
      <c r="AR95" s="349"/>
      <c r="AS95" s="349"/>
      <c r="AT95" s="349"/>
      <c r="AU95" s="349"/>
      <c r="AV95" s="349"/>
    </row>
    <row r="96" spans="2:48" s="140" customFormat="1" ht="15">
      <c r="B96" s="1871"/>
      <c r="C96" s="169" t="s">
        <v>444</v>
      </c>
      <c r="D96" s="73" t="s">
        <v>145</v>
      </c>
      <c r="E96" s="2" t="s">
        <v>13</v>
      </c>
      <c r="F96" s="30"/>
      <c r="G96" s="163"/>
      <c r="H96" s="73" t="s">
        <v>348</v>
      </c>
      <c r="I96" s="465"/>
      <c r="J96" s="465"/>
      <c r="K96" s="465"/>
      <c r="L96" s="23"/>
      <c r="M96" s="5">
        <v>1</v>
      </c>
      <c r="N96" s="5">
        <v>0.5</v>
      </c>
      <c r="O96" s="5">
        <v>0.5</v>
      </c>
      <c r="P96" s="24">
        <v>0.5</v>
      </c>
      <c r="Q96" s="23">
        <v>0.5</v>
      </c>
      <c r="R96" s="5"/>
      <c r="S96" s="5"/>
      <c r="T96" s="5"/>
      <c r="U96" s="5"/>
      <c r="V96" s="24"/>
      <c r="W96" s="23"/>
      <c r="X96" s="5"/>
      <c r="Y96" s="24"/>
      <c r="Z96" s="23"/>
      <c r="AA96" s="24"/>
      <c r="AB96" s="36">
        <f t="shared" si="10"/>
        <v>3</v>
      </c>
      <c r="AC96" s="322"/>
      <c r="AE96" s="349"/>
      <c r="AF96" s="349"/>
      <c r="AG96" s="349"/>
      <c r="AH96" s="349"/>
      <c r="AI96" s="349"/>
      <c r="AJ96" s="349"/>
      <c r="AK96" s="349"/>
      <c r="AL96" s="349"/>
      <c r="AM96" s="349"/>
      <c r="AN96" s="349"/>
      <c r="AO96" s="349"/>
      <c r="AP96" s="349"/>
      <c r="AQ96" s="349"/>
      <c r="AR96" s="349"/>
      <c r="AS96" s="349"/>
      <c r="AT96" s="349"/>
      <c r="AU96" s="349"/>
      <c r="AV96" s="349"/>
    </row>
    <row r="97" spans="2:48" s="140" customFormat="1" ht="15">
      <c r="B97" s="1871"/>
      <c r="C97" s="177" t="s">
        <v>445</v>
      </c>
      <c r="D97" s="73" t="s">
        <v>110</v>
      </c>
      <c r="E97" s="26" t="s">
        <v>21</v>
      </c>
      <c r="F97" s="30"/>
      <c r="G97" s="163"/>
      <c r="H97" s="73" t="s">
        <v>348</v>
      </c>
      <c r="I97" s="465"/>
      <c r="J97" s="465"/>
      <c r="K97" s="465"/>
      <c r="L97" s="23"/>
      <c r="M97" s="5"/>
      <c r="N97" s="5"/>
      <c r="O97" s="5"/>
      <c r="P97" s="24"/>
      <c r="Q97" s="23">
        <v>0.5</v>
      </c>
      <c r="R97" s="5">
        <v>0.5</v>
      </c>
      <c r="S97" s="5">
        <v>0.5</v>
      </c>
      <c r="T97" s="5">
        <v>0.5</v>
      </c>
      <c r="U97" s="5">
        <v>1</v>
      </c>
      <c r="V97" s="24">
        <v>1</v>
      </c>
      <c r="W97" s="23">
        <v>1</v>
      </c>
      <c r="X97" s="5">
        <v>1</v>
      </c>
      <c r="Y97" s="24">
        <v>0.5</v>
      </c>
      <c r="Z97" s="23">
        <v>0.5</v>
      </c>
      <c r="AA97" s="24">
        <v>0.5</v>
      </c>
      <c r="AB97" s="36">
        <f t="shared" si="10"/>
        <v>7.5</v>
      </c>
      <c r="AC97" s="322"/>
      <c r="AE97" s="349"/>
      <c r="AF97" s="349"/>
      <c r="AG97" s="349"/>
      <c r="AH97" s="349"/>
      <c r="AI97" s="349"/>
      <c r="AJ97" s="349"/>
      <c r="AK97" s="349"/>
      <c r="AL97" s="349"/>
      <c r="AM97" s="349"/>
      <c r="AN97" s="349"/>
      <c r="AO97" s="349"/>
      <c r="AP97" s="349"/>
      <c r="AQ97" s="349"/>
      <c r="AR97" s="349"/>
      <c r="AS97" s="349"/>
      <c r="AT97" s="349"/>
      <c r="AU97" s="349"/>
      <c r="AV97" s="349"/>
    </row>
    <row r="98" spans="2:48" s="140" customFormat="1" ht="15">
      <c r="B98" s="1871"/>
      <c r="C98" s="169" t="s">
        <v>446</v>
      </c>
      <c r="D98" s="73" t="s">
        <v>145</v>
      </c>
      <c r="E98" s="2" t="s">
        <v>21</v>
      </c>
      <c r="F98" s="30"/>
      <c r="G98" s="163"/>
      <c r="H98" s="73" t="s">
        <v>348</v>
      </c>
      <c r="I98" s="444"/>
      <c r="J98" s="444"/>
      <c r="K98" s="444"/>
      <c r="L98" s="15"/>
      <c r="M98" s="3"/>
      <c r="N98" s="3"/>
      <c r="O98" s="3"/>
      <c r="P98" s="16"/>
      <c r="Q98" s="15">
        <v>0.5</v>
      </c>
      <c r="R98" s="3">
        <v>0.5</v>
      </c>
      <c r="S98" s="3">
        <v>0.5</v>
      </c>
      <c r="T98" s="3">
        <v>0.5</v>
      </c>
      <c r="U98" s="3">
        <v>1</v>
      </c>
      <c r="V98" s="16">
        <v>1</v>
      </c>
      <c r="W98" s="15">
        <v>1</v>
      </c>
      <c r="X98" s="3">
        <v>1</v>
      </c>
      <c r="Y98" s="16">
        <v>0.5</v>
      </c>
      <c r="Z98" s="15"/>
      <c r="AA98" s="16"/>
      <c r="AB98" s="36">
        <f t="shared" si="10"/>
        <v>6.5</v>
      </c>
      <c r="AC98" s="322"/>
      <c r="AE98" s="349"/>
      <c r="AF98" s="349"/>
      <c r="AG98" s="349"/>
      <c r="AH98" s="349"/>
      <c r="AI98" s="349"/>
      <c r="AJ98" s="349"/>
      <c r="AK98" s="349"/>
      <c r="AL98" s="349"/>
      <c r="AM98" s="349"/>
      <c r="AN98" s="349"/>
      <c r="AO98" s="349"/>
      <c r="AP98" s="349"/>
      <c r="AQ98" s="349"/>
      <c r="AR98" s="349"/>
      <c r="AS98" s="349"/>
      <c r="AT98" s="349"/>
      <c r="AU98" s="349"/>
      <c r="AV98" s="349"/>
    </row>
    <row r="99" spans="2:48" s="140" customFormat="1" ht="15">
      <c r="B99" s="1871"/>
      <c r="C99" s="169" t="s">
        <v>447</v>
      </c>
      <c r="D99" s="73" t="s">
        <v>145</v>
      </c>
      <c r="E99" s="2" t="s">
        <v>21</v>
      </c>
      <c r="F99" s="2"/>
      <c r="G99" s="163"/>
      <c r="H99" s="73" t="s">
        <v>348</v>
      </c>
      <c r="I99" s="466"/>
      <c r="J99" s="466"/>
      <c r="K99" s="466"/>
      <c r="L99" s="121"/>
      <c r="M99" s="43"/>
      <c r="N99" s="43"/>
      <c r="O99" s="43"/>
      <c r="P99" s="16"/>
      <c r="Q99" s="15">
        <v>0.5</v>
      </c>
      <c r="R99" s="3">
        <v>0.5</v>
      </c>
      <c r="S99" s="3">
        <v>0.5</v>
      </c>
      <c r="T99" s="3">
        <v>0.5</v>
      </c>
      <c r="U99" s="3">
        <v>0.5</v>
      </c>
      <c r="V99" s="16">
        <v>0.5</v>
      </c>
      <c r="W99" s="15">
        <v>0.5</v>
      </c>
      <c r="X99" s="3">
        <v>0.5</v>
      </c>
      <c r="Y99" s="16">
        <v>0.5</v>
      </c>
      <c r="Z99" s="15"/>
      <c r="AA99" s="16"/>
      <c r="AB99" s="36">
        <f t="shared" si="10"/>
        <v>4.5</v>
      </c>
      <c r="AC99" s="322"/>
      <c r="AE99" s="349"/>
      <c r="AF99" s="349"/>
      <c r="AG99" s="349"/>
      <c r="AH99" s="349"/>
      <c r="AI99" s="349"/>
      <c r="AJ99" s="349"/>
      <c r="AK99" s="349"/>
      <c r="AL99" s="349"/>
      <c r="AM99" s="349"/>
      <c r="AN99" s="349"/>
      <c r="AO99" s="349"/>
      <c r="AP99" s="349"/>
      <c r="AQ99" s="349"/>
      <c r="AR99" s="349"/>
      <c r="AS99" s="349"/>
      <c r="AT99" s="349"/>
      <c r="AU99" s="349"/>
      <c r="AV99" s="349"/>
    </row>
    <row r="100" spans="2:48" s="140" customFormat="1" ht="15">
      <c r="B100" s="1871"/>
      <c r="C100" s="268" t="s">
        <v>447</v>
      </c>
      <c r="D100" s="73" t="s">
        <v>145</v>
      </c>
      <c r="E100" s="6" t="s">
        <v>22</v>
      </c>
      <c r="F100" s="2"/>
      <c r="G100" s="163"/>
      <c r="H100" s="73" t="s">
        <v>348</v>
      </c>
      <c r="I100" s="444"/>
      <c r="J100" s="444"/>
      <c r="K100" s="444"/>
      <c r="L100" s="15"/>
      <c r="M100" s="3"/>
      <c r="N100" s="3"/>
      <c r="O100" s="3"/>
      <c r="P100" s="16"/>
      <c r="Q100" s="15">
        <v>0.5</v>
      </c>
      <c r="R100" s="3">
        <v>0.5</v>
      </c>
      <c r="S100" s="3">
        <v>0.5</v>
      </c>
      <c r="T100" s="3">
        <v>0.5</v>
      </c>
      <c r="U100" s="3">
        <v>0.5</v>
      </c>
      <c r="V100" s="16">
        <v>0.5</v>
      </c>
      <c r="W100" s="15">
        <v>0.5</v>
      </c>
      <c r="X100" s="3">
        <v>0.5</v>
      </c>
      <c r="Y100" s="16">
        <v>0.5</v>
      </c>
      <c r="Z100" s="15"/>
      <c r="AA100" s="16"/>
      <c r="AB100" s="36">
        <f t="shared" si="10"/>
        <v>4.5</v>
      </c>
      <c r="AC100" s="322"/>
      <c r="AE100" s="349"/>
      <c r="AF100" s="349"/>
      <c r="AG100" s="349"/>
      <c r="AH100" s="349"/>
      <c r="AI100" s="349"/>
      <c r="AJ100" s="349"/>
      <c r="AK100" s="349"/>
      <c r="AL100" s="349"/>
      <c r="AM100" s="349"/>
      <c r="AN100" s="349"/>
      <c r="AO100" s="349"/>
      <c r="AP100" s="349"/>
      <c r="AQ100" s="349"/>
      <c r="AR100" s="349"/>
      <c r="AS100" s="349"/>
      <c r="AT100" s="349"/>
      <c r="AU100" s="349"/>
      <c r="AV100" s="349"/>
    </row>
    <row r="101" spans="2:48" s="140" customFormat="1" ht="15">
      <c r="B101" s="1871"/>
      <c r="C101" s="169" t="s">
        <v>447</v>
      </c>
      <c r="D101" s="73" t="s">
        <v>145</v>
      </c>
      <c r="E101" s="2" t="s">
        <v>22</v>
      </c>
      <c r="F101" s="2"/>
      <c r="G101" s="163"/>
      <c r="H101" s="73" t="s">
        <v>348</v>
      </c>
      <c r="I101" s="444"/>
      <c r="J101" s="444"/>
      <c r="K101" s="444"/>
      <c r="L101" s="15"/>
      <c r="M101" s="3"/>
      <c r="N101" s="3"/>
      <c r="O101" s="3"/>
      <c r="P101" s="16"/>
      <c r="Q101" s="15">
        <v>0.5</v>
      </c>
      <c r="R101" s="3">
        <v>0.5</v>
      </c>
      <c r="S101" s="3">
        <v>0.5</v>
      </c>
      <c r="T101" s="3">
        <v>0.5</v>
      </c>
      <c r="U101" s="3">
        <v>0.5</v>
      </c>
      <c r="V101" s="16">
        <v>0.5</v>
      </c>
      <c r="W101" s="15">
        <v>0.5</v>
      </c>
      <c r="X101" s="3">
        <v>0.5</v>
      </c>
      <c r="Y101" s="16">
        <v>0.5</v>
      </c>
      <c r="Z101" s="15"/>
      <c r="AA101" s="16"/>
      <c r="AB101" s="36">
        <f t="shared" si="10"/>
        <v>4.5</v>
      </c>
      <c r="AC101" s="322"/>
      <c r="AE101" s="349"/>
      <c r="AF101" s="349"/>
      <c r="AG101" s="349"/>
      <c r="AH101" s="349"/>
      <c r="AI101" s="349"/>
      <c r="AJ101" s="349"/>
      <c r="AK101" s="349"/>
      <c r="AL101" s="349"/>
      <c r="AM101" s="349"/>
      <c r="AN101" s="349"/>
      <c r="AO101" s="349"/>
      <c r="AP101" s="349"/>
      <c r="AQ101" s="349"/>
      <c r="AR101" s="349"/>
      <c r="AS101" s="349"/>
      <c r="AT101" s="349"/>
      <c r="AU101" s="349"/>
      <c r="AV101" s="349"/>
    </row>
    <row r="102" spans="2:48" s="150" customFormat="1" ht="16" hidden="1" thickBot="1">
      <c r="B102" s="1872"/>
      <c r="C102" s="1867" t="s">
        <v>16</v>
      </c>
      <c r="D102" s="1868"/>
      <c r="E102" s="189"/>
      <c r="F102" s="157"/>
      <c r="G102" s="256"/>
      <c r="H102" s="274"/>
      <c r="I102" s="274"/>
      <c r="J102" s="274"/>
      <c r="K102" s="274"/>
      <c r="L102" s="161">
        <f t="shared" ref="L102:AA102" si="11">SUM(L76:L101)</f>
        <v>0</v>
      </c>
      <c r="M102" s="178">
        <f t="shared" si="11"/>
        <v>8.25</v>
      </c>
      <c r="N102" s="178">
        <f t="shared" si="11"/>
        <v>7.75</v>
      </c>
      <c r="O102" s="178">
        <f t="shared" si="11"/>
        <v>7.5</v>
      </c>
      <c r="P102" s="185">
        <f t="shared" si="11"/>
        <v>7.5</v>
      </c>
      <c r="Q102" s="161">
        <f t="shared" si="11"/>
        <v>20.25</v>
      </c>
      <c r="R102" s="178">
        <f t="shared" si="11"/>
        <v>19.5</v>
      </c>
      <c r="S102" s="178">
        <f t="shared" si="11"/>
        <v>21.5</v>
      </c>
      <c r="T102" s="178">
        <f t="shared" si="11"/>
        <v>21.5</v>
      </c>
      <c r="U102" s="178">
        <f t="shared" si="11"/>
        <v>22.5</v>
      </c>
      <c r="V102" s="185">
        <f t="shared" si="11"/>
        <v>22.5</v>
      </c>
      <c r="W102" s="161">
        <f t="shared" si="11"/>
        <v>22.75</v>
      </c>
      <c r="X102" s="178">
        <f t="shared" si="11"/>
        <v>22.5</v>
      </c>
      <c r="Y102" s="185">
        <f t="shared" si="11"/>
        <v>21.5</v>
      </c>
      <c r="Z102" s="161">
        <f t="shared" si="11"/>
        <v>19.5</v>
      </c>
      <c r="AA102" s="185">
        <f t="shared" si="11"/>
        <v>10.5</v>
      </c>
      <c r="AB102" s="162">
        <f t="shared" si="10"/>
        <v>255.5</v>
      </c>
      <c r="AC102" s="332"/>
      <c r="AE102" s="349"/>
      <c r="AF102" s="349"/>
      <c r="AG102" s="349"/>
      <c r="AH102" s="349"/>
      <c r="AI102" s="349"/>
      <c r="AJ102" s="349"/>
      <c r="AK102" s="349"/>
      <c r="AL102" s="349"/>
      <c r="AM102" s="349"/>
      <c r="AN102" s="349"/>
      <c r="AO102" s="349"/>
      <c r="AP102" s="349"/>
      <c r="AQ102" s="349"/>
      <c r="AR102" s="349"/>
      <c r="AS102" s="349"/>
      <c r="AT102" s="349"/>
      <c r="AU102" s="349"/>
      <c r="AV102" s="349"/>
    </row>
    <row r="103" spans="2:48" s="140" customFormat="1" ht="16" hidden="1">
      <c r="B103" s="251" t="s">
        <v>66</v>
      </c>
      <c r="C103" s="263" t="s">
        <v>179</v>
      </c>
      <c r="D103" s="115" t="s">
        <v>24</v>
      </c>
      <c r="E103" s="108" t="s">
        <v>19</v>
      </c>
      <c r="F103" s="138"/>
      <c r="G103" s="235" t="s">
        <v>448</v>
      </c>
      <c r="H103" s="438" t="s">
        <v>57</v>
      </c>
      <c r="I103" s="438"/>
      <c r="J103" s="438"/>
      <c r="K103" s="438"/>
      <c r="L103" s="48"/>
      <c r="M103" s="49">
        <v>1</v>
      </c>
      <c r="N103" s="49">
        <v>1</v>
      </c>
      <c r="O103" s="49">
        <v>1</v>
      </c>
      <c r="P103" s="50">
        <v>1</v>
      </c>
      <c r="Q103" s="52">
        <v>1</v>
      </c>
      <c r="R103" s="53">
        <v>1</v>
      </c>
      <c r="S103" s="53">
        <v>1</v>
      </c>
      <c r="T103" s="53">
        <v>1</v>
      </c>
      <c r="U103" s="53">
        <v>1</v>
      </c>
      <c r="V103" s="54">
        <v>1</v>
      </c>
      <c r="W103" s="52">
        <v>1</v>
      </c>
      <c r="X103" s="53">
        <v>1</v>
      </c>
      <c r="Y103" s="54">
        <v>1</v>
      </c>
      <c r="Z103" s="52">
        <v>1</v>
      </c>
      <c r="AA103" s="54">
        <v>1</v>
      </c>
      <c r="AB103" s="38">
        <f t="shared" si="10"/>
        <v>15</v>
      </c>
      <c r="AC103" s="331" t="s">
        <v>111</v>
      </c>
      <c r="AE103" s="349"/>
      <c r="AF103" s="349"/>
      <c r="AG103" s="349"/>
      <c r="AH103" s="349"/>
      <c r="AI103" s="349"/>
      <c r="AJ103" s="349"/>
      <c r="AK103" s="349"/>
      <c r="AL103" s="349"/>
      <c r="AM103" s="349"/>
      <c r="AN103" s="349"/>
      <c r="AO103" s="349"/>
      <c r="AP103" s="349"/>
      <c r="AQ103" s="349"/>
      <c r="AR103" s="349"/>
      <c r="AS103" s="349"/>
      <c r="AT103" s="349"/>
      <c r="AU103" s="349"/>
      <c r="AV103" s="349"/>
    </row>
    <row r="104" spans="2:48" s="140" customFormat="1" ht="15" hidden="1">
      <c r="B104" s="117"/>
      <c r="C104" s="263" t="s">
        <v>180</v>
      </c>
      <c r="D104" s="115" t="s">
        <v>24</v>
      </c>
      <c r="E104" s="108" t="s">
        <v>13</v>
      </c>
      <c r="F104" s="138"/>
      <c r="G104" s="235" t="s">
        <v>449</v>
      </c>
      <c r="H104" s="438" t="s">
        <v>57</v>
      </c>
      <c r="I104" s="438"/>
      <c r="J104" s="438"/>
      <c r="K104" s="438"/>
      <c r="L104" s="27"/>
      <c r="M104" s="28">
        <v>1</v>
      </c>
      <c r="N104" s="28">
        <v>1</v>
      </c>
      <c r="O104" s="28">
        <v>1</v>
      </c>
      <c r="P104" s="25">
        <v>1</v>
      </c>
      <c r="Q104" s="27">
        <v>1</v>
      </c>
      <c r="R104" s="28">
        <v>1</v>
      </c>
      <c r="S104" s="28">
        <v>1</v>
      </c>
      <c r="T104" s="28">
        <v>1</v>
      </c>
      <c r="U104" s="28">
        <v>1</v>
      </c>
      <c r="V104" s="25">
        <v>1</v>
      </c>
      <c r="W104" s="27">
        <v>1</v>
      </c>
      <c r="X104" s="28">
        <v>1</v>
      </c>
      <c r="Y104" s="25">
        <v>1</v>
      </c>
      <c r="Z104" s="27">
        <v>1</v>
      </c>
      <c r="AA104" s="25">
        <v>1</v>
      </c>
      <c r="AB104" s="36">
        <f t="shared" si="10"/>
        <v>15</v>
      </c>
      <c r="AC104" s="331"/>
      <c r="AE104" s="349"/>
      <c r="AF104" s="349"/>
      <c r="AG104" s="349"/>
      <c r="AH104" s="349"/>
      <c r="AI104" s="349"/>
      <c r="AJ104" s="349"/>
      <c r="AK104" s="349"/>
      <c r="AL104" s="349"/>
      <c r="AM104" s="349"/>
      <c r="AN104" s="349"/>
      <c r="AO104" s="349"/>
      <c r="AP104" s="349"/>
      <c r="AQ104" s="349"/>
      <c r="AR104" s="349"/>
      <c r="AS104" s="349"/>
      <c r="AT104" s="349"/>
      <c r="AU104" s="349"/>
      <c r="AV104" s="349"/>
    </row>
    <row r="105" spans="2:48" s="140" customFormat="1" ht="15" hidden="1">
      <c r="B105" s="117"/>
      <c r="C105" s="263" t="s">
        <v>128</v>
      </c>
      <c r="D105" s="115"/>
      <c r="E105" s="108"/>
      <c r="F105" s="138"/>
      <c r="G105" s="235"/>
      <c r="H105" s="438"/>
      <c r="I105" s="438"/>
      <c r="J105" s="438"/>
      <c r="K105" s="438"/>
      <c r="L105" s="27"/>
      <c r="M105" s="28"/>
      <c r="N105" s="28"/>
      <c r="O105" s="28"/>
      <c r="P105" s="25"/>
      <c r="Q105" s="27"/>
      <c r="R105" s="28"/>
      <c r="S105" s="28"/>
      <c r="T105" s="28"/>
      <c r="U105" s="28"/>
      <c r="V105" s="25"/>
      <c r="W105" s="27"/>
      <c r="X105" s="28"/>
      <c r="Y105" s="25"/>
      <c r="Z105" s="27"/>
      <c r="AA105" s="25"/>
      <c r="AB105" s="36">
        <f t="shared" si="10"/>
        <v>0</v>
      </c>
      <c r="AC105" s="331"/>
      <c r="AE105" s="349"/>
      <c r="AF105" s="349"/>
      <c r="AG105" s="349"/>
      <c r="AH105" s="349"/>
      <c r="AI105" s="349"/>
      <c r="AJ105" s="349"/>
      <c r="AK105" s="349"/>
      <c r="AL105" s="349"/>
      <c r="AM105" s="349"/>
      <c r="AN105" s="349"/>
      <c r="AO105" s="349"/>
      <c r="AP105" s="349"/>
      <c r="AQ105" s="349"/>
      <c r="AR105" s="349"/>
      <c r="AS105" s="349"/>
      <c r="AT105" s="349"/>
      <c r="AU105" s="349"/>
      <c r="AV105" s="349"/>
    </row>
    <row r="106" spans="2:48" s="140" customFormat="1" ht="15" hidden="1">
      <c r="B106" s="117"/>
      <c r="C106" s="263" t="s">
        <v>450</v>
      </c>
      <c r="D106" s="115" t="s">
        <v>24</v>
      </c>
      <c r="E106" s="108" t="s">
        <v>21</v>
      </c>
      <c r="F106" s="138"/>
      <c r="G106" s="235" t="s">
        <v>451</v>
      </c>
      <c r="H106" s="438" t="s">
        <v>57</v>
      </c>
      <c r="I106" s="438"/>
      <c r="J106" s="438"/>
      <c r="K106" s="438"/>
      <c r="L106" s="27"/>
      <c r="M106" s="28">
        <v>1</v>
      </c>
      <c r="N106" s="28">
        <v>1</v>
      </c>
      <c r="O106" s="28">
        <v>1</v>
      </c>
      <c r="P106" s="25">
        <v>1</v>
      </c>
      <c r="Q106" s="27">
        <v>1</v>
      </c>
      <c r="R106" s="28">
        <v>1</v>
      </c>
      <c r="S106" s="28">
        <v>1</v>
      </c>
      <c r="T106" s="28">
        <v>1</v>
      </c>
      <c r="U106" s="28">
        <v>1</v>
      </c>
      <c r="V106" s="25">
        <v>1</v>
      </c>
      <c r="W106" s="27">
        <v>1</v>
      </c>
      <c r="X106" s="28">
        <v>1</v>
      </c>
      <c r="Y106" s="25">
        <v>1</v>
      </c>
      <c r="Z106" s="27">
        <v>1</v>
      </c>
      <c r="AA106" s="25">
        <v>1</v>
      </c>
      <c r="AB106" s="36">
        <f t="shared" si="10"/>
        <v>15</v>
      </c>
      <c r="AC106" s="331"/>
      <c r="AE106" s="349"/>
      <c r="AF106" s="349"/>
      <c r="AG106" s="349"/>
      <c r="AH106" s="349"/>
      <c r="AI106" s="349"/>
      <c r="AJ106" s="349"/>
      <c r="AK106" s="349"/>
      <c r="AL106" s="349"/>
      <c r="AM106" s="349"/>
      <c r="AN106" s="349"/>
      <c r="AO106" s="349"/>
      <c r="AP106" s="349"/>
      <c r="AQ106" s="349"/>
      <c r="AR106" s="349"/>
      <c r="AS106" s="349"/>
      <c r="AT106" s="349"/>
      <c r="AU106" s="349"/>
      <c r="AV106" s="349"/>
    </row>
    <row r="107" spans="2:48" s="140" customFormat="1" ht="15" hidden="1">
      <c r="B107" s="117"/>
      <c r="C107" s="263" t="s">
        <v>452</v>
      </c>
      <c r="D107" s="115" t="s">
        <v>24</v>
      </c>
      <c r="E107" s="108" t="s">
        <v>13</v>
      </c>
      <c r="F107" s="138"/>
      <c r="G107" s="235" t="s">
        <v>453</v>
      </c>
      <c r="H107" s="438" t="s">
        <v>57</v>
      </c>
      <c r="I107" s="438"/>
      <c r="J107" s="438"/>
      <c r="K107" s="438"/>
      <c r="L107" s="27"/>
      <c r="M107" s="28">
        <v>1</v>
      </c>
      <c r="N107" s="28">
        <v>1</v>
      </c>
      <c r="O107" s="28">
        <v>1</v>
      </c>
      <c r="P107" s="25">
        <v>1</v>
      </c>
      <c r="Q107" s="27">
        <v>1</v>
      </c>
      <c r="R107" s="28">
        <v>1</v>
      </c>
      <c r="S107" s="28">
        <v>1</v>
      </c>
      <c r="T107" s="28">
        <v>1</v>
      </c>
      <c r="U107" s="28">
        <v>1</v>
      </c>
      <c r="V107" s="25">
        <v>1</v>
      </c>
      <c r="W107" s="27">
        <v>1</v>
      </c>
      <c r="X107" s="28">
        <v>1</v>
      </c>
      <c r="Y107" s="25">
        <v>1</v>
      </c>
      <c r="Z107" s="27">
        <v>1</v>
      </c>
      <c r="AA107" s="25">
        <v>1</v>
      </c>
      <c r="AB107" s="36">
        <f t="shared" si="10"/>
        <v>15</v>
      </c>
      <c r="AC107" s="331"/>
      <c r="AE107" s="349"/>
      <c r="AF107" s="349"/>
      <c r="AG107" s="349"/>
      <c r="AH107" s="349"/>
      <c r="AI107" s="349"/>
      <c r="AJ107" s="349"/>
      <c r="AK107" s="349"/>
      <c r="AL107" s="349"/>
      <c r="AM107" s="349"/>
      <c r="AN107" s="349"/>
      <c r="AO107" s="349"/>
      <c r="AP107" s="349"/>
      <c r="AQ107" s="349"/>
      <c r="AR107" s="349"/>
      <c r="AS107" s="349"/>
      <c r="AT107" s="349"/>
      <c r="AU107" s="349"/>
      <c r="AV107" s="349"/>
    </row>
    <row r="108" spans="2:48" s="140" customFormat="1" ht="15" hidden="1">
      <c r="B108" s="117"/>
      <c r="C108" s="263" t="s">
        <v>454</v>
      </c>
      <c r="D108" s="115" t="s">
        <v>24</v>
      </c>
      <c r="E108" s="108" t="s">
        <v>21</v>
      </c>
      <c r="F108" s="138"/>
      <c r="G108" s="235" t="s">
        <v>455</v>
      </c>
      <c r="H108" s="438" t="s">
        <v>57</v>
      </c>
      <c r="I108" s="438"/>
      <c r="J108" s="438"/>
      <c r="K108" s="438"/>
      <c r="L108" s="27"/>
      <c r="M108" s="28">
        <v>1</v>
      </c>
      <c r="N108" s="28">
        <v>1</v>
      </c>
      <c r="O108" s="28">
        <v>1</v>
      </c>
      <c r="P108" s="25">
        <v>1</v>
      </c>
      <c r="Q108" s="27">
        <v>1</v>
      </c>
      <c r="R108" s="28">
        <v>1</v>
      </c>
      <c r="S108" s="28">
        <v>1</v>
      </c>
      <c r="T108" s="28">
        <v>1</v>
      </c>
      <c r="U108" s="28">
        <v>1</v>
      </c>
      <c r="V108" s="25">
        <v>1</v>
      </c>
      <c r="W108" s="27">
        <v>1</v>
      </c>
      <c r="X108" s="28">
        <v>1</v>
      </c>
      <c r="Y108" s="25">
        <v>1</v>
      </c>
      <c r="Z108" s="27">
        <v>1</v>
      </c>
      <c r="AA108" s="25">
        <v>1</v>
      </c>
      <c r="AB108" s="77">
        <f t="shared" si="10"/>
        <v>15</v>
      </c>
      <c r="AC108" s="331" t="s">
        <v>181</v>
      </c>
      <c r="AE108" s="349"/>
      <c r="AF108" s="349"/>
      <c r="AG108" s="349"/>
      <c r="AH108" s="349"/>
      <c r="AI108" s="349"/>
      <c r="AJ108" s="349"/>
      <c r="AK108" s="349"/>
      <c r="AL108" s="349"/>
      <c r="AM108" s="349"/>
      <c r="AN108" s="349"/>
      <c r="AO108" s="349"/>
      <c r="AP108" s="349"/>
      <c r="AQ108" s="349"/>
      <c r="AR108" s="349"/>
      <c r="AS108" s="349"/>
      <c r="AT108" s="349"/>
      <c r="AU108" s="349"/>
      <c r="AV108" s="349"/>
    </row>
    <row r="109" spans="2:48" s="140" customFormat="1" ht="15" hidden="1">
      <c r="B109" s="117"/>
      <c r="C109" s="264" t="s">
        <v>456</v>
      </c>
      <c r="D109" s="115" t="s">
        <v>24</v>
      </c>
      <c r="E109" s="110" t="s">
        <v>19</v>
      </c>
      <c r="F109" s="138"/>
      <c r="G109" s="235" t="s">
        <v>457</v>
      </c>
      <c r="H109" s="438" t="s">
        <v>57</v>
      </c>
      <c r="I109" s="438"/>
      <c r="J109" s="438"/>
      <c r="K109" s="438"/>
      <c r="L109" s="27"/>
      <c r="M109" s="28">
        <v>1</v>
      </c>
      <c r="N109" s="28">
        <v>1</v>
      </c>
      <c r="O109" s="28">
        <v>1</v>
      </c>
      <c r="P109" s="25">
        <v>1</v>
      </c>
      <c r="Q109" s="27">
        <v>1</v>
      </c>
      <c r="R109" s="28">
        <v>1</v>
      </c>
      <c r="S109" s="28">
        <v>1</v>
      </c>
      <c r="T109" s="28">
        <v>1</v>
      </c>
      <c r="U109" s="28">
        <v>1</v>
      </c>
      <c r="V109" s="25">
        <v>1</v>
      </c>
      <c r="W109" s="27">
        <v>1</v>
      </c>
      <c r="X109" s="28">
        <v>1</v>
      </c>
      <c r="Y109" s="25">
        <v>1</v>
      </c>
      <c r="Z109" s="27">
        <v>1</v>
      </c>
      <c r="AA109" s="25">
        <v>1</v>
      </c>
      <c r="AB109" s="36">
        <f t="shared" si="10"/>
        <v>15</v>
      </c>
      <c r="AC109" s="331"/>
      <c r="AE109" s="349"/>
      <c r="AF109" s="349"/>
      <c r="AG109" s="349"/>
      <c r="AH109" s="349"/>
      <c r="AI109" s="349"/>
      <c r="AJ109" s="349"/>
      <c r="AK109" s="349"/>
      <c r="AL109" s="349"/>
      <c r="AM109" s="349"/>
      <c r="AN109" s="349"/>
      <c r="AO109" s="349"/>
      <c r="AP109" s="349"/>
      <c r="AQ109" s="349"/>
      <c r="AR109" s="349"/>
      <c r="AS109" s="349"/>
      <c r="AT109" s="349"/>
      <c r="AU109" s="349"/>
      <c r="AV109" s="349"/>
    </row>
    <row r="110" spans="2:48" s="140" customFormat="1" ht="15" hidden="1">
      <c r="B110" s="117"/>
      <c r="C110" s="264" t="s">
        <v>111</v>
      </c>
      <c r="D110" s="114"/>
      <c r="E110" s="110" t="s">
        <v>21</v>
      </c>
      <c r="F110" s="138"/>
      <c r="G110" s="235" t="s">
        <v>458</v>
      </c>
      <c r="H110" s="438" t="s">
        <v>57</v>
      </c>
      <c r="I110" s="438"/>
      <c r="J110" s="438"/>
      <c r="K110" s="438"/>
      <c r="L110" s="27"/>
      <c r="M110" s="28"/>
      <c r="N110" s="28"/>
      <c r="O110" s="28"/>
      <c r="P110" s="25"/>
      <c r="Q110" s="27">
        <v>1</v>
      </c>
      <c r="R110" s="28">
        <v>1</v>
      </c>
      <c r="S110" s="28">
        <v>1</v>
      </c>
      <c r="T110" s="28">
        <v>1</v>
      </c>
      <c r="U110" s="28">
        <v>1</v>
      </c>
      <c r="V110" s="25">
        <v>1</v>
      </c>
      <c r="W110" s="27">
        <v>1</v>
      </c>
      <c r="X110" s="28">
        <v>1</v>
      </c>
      <c r="Y110" s="25">
        <v>1</v>
      </c>
      <c r="Z110" s="27">
        <v>1</v>
      </c>
      <c r="AA110" s="25">
        <v>1</v>
      </c>
      <c r="AB110" s="36">
        <f t="shared" si="10"/>
        <v>11</v>
      </c>
      <c r="AC110" s="331"/>
      <c r="AE110" s="349"/>
      <c r="AF110" s="349"/>
      <c r="AG110" s="349"/>
      <c r="AH110" s="349"/>
      <c r="AI110" s="349"/>
      <c r="AJ110" s="349"/>
      <c r="AK110" s="349"/>
      <c r="AL110" s="349"/>
      <c r="AM110" s="349"/>
      <c r="AN110" s="349"/>
      <c r="AO110" s="349"/>
      <c r="AP110" s="349"/>
      <c r="AQ110" s="349"/>
      <c r="AR110" s="349"/>
      <c r="AS110" s="349"/>
      <c r="AT110" s="349"/>
      <c r="AU110" s="349"/>
      <c r="AV110" s="349"/>
    </row>
    <row r="111" spans="2:48" s="140" customFormat="1" ht="15" hidden="1">
      <c r="B111" s="117"/>
      <c r="C111" s="264" t="s">
        <v>113</v>
      </c>
      <c r="D111" s="114"/>
      <c r="E111" s="110" t="s">
        <v>21</v>
      </c>
      <c r="F111" s="138"/>
      <c r="G111" s="235" t="s">
        <v>459</v>
      </c>
      <c r="H111" s="438" t="s">
        <v>57</v>
      </c>
      <c r="I111" s="438"/>
      <c r="J111" s="438"/>
      <c r="K111" s="438"/>
      <c r="L111" s="27"/>
      <c r="M111" s="28"/>
      <c r="N111" s="28"/>
      <c r="O111" s="28"/>
      <c r="P111" s="25"/>
      <c r="Q111" s="27">
        <v>1</v>
      </c>
      <c r="R111" s="28">
        <v>1</v>
      </c>
      <c r="S111" s="28">
        <v>1</v>
      </c>
      <c r="T111" s="28">
        <v>1</v>
      </c>
      <c r="U111" s="28">
        <v>1</v>
      </c>
      <c r="V111" s="25">
        <v>1</v>
      </c>
      <c r="W111" s="27">
        <v>1</v>
      </c>
      <c r="X111" s="28">
        <v>1</v>
      </c>
      <c r="Y111" s="25">
        <v>1</v>
      </c>
      <c r="Z111" s="27">
        <v>1</v>
      </c>
      <c r="AA111" s="25">
        <v>1</v>
      </c>
      <c r="AB111" s="36">
        <f t="shared" si="10"/>
        <v>11</v>
      </c>
      <c r="AC111" s="331"/>
      <c r="AE111" s="349"/>
      <c r="AF111" s="349"/>
      <c r="AG111" s="349"/>
      <c r="AH111" s="349"/>
      <c r="AI111" s="349"/>
      <c r="AJ111" s="349"/>
      <c r="AK111" s="349"/>
      <c r="AL111" s="349"/>
      <c r="AM111" s="349"/>
      <c r="AN111" s="349"/>
      <c r="AO111" s="349"/>
      <c r="AP111" s="349"/>
      <c r="AQ111" s="349"/>
      <c r="AR111" s="349"/>
      <c r="AS111" s="349"/>
      <c r="AT111" s="349"/>
      <c r="AU111" s="349"/>
      <c r="AV111" s="349"/>
    </row>
    <row r="112" spans="2:48" s="140" customFormat="1" ht="15" hidden="1">
      <c r="B112" s="117"/>
      <c r="C112" s="264" t="s">
        <v>114</v>
      </c>
      <c r="D112" s="114"/>
      <c r="E112" s="110" t="s">
        <v>21</v>
      </c>
      <c r="F112" s="138"/>
      <c r="G112" s="235" t="s">
        <v>460</v>
      </c>
      <c r="H112" s="438" t="s">
        <v>57</v>
      </c>
      <c r="I112" s="438"/>
      <c r="J112" s="438"/>
      <c r="K112" s="438"/>
      <c r="L112" s="27"/>
      <c r="M112" s="28"/>
      <c r="N112" s="28"/>
      <c r="O112" s="28"/>
      <c r="P112" s="25"/>
      <c r="Q112" s="27">
        <v>1</v>
      </c>
      <c r="R112" s="28">
        <v>1</v>
      </c>
      <c r="S112" s="28">
        <v>1</v>
      </c>
      <c r="T112" s="28">
        <v>1</v>
      </c>
      <c r="U112" s="28">
        <v>1</v>
      </c>
      <c r="V112" s="25">
        <v>1</v>
      </c>
      <c r="W112" s="27">
        <v>1</v>
      </c>
      <c r="X112" s="28">
        <v>1</v>
      </c>
      <c r="Y112" s="25">
        <v>1</v>
      </c>
      <c r="Z112" s="27">
        <v>1</v>
      </c>
      <c r="AA112" s="25"/>
      <c r="AB112" s="36">
        <f t="shared" si="10"/>
        <v>10</v>
      </c>
      <c r="AC112" s="331"/>
      <c r="AE112" s="349"/>
      <c r="AF112" s="349"/>
      <c r="AG112" s="349"/>
      <c r="AH112" s="349"/>
      <c r="AI112" s="349"/>
      <c r="AJ112" s="349"/>
      <c r="AK112" s="349"/>
      <c r="AL112" s="349"/>
      <c r="AM112" s="349"/>
      <c r="AN112" s="349"/>
      <c r="AO112" s="349"/>
      <c r="AP112" s="349"/>
      <c r="AQ112" s="349"/>
      <c r="AR112" s="349"/>
      <c r="AS112" s="349"/>
      <c r="AT112" s="349"/>
      <c r="AU112" s="349"/>
      <c r="AV112" s="349"/>
    </row>
    <row r="113" spans="2:48" s="140" customFormat="1" ht="15" hidden="1">
      <c r="B113" s="117"/>
      <c r="C113" s="264" t="s">
        <v>114</v>
      </c>
      <c r="D113" s="114"/>
      <c r="E113" s="110" t="s">
        <v>22</v>
      </c>
      <c r="F113" s="138"/>
      <c r="G113" s="235" t="s">
        <v>461</v>
      </c>
      <c r="H113" s="438" t="s">
        <v>57</v>
      </c>
      <c r="I113" s="438"/>
      <c r="J113" s="438"/>
      <c r="K113" s="438"/>
      <c r="L113" s="27"/>
      <c r="M113" s="28"/>
      <c r="N113" s="28"/>
      <c r="O113" s="28"/>
      <c r="P113" s="25"/>
      <c r="Q113" s="27">
        <v>1</v>
      </c>
      <c r="R113" s="28">
        <v>1</v>
      </c>
      <c r="S113" s="28">
        <v>1</v>
      </c>
      <c r="T113" s="28">
        <v>1</v>
      </c>
      <c r="U113" s="28">
        <v>1</v>
      </c>
      <c r="V113" s="25">
        <v>1</v>
      </c>
      <c r="W113" s="27">
        <v>1</v>
      </c>
      <c r="X113" s="28">
        <v>1</v>
      </c>
      <c r="Y113" s="25">
        <v>1</v>
      </c>
      <c r="Z113" s="27">
        <v>1</v>
      </c>
      <c r="AA113" s="25">
        <v>1</v>
      </c>
      <c r="AB113" s="36">
        <f t="shared" si="10"/>
        <v>11</v>
      </c>
      <c r="AC113" s="331"/>
      <c r="AE113" s="349"/>
      <c r="AF113" s="349"/>
      <c r="AG113" s="349"/>
      <c r="AH113" s="349"/>
      <c r="AI113" s="349"/>
      <c r="AJ113" s="349"/>
      <c r="AK113" s="349"/>
      <c r="AL113" s="349"/>
      <c r="AM113" s="349"/>
      <c r="AN113" s="349"/>
      <c r="AO113" s="349"/>
      <c r="AP113" s="349"/>
      <c r="AQ113" s="349"/>
      <c r="AR113" s="349"/>
      <c r="AS113" s="349"/>
      <c r="AT113" s="349"/>
      <c r="AU113" s="349"/>
      <c r="AV113" s="349"/>
    </row>
    <row r="114" spans="2:48" s="140" customFormat="1" ht="15" hidden="1">
      <c r="B114" s="117"/>
      <c r="C114" s="264" t="s">
        <v>115</v>
      </c>
      <c r="D114" s="114"/>
      <c r="E114" s="110" t="s">
        <v>22</v>
      </c>
      <c r="F114" s="138"/>
      <c r="G114" s="235" t="s">
        <v>462</v>
      </c>
      <c r="H114" s="438" t="s">
        <v>57</v>
      </c>
      <c r="I114" s="438"/>
      <c r="J114" s="438"/>
      <c r="K114" s="438"/>
      <c r="L114" s="27"/>
      <c r="M114" s="28">
        <v>1</v>
      </c>
      <c r="N114" s="28">
        <v>1</v>
      </c>
      <c r="O114" s="28">
        <v>1</v>
      </c>
      <c r="P114" s="25">
        <v>1</v>
      </c>
      <c r="Q114" s="27">
        <v>1</v>
      </c>
      <c r="R114" s="28">
        <v>1</v>
      </c>
      <c r="S114" s="28">
        <v>1</v>
      </c>
      <c r="T114" s="28">
        <v>1</v>
      </c>
      <c r="U114" s="28">
        <v>1</v>
      </c>
      <c r="V114" s="25">
        <v>1</v>
      </c>
      <c r="W114" s="27">
        <v>1</v>
      </c>
      <c r="X114" s="28">
        <v>1</v>
      </c>
      <c r="Y114" s="25">
        <v>1</v>
      </c>
      <c r="Z114" s="27">
        <v>1</v>
      </c>
      <c r="AA114" s="25">
        <v>1</v>
      </c>
      <c r="AB114" s="36">
        <f t="shared" si="10"/>
        <v>15</v>
      </c>
      <c r="AC114" s="331" t="s">
        <v>152</v>
      </c>
      <c r="AE114" s="349"/>
      <c r="AF114" s="349"/>
      <c r="AG114" s="349"/>
      <c r="AH114" s="349"/>
      <c r="AI114" s="349"/>
      <c r="AJ114" s="349"/>
      <c r="AK114" s="349"/>
      <c r="AL114" s="349"/>
      <c r="AM114" s="349"/>
      <c r="AN114" s="349"/>
      <c r="AO114" s="349"/>
      <c r="AP114" s="349"/>
      <c r="AQ114" s="349"/>
      <c r="AR114" s="349"/>
      <c r="AS114" s="349"/>
      <c r="AT114" s="349"/>
      <c r="AU114" s="349"/>
      <c r="AV114" s="349"/>
    </row>
    <row r="115" spans="2:48" s="140" customFormat="1" ht="15" hidden="1">
      <c r="B115" s="117"/>
      <c r="C115" s="264" t="s">
        <v>115</v>
      </c>
      <c r="D115" s="114"/>
      <c r="E115" s="110" t="s">
        <v>22</v>
      </c>
      <c r="F115" s="138"/>
      <c r="G115" s="235" t="s">
        <v>463</v>
      </c>
      <c r="H115" s="438" t="s">
        <v>57</v>
      </c>
      <c r="I115" s="438"/>
      <c r="J115" s="438"/>
      <c r="K115" s="438"/>
      <c r="L115" s="27"/>
      <c r="M115" s="28"/>
      <c r="N115" s="28"/>
      <c r="O115" s="28"/>
      <c r="P115" s="25"/>
      <c r="Q115" s="27"/>
      <c r="R115" s="28"/>
      <c r="S115" s="28">
        <v>1</v>
      </c>
      <c r="T115" s="28">
        <v>1</v>
      </c>
      <c r="U115" s="28">
        <v>1</v>
      </c>
      <c r="V115" s="25">
        <v>1</v>
      </c>
      <c r="W115" s="27">
        <v>1</v>
      </c>
      <c r="X115" s="28">
        <v>1</v>
      </c>
      <c r="Y115" s="25">
        <v>1</v>
      </c>
      <c r="Z115" s="27">
        <v>1</v>
      </c>
      <c r="AA115" s="25"/>
      <c r="AB115" s="36">
        <f t="shared" si="10"/>
        <v>8</v>
      </c>
      <c r="AC115" s="331"/>
      <c r="AE115" s="349"/>
      <c r="AF115" s="349"/>
      <c r="AG115" s="349"/>
      <c r="AH115" s="349"/>
      <c r="AI115" s="349"/>
      <c r="AJ115" s="349"/>
      <c r="AK115" s="349"/>
      <c r="AL115" s="349"/>
      <c r="AM115" s="349"/>
      <c r="AN115" s="349"/>
      <c r="AO115" s="349"/>
      <c r="AP115" s="349"/>
      <c r="AQ115" s="349"/>
      <c r="AR115" s="349"/>
      <c r="AS115" s="349"/>
      <c r="AT115" s="349"/>
      <c r="AU115" s="349"/>
      <c r="AV115" s="349"/>
    </row>
    <row r="116" spans="2:48" s="140" customFormat="1" ht="15" hidden="1">
      <c r="B116" s="117"/>
      <c r="C116" s="264" t="s">
        <v>115</v>
      </c>
      <c r="D116" s="114"/>
      <c r="E116" s="110" t="s">
        <v>22</v>
      </c>
      <c r="F116" s="138"/>
      <c r="G116" s="235" t="s">
        <v>464</v>
      </c>
      <c r="H116" s="438" t="s">
        <v>57</v>
      </c>
      <c r="I116" s="438"/>
      <c r="J116" s="438"/>
      <c r="K116" s="438"/>
      <c r="L116" s="27"/>
      <c r="M116" s="28"/>
      <c r="N116" s="28"/>
      <c r="O116" s="28"/>
      <c r="P116" s="25"/>
      <c r="Q116" s="27">
        <v>1</v>
      </c>
      <c r="R116" s="28">
        <v>1</v>
      </c>
      <c r="S116" s="28">
        <v>1</v>
      </c>
      <c r="T116" s="28">
        <v>1</v>
      </c>
      <c r="U116" s="28">
        <v>1</v>
      </c>
      <c r="V116" s="25">
        <v>1</v>
      </c>
      <c r="W116" s="27">
        <v>1</v>
      </c>
      <c r="X116" s="28">
        <v>1</v>
      </c>
      <c r="Y116" s="25">
        <v>1</v>
      </c>
      <c r="Z116" s="27">
        <v>1</v>
      </c>
      <c r="AA116" s="25"/>
      <c r="AB116" s="36">
        <f t="shared" si="10"/>
        <v>10</v>
      </c>
      <c r="AC116" s="331"/>
      <c r="AE116" s="349"/>
      <c r="AF116" s="349"/>
      <c r="AG116" s="349"/>
      <c r="AH116" s="349"/>
      <c r="AI116" s="349"/>
      <c r="AJ116" s="349"/>
      <c r="AK116" s="349"/>
      <c r="AL116" s="349"/>
      <c r="AM116" s="349"/>
      <c r="AN116" s="349"/>
      <c r="AO116" s="349"/>
      <c r="AP116" s="349"/>
      <c r="AQ116" s="349"/>
      <c r="AR116" s="349"/>
      <c r="AS116" s="349"/>
      <c r="AT116" s="349"/>
      <c r="AU116" s="349"/>
      <c r="AV116" s="349"/>
    </row>
    <row r="117" spans="2:48" s="140" customFormat="1" ht="15" hidden="1">
      <c r="B117" s="117"/>
      <c r="C117" s="264" t="s">
        <v>116</v>
      </c>
      <c r="D117" s="114"/>
      <c r="E117" s="110" t="s">
        <v>22</v>
      </c>
      <c r="F117" s="138"/>
      <c r="G117" s="235" t="s">
        <v>182</v>
      </c>
      <c r="H117" s="438" t="s">
        <v>57</v>
      </c>
      <c r="I117" s="438"/>
      <c r="J117" s="438"/>
      <c r="K117" s="438"/>
      <c r="L117" s="27"/>
      <c r="M117" s="28">
        <v>1</v>
      </c>
      <c r="N117" s="28">
        <v>1</v>
      </c>
      <c r="O117" s="28">
        <v>1</v>
      </c>
      <c r="P117" s="25">
        <v>1</v>
      </c>
      <c r="Q117" s="27">
        <v>1</v>
      </c>
      <c r="R117" s="28">
        <v>1</v>
      </c>
      <c r="S117" s="28">
        <v>1</v>
      </c>
      <c r="T117" s="28">
        <v>1</v>
      </c>
      <c r="U117" s="28">
        <v>1</v>
      </c>
      <c r="V117" s="25">
        <v>1</v>
      </c>
      <c r="W117" s="27">
        <v>1</v>
      </c>
      <c r="X117" s="28">
        <v>1</v>
      </c>
      <c r="Y117" s="25">
        <v>1</v>
      </c>
      <c r="Z117" s="27">
        <v>1</v>
      </c>
      <c r="AA117" s="25">
        <v>1</v>
      </c>
      <c r="AB117" s="77">
        <f t="shared" si="10"/>
        <v>15</v>
      </c>
      <c r="AC117" s="331"/>
      <c r="AE117" s="349"/>
      <c r="AF117" s="349"/>
      <c r="AG117" s="349"/>
      <c r="AH117" s="349"/>
      <c r="AI117" s="349"/>
      <c r="AJ117" s="349"/>
      <c r="AK117" s="349"/>
      <c r="AL117" s="349"/>
      <c r="AM117" s="349"/>
      <c r="AN117" s="349"/>
      <c r="AO117" s="349"/>
      <c r="AP117" s="349"/>
      <c r="AQ117" s="349"/>
      <c r="AR117" s="349"/>
      <c r="AS117" s="349"/>
      <c r="AT117" s="349"/>
      <c r="AU117" s="349"/>
      <c r="AV117" s="349"/>
    </row>
    <row r="118" spans="2:48" s="150" customFormat="1" ht="15" hidden="1">
      <c r="B118" s="117"/>
      <c r="C118" s="264" t="s">
        <v>134</v>
      </c>
      <c r="D118" s="114"/>
      <c r="E118" s="110" t="s">
        <v>22</v>
      </c>
      <c r="F118" s="138"/>
      <c r="G118" s="269" t="s">
        <v>22</v>
      </c>
      <c r="H118" s="226" t="s">
        <v>101</v>
      </c>
      <c r="I118" s="226"/>
      <c r="J118" s="226"/>
      <c r="K118" s="226"/>
      <c r="L118" s="27"/>
      <c r="M118" s="28"/>
      <c r="N118" s="28"/>
      <c r="O118" s="28"/>
      <c r="P118" s="25"/>
      <c r="Q118" s="27">
        <v>1</v>
      </c>
      <c r="R118" s="28">
        <v>1</v>
      </c>
      <c r="S118" s="28">
        <v>1</v>
      </c>
      <c r="T118" s="28">
        <v>1</v>
      </c>
      <c r="U118" s="28">
        <v>1</v>
      </c>
      <c r="V118" s="25">
        <v>1</v>
      </c>
      <c r="W118" s="27">
        <v>1</v>
      </c>
      <c r="X118" s="28">
        <v>1</v>
      </c>
      <c r="Y118" s="25">
        <v>1</v>
      </c>
      <c r="Z118" s="27">
        <v>1</v>
      </c>
      <c r="AA118" s="25">
        <v>1</v>
      </c>
      <c r="AB118" s="77">
        <f t="shared" si="10"/>
        <v>11</v>
      </c>
      <c r="AC118" s="333" t="s">
        <v>183</v>
      </c>
      <c r="AE118" s="349"/>
      <c r="AF118" s="349"/>
      <c r="AG118" s="349"/>
      <c r="AH118" s="349"/>
      <c r="AI118" s="349"/>
      <c r="AJ118" s="349"/>
      <c r="AK118" s="349"/>
      <c r="AL118" s="349"/>
      <c r="AM118" s="349"/>
      <c r="AN118" s="349"/>
      <c r="AO118" s="349"/>
      <c r="AP118" s="349"/>
      <c r="AQ118" s="349"/>
      <c r="AR118" s="349"/>
      <c r="AS118" s="349"/>
      <c r="AT118" s="349"/>
      <c r="AU118" s="349"/>
      <c r="AV118" s="349"/>
    </row>
    <row r="119" spans="2:48" s="140" customFormat="1" ht="15" hidden="1">
      <c r="B119" s="117"/>
      <c r="C119" s="264" t="s">
        <v>116</v>
      </c>
      <c r="D119" s="114"/>
      <c r="E119" s="110" t="s">
        <v>22</v>
      </c>
      <c r="F119" s="138"/>
      <c r="G119" s="235" t="s">
        <v>465</v>
      </c>
      <c r="H119" s="438" t="s">
        <v>57</v>
      </c>
      <c r="I119" s="438"/>
      <c r="J119" s="438"/>
      <c r="K119" s="438"/>
      <c r="L119" s="27"/>
      <c r="M119" s="28"/>
      <c r="N119" s="28"/>
      <c r="O119" s="28"/>
      <c r="P119" s="25"/>
      <c r="Q119" s="27">
        <v>1</v>
      </c>
      <c r="R119" s="28">
        <v>1</v>
      </c>
      <c r="S119" s="28">
        <v>1</v>
      </c>
      <c r="T119" s="28">
        <v>1</v>
      </c>
      <c r="U119" s="28">
        <v>1</v>
      </c>
      <c r="V119" s="25">
        <v>1</v>
      </c>
      <c r="W119" s="27">
        <v>1</v>
      </c>
      <c r="X119" s="28">
        <v>1</v>
      </c>
      <c r="Y119" s="25">
        <v>1</v>
      </c>
      <c r="Z119" s="27">
        <v>1</v>
      </c>
      <c r="AA119" s="25"/>
      <c r="AB119" s="77">
        <f t="shared" si="10"/>
        <v>10</v>
      </c>
      <c r="AC119" s="331"/>
      <c r="AE119" s="349"/>
      <c r="AF119" s="349"/>
      <c r="AG119" s="349"/>
      <c r="AH119" s="349"/>
      <c r="AI119" s="349"/>
      <c r="AJ119" s="349"/>
      <c r="AK119" s="349"/>
      <c r="AL119" s="349"/>
      <c r="AM119" s="349"/>
      <c r="AN119" s="349"/>
      <c r="AO119" s="349"/>
      <c r="AP119" s="349"/>
      <c r="AQ119" s="349"/>
      <c r="AR119" s="349"/>
      <c r="AS119" s="349"/>
      <c r="AT119" s="349"/>
      <c r="AU119" s="349"/>
      <c r="AV119" s="349"/>
    </row>
    <row r="120" spans="2:48" s="140" customFormat="1" ht="15" hidden="1">
      <c r="B120" s="117"/>
      <c r="C120" s="264" t="s">
        <v>117</v>
      </c>
      <c r="D120" s="114"/>
      <c r="E120" s="110" t="s">
        <v>21</v>
      </c>
      <c r="F120" s="138"/>
      <c r="G120" s="235" t="s">
        <v>74</v>
      </c>
      <c r="H120" s="438" t="s">
        <v>57</v>
      </c>
      <c r="I120" s="438"/>
      <c r="J120" s="438"/>
      <c r="K120" s="438"/>
      <c r="L120" s="27"/>
      <c r="M120" s="28"/>
      <c r="N120" s="28"/>
      <c r="O120" s="28"/>
      <c r="P120" s="25"/>
      <c r="Q120" s="27">
        <v>1</v>
      </c>
      <c r="R120" s="28">
        <v>1</v>
      </c>
      <c r="S120" s="28">
        <v>1</v>
      </c>
      <c r="T120" s="28">
        <v>1</v>
      </c>
      <c r="U120" s="28">
        <v>1</v>
      </c>
      <c r="V120" s="25">
        <v>1</v>
      </c>
      <c r="W120" s="27">
        <v>1</v>
      </c>
      <c r="X120" s="28">
        <v>1</v>
      </c>
      <c r="Y120" s="25">
        <v>1</v>
      </c>
      <c r="Z120" s="27">
        <v>1</v>
      </c>
      <c r="AA120" s="25">
        <v>1</v>
      </c>
      <c r="AB120" s="77">
        <f t="shared" si="10"/>
        <v>11</v>
      </c>
      <c r="AC120" s="331"/>
      <c r="AE120" s="349"/>
      <c r="AF120" s="349"/>
      <c r="AG120" s="349"/>
      <c r="AH120" s="349"/>
      <c r="AI120" s="349"/>
      <c r="AJ120" s="349"/>
      <c r="AK120" s="349"/>
      <c r="AL120" s="349"/>
      <c r="AM120" s="349"/>
      <c r="AN120" s="349"/>
      <c r="AO120" s="349"/>
      <c r="AP120" s="349"/>
      <c r="AQ120" s="349"/>
      <c r="AR120" s="349"/>
      <c r="AS120" s="349"/>
      <c r="AT120" s="349"/>
      <c r="AU120" s="349"/>
      <c r="AV120" s="349"/>
    </row>
    <row r="121" spans="2:48" s="140" customFormat="1" ht="15" hidden="1">
      <c r="B121" s="117"/>
      <c r="C121" s="264" t="s">
        <v>117</v>
      </c>
      <c r="D121" s="114"/>
      <c r="E121" s="110" t="s">
        <v>22</v>
      </c>
      <c r="F121" s="138"/>
      <c r="G121" s="235" t="s">
        <v>466</v>
      </c>
      <c r="H121" s="438" t="s">
        <v>57</v>
      </c>
      <c r="I121" s="438"/>
      <c r="J121" s="438"/>
      <c r="K121" s="438"/>
      <c r="L121" s="27"/>
      <c r="M121" s="28"/>
      <c r="N121" s="28"/>
      <c r="O121" s="28"/>
      <c r="P121" s="25"/>
      <c r="Q121" s="27">
        <v>1</v>
      </c>
      <c r="R121" s="28">
        <v>1</v>
      </c>
      <c r="S121" s="28">
        <v>1</v>
      </c>
      <c r="T121" s="28">
        <v>1</v>
      </c>
      <c r="U121" s="28">
        <v>1</v>
      </c>
      <c r="V121" s="25">
        <v>1</v>
      </c>
      <c r="W121" s="27">
        <v>1</v>
      </c>
      <c r="X121" s="28">
        <v>1</v>
      </c>
      <c r="Y121" s="25">
        <v>1</v>
      </c>
      <c r="Z121" s="27">
        <v>1</v>
      </c>
      <c r="AA121" s="25"/>
      <c r="AB121" s="77">
        <f t="shared" si="10"/>
        <v>10</v>
      </c>
      <c r="AC121" s="331"/>
      <c r="AE121" s="349"/>
      <c r="AF121" s="349"/>
      <c r="AG121" s="349"/>
      <c r="AH121" s="349"/>
      <c r="AI121" s="349"/>
      <c r="AJ121" s="349"/>
      <c r="AK121" s="349"/>
      <c r="AL121" s="349"/>
      <c r="AM121" s="349"/>
      <c r="AN121" s="349"/>
      <c r="AO121" s="349"/>
      <c r="AP121" s="349"/>
      <c r="AQ121" s="349"/>
      <c r="AR121" s="349"/>
      <c r="AS121" s="349"/>
      <c r="AT121" s="349"/>
      <c r="AU121" s="349"/>
      <c r="AV121" s="349"/>
    </row>
    <row r="122" spans="2:48" s="150" customFormat="1" ht="15" hidden="1">
      <c r="B122" s="117"/>
      <c r="C122" s="264" t="s">
        <v>135</v>
      </c>
      <c r="D122" s="114"/>
      <c r="E122" s="110" t="s">
        <v>21</v>
      </c>
      <c r="F122" s="138"/>
      <c r="G122" s="269" t="s">
        <v>22</v>
      </c>
      <c r="H122" s="226" t="s">
        <v>101</v>
      </c>
      <c r="I122" s="226"/>
      <c r="J122" s="226"/>
      <c r="K122" s="226"/>
      <c r="L122" s="27"/>
      <c r="M122" s="28"/>
      <c r="N122" s="28"/>
      <c r="O122" s="28"/>
      <c r="P122" s="25"/>
      <c r="Q122" s="27">
        <v>1</v>
      </c>
      <c r="R122" s="28">
        <v>1</v>
      </c>
      <c r="S122" s="28">
        <v>1</v>
      </c>
      <c r="T122" s="28">
        <v>1</v>
      </c>
      <c r="U122" s="28">
        <v>1</v>
      </c>
      <c r="V122" s="25">
        <v>1</v>
      </c>
      <c r="W122" s="27">
        <v>1</v>
      </c>
      <c r="X122" s="28">
        <v>1</v>
      </c>
      <c r="Y122" s="25">
        <v>1</v>
      </c>
      <c r="Z122" s="27">
        <v>1</v>
      </c>
      <c r="AA122" s="25"/>
      <c r="AB122" s="77">
        <f t="shared" si="10"/>
        <v>10</v>
      </c>
      <c r="AC122" s="333" t="s">
        <v>183</v>
      </c>
      <c r="AE122" s="349"/>
      <c r="AF122" s="349"/>
      <c r="AG122" s="349"/>
      <c r="AH122" s="349"/>
      <c r="AI122" s="349"/>
      <c r="AJ122" s="349"/>
      <c r="AK122" s="349"/>
      <c r="AL122" s="349"/>
      <c r="AM122" s="349"/>
      <c r="AN122" s="349"/>
      <c r="AO122" s="349"/>
      <c r="AP122" s="349"/>
      <c r="AQ122" s="349"/>
      <c r="AR122" s="349"/>
      <c r="AS122" s="349"/>
      <c r="AT122" s="349"/>
      <c r="AU122" s="349"/>
      <c r="AV122" s="349"/>
    </row>
    <row r="123" spans="2:48" s="140" customFormat="1" ht="15" hidden="1">
      <c r="B123" s="117"/>
      <c r="C123" s="264" t="s">
        <v>118</v>
      </c>
      <c r="D123" s="114"/>
      <c r="E123" s="110" t="s">
        <v>21</v>
      </c>
      <c r="F123" s="116"/>
      <c r="G123" s="236" t="s">
        <v>467</v>
      </c>
      <c r="H123" s="439" t="s">
        <v>57</v>
      </c>
      <c r="I123" s="439"/>
      <c r="J123" s="439"/>
      <c r="K123" s="439"/>
      <c r="L123" s="27"/>
      <c r="M123" s="28"/>
      <c r="N123" s="28"/>
      <c r="O123" s="28"/>
      <c r="P123" s="25"/>
      <c r="Q123" s="27">
        <v>1</v>
      </c>
      <c r="R123" s="28">
        <v>1</v>
      </c>
      <c r="S123" s="28">
        <v>1</v>
      </c>
      <c r="T123" s="28">
        <v>1</v>
      </c>
      <c r="U123" s="28">
        <v>1</v>
      </c>
      <c r="V123" s="25">
        <v>1</v>
      </c>
      <c r="W123" s="27">
        <v>1</v>
      </c>
      <c r="X123" s="28">
        <v>1</v>
      </c>
      <c r="Y123" s="25">
        <v>1</v>
      </c>
      <c r="Z123" s="27">
        <v>1</v>
      </c>
      <c r="AA123" s="25">
        <v>1</v>
      </c>
      <c r="AB123" s="77">
        <f t="shared" si="10"/>
        <v>11</v>
      </c>
      <c r="AC123" s="322"/>
      <c r="AE123" s="349"/>
      <c r="AF123" s="349"/>
      <c r="AG123" s="349"/>
      <c r="AH123" s="349"/>
      <c r="AI123" s="349"/>
      <c r="AJ123" s="349"/>
      <c r="AK123" s="349"/>
      <c r="AL123" s="349"/>
      <c r="AM123" s="349"/>
      <c r="AN123" s="349"/>
      <c r="AO123" s="349"/>
      <c r="AP123" s="349"/>
      <c r="AQ123" s="349"/>
      <c r="AR123" s="349"/>
      <c r="AS123" s="349"/>
      <c r="AT123" s="349"/>
      <c r="AU123" s="349"/>
      <c r="AV123" s="349"/>
    </row>
    <row r="124" spans="2:48" s="140" customFormat="1" ht="15" hidden="1">
      <c r="B124" s="117"/>
      <c r="C124" s="264" t="s">
        <v>119</v>
      </c>
      <c r="D124" s="114"/>
      <c r="E124" s="110" t="s">
        <v>21</v>
      </c>
      <c r="F124" s="116"/>
      <c r="G124" s="236" t="s">
        <v>468</v>
      </c>
      <c r="H124" s="439" t="s">
        <v>57</v>
      </c>
      <c r="I124" s="439"/>
      <c r="J124" s="439"/>
      <c r="K124" s="439"/>
      <c r="L124" s="27"/>
      <c r="M124" s="28"/>
      <c r="N124" s="28"/>
      <c r="O124" s="28"/>
      <c r="P124" s="25"/>
      <c r="Q124" s="27">
        <v>1</v>
      </c>
      <c r="R124" s="28">
        <v>1</v>
      </c>
      <c r="S124" s="28">
        <v>1</v>
      </c>
      <c r="T124" s="28">
        <v>1</v>
      </c>
      <c r="U124" s="28">
        <v>1</v>
      </c>
      <c r="V124" s="25">
        <v>1</v>
      </c>
      <c r="W124" s="27">
        <v>1</v>
      </c>
      <c r="X124" s="28">
        <v>1</v>
      </c>
      <c r="Y124" s="25">
        <v>1</v>
      </c>
      <c r="Z124" s="27">
        <v>1</v>
      </c>
      <c r="AA124" s="25"/>
      <c r="AB124" s="77">
        <f t="shared" si="10"/>
        <v>10</v>
      </c>
      <c r="AC124" s="322"/>
      <c r="AE124" s="349"/>
      <c r="AF124" s="349"/>
      <c r="AG124" s="349"/>
      <c r="AH124" s="349"/>
      <c r="AI124" s="349"/>
      <c r="AJ124" s="349"/>
      <c r="AK124" s="349"/>
      <c r="AL124" s="349"/>
      <c r="AM124" s="349"/>
      <c r="AN124" s="349"/>
      <c r="AO124" s="349"/>
      <c r="AP124" s="349"/>
      <c r="AQ124" s="349"/>
      <c r="AR124" s="349"/>
      <c r="AS124" s="349"/>
      <c r="AT124" s="349"/>
      <c r="AU124" s="349"/>
      <c r="AV124" s="349"/>
    </row>
    <row r="125" spans="2:48" s="150" customFormat="1" ht="15" hidden="1">
      <c r="B125" s="117"/>
      <c r="C125" s="264" t="s">
        <v>136</v>
      </c>
      <c r="D125" s="114"/>
      <c r="E125" s="110" t="s">
        <v>22</v>
      </c>
      <c r="F125" s="116"/>
      <c r="G125" s="269" t="s">
        <v>22</v>
      </c>
      <c r="H125" s="226" t="s">
        <v>101</v>
      </c>
      <c r="I125" s="226"/>
      <c r="J125" s="226"/>
      <c r="K125" s="226"/>
      <c r="L125" s="27"/>
      <c r="M125" s="28"/>
      <c r="N125" s="28"/>
      <c r="O125" s="28"/>
      <c r="P125" s="25"/>
      <c r="Q125" s="27">
        <v>1</v>
      </c>
      <c r="R125" s="28">
        <v>1</v>
      </c>
      <c r="S125" s="28">
        <v>1</v>
      </c>
      <c r="T125" s="28">
        <v>1</v>
      </c>
      <c r="U125" s="28">
        <v>1</v>
      </c>
      <c r="V125" s="25">
        <v>1</v>
      </c>
      <c r="W125" s="27">
        <v>1</v>
      </c>
      <c r="X125" s="28">
        <v>1</v>
      </c>
      <c r="Y125" s="25">
        <v>1</v>
      </c>
      <c r="Z125" s="27">
        <v>1</v>
      </c>
      <c r="AA125" s="25">
        <v>1</v>
      </c>
      <c r="AB125" s="77">
        <f t="shared" si="10"/>
        <v>11</v>
      </c>
      <c r="AC125" s="334" t="s">
        <v>133</v>
      </c>
      <c r="AE125" s="349"/>
      <c r="AF125" s="349"/>
      <c r="AG125" s="349"/>
      <c r="AH125" s="349"/>
      <c r="AI125" s="349"/>
      <c r="AJ125" s="349"/>
      <c r="AK125" s="349"/>
      <c r="AL125" s="349"/>
      <c r="AM125" s="349"/>
      <c r="AN125" s="349"/>
      <c r="AO125" s="349"/>
      <c r="AP125" s="349"/>
      <c r="AQ125" s="349"/>
      <c r="AR125" s="349"/>
      <c r="AS125" s="349"/>
      <c r="AT125" s="349"/>
      <c r="AU125" s="349"/>
      <c r="AV125" s="349"/>
    </row>
    <row r="126" spans="2:48" s="140" customFormat="1" ht="15" hidden="1">
      <c r="B126" s="117"/>
      <c r="C126" s="264" t="s">
        <v>120</v>
      </c>
      <c r="D126" s="114"/>
      <c r="E126" s="110" t="s">
        <v>22</v>
      </c>
      <c r="F126" s="116"/>
      <c r="G126" s="236" t="s">
        <v>184</v>
      </c>
      <c r="H126" s="439" t="s">
        <v>57</v>
      </c>
      <c r="I126" s="439"/>
      <c r="J126" s="439"/>
      <c r="K126" s="439"/>
      <c r="L126" s="27"/>
      <c r="M126" s="28"/>
      <c r="N126" s="28"/>
      <c r="O126" s="28"/>
      <c r="P126" s="25"/>
      <c r="Q126" s="27">
        <v>1</v>
      </c>
      <c r="R126" s="28">
        <v>1</v>
      </c>
      <c r="S126" s="28">
        <v>1</v>
      </c>
      <c r="T126" s="28">
        <v>1</v>
      </c>
      <c r="U126" s="28">
        <v>1</v>
      </c>
      <c r="V126" s="25">
        <v>1</v>
      </c>
      <c r="W126" s="27">
        <v>1</v>
      </c>
      <c r="X126" s="28">
        <v>1</v>
      </c>
      <c r="Y126" s="25">
        <v>1</v>
      </c>
      <c r="Z126" s="27">
        <v>1</v>
      </c>
      <c r="AA126" s="25"/>
      <c r="AB126" s="77">
        <f t="shared" si="10"/>
        <v>10</v>
      </c>
      <c r="AC126" s="322"/>
      <c r="AE126" s="349"/>
      <c r="AF126" s="349"/>
      <c r="AG126" s="349"/>
      <c r="AH126" s="349"/>
      <c r="AI126" s="349"/>
      <c r="AJ126" s="349"/>
      <c r="AK126" s="349"/>
      <c r="AL126" s="349"/>
      <c r="AM126" s="349"/>
      <c r="AN126" s="349"/>
      <c r="AO126" s="349"/>
      <c r="AP126" s="349"/>
      <c r="AQ126" s="349"/>
      <c r="AR126" s="349"/>
      <c r="AS126" s="349"/>
      <c r="AT126" s="349"/>
      <c r="AU126" s="349"/>
      <c r="AV126" s="349"/>
    </row>
    <row r="127" spans="2:48" s="140" customFormat="1" ht="15" hidden="1">
      <c r="B127" s="117"/>
      <c r="C127" s="264" t="s">
        <v>469</v>
      </c>
      <c r="D127" s="114" t="s">
        <v>143</v>
      </c>
      <c r="E127" s="110" t="s">
        <v>22</v>
      </c>
      <c r="F127" s="445"/>
      <c r="G127" s="235" t="s">
        <v>74</v>
      </c>
      <c r="H127" s="443" t="s">
        <v>57</v>
      </c>
      <c r="I127" s="441"/>
      <c r="J127" s="441"/>
      <c r="K127" s="441"/>
      <c r="L127" s="52"/>
      <c r="M127" s="53"/>
      <c r="N127" s="53"/>
      <c r="O127" s="53"/>
      <c r="P127" s="54"/>
      <c r="Q127" s="52">
        <v>1</v>
      </c>
      <c r="R127" s="53">
        <v>1</v>
      </c>
      <c r="S127" s="53">
        <v>1</v>
      </c>
      <c r="T127" s="53">
        <v>1</v>
      </c>
      <c r="U127" s="53">
        <v>1</v>
      </c>
      <c r="V127" s="54">
        <v>1</v>
      </c>
      <c r="W127" s="52">
        <v>1</v>
      </c>
      <c r="X127" s="53">
        <v>1</v>
      </c>
      <c r="Y127" s="54">
        <v>1</v>
      </c>
      <c r="Z127" s="52">
        <v>1</v>
      </c>
      <c r="AA127" s="54">
        <v>1</v>
      </c>
      <c r="AB127" s="77">
        <f t="shared" si="10"/>
        <v>11</v>
      </c>
      <c r="AC127" s="322"/>
      <c r="AE127" s="349"/>
      <c r="AF127" s="349"/>
      <c r="AG127" s="349"/>
      <c r="AH127" s="349"/>
      <c r="AI127" s="349"/>
      <c r="AJ127" s="349"/>
      <c r="AK127" s="349"/>
      <c r="AL127" s="349"/>
      <c r="AM127" s="349"/>
      <c r="AN127" s="349"/>
      <c r="AO127" s="349"/>
      <c r="AP127" s="349"/>
      <c r="AQ127" s="349"/>
      <c r="AR127" s="349"/>
      <c r="AS127" s="349"/>
      <c r="AT127" s="349"/>
      <c r="AU127" s="349"/>
      <c r="AV127" s="349"/>
    </row>
    <row r="128" spans="2:48" s="140" customFormat="1" ht="15" hidden="1">
      <c r="B128" s="117"/>
      <c r="C128" s="263" t="s">
        <v>469</v>
      </c>
      <c r="D128" s="114" t="s">
        <v>143</v>
      </c>
      <c r="E128" s="108" t="s">
        <v>22</v>
      </c>
      <c r="F128" s="440"/>
      <c r="G128" s="237" t="s">
        <v>185</v>
      </c>
      <c r="H128" s="443" t="s">
        <v>57</v>
      </c>
      <c r="I128" s="443"/>
      <c r="J128" s="443"/>
      <c r="K128" s="443"/>
      <c r="L128" s="27"/>
      <c r="M128" s="28"/>
      <c r="N128" s="28"/>
      <c r="O128" s="28"/>
      <c r="P128" s="25"/>
      <c r="Q128" s="27">
        <v>1</v>
      </c>
      <c r="R128" s="28">
        <v>1</v>
      </c>
      <c r="S128" s="28">
        <v>1</v>
      </c>
      <c r="T128" s="28">
        <v>1</v>
      </c>
      <c r="U128" s="28">
        <v>1</v>
      </c>
      <c r="V128" s="25">
        <v>1</v>
      </c>
      <c r="W128" s="27">
        <v>1</v>
      </c>
      <c r="X128" s="28">
        <v>1</v>
      </c>
      <c r="Y128" s="25">
        <v>1</v>
      </c>
      <c r="Z128" s="27">
        <v>1</v>
      </c>
      <c r="AA128" s="25"/>
      <c r="AB128" s="77">
        <f t="shared" si="10"/>
        <v>10</v>
      </c>
      <c r="AC128" s="322"/>
      <c r="AD128" s="414"/>
      <c r="AE128" s="349"/>
      <c r="AF128" s="349"/>
      <c r="AG128" s="349"/>
      <c r="AH128" s="349"/>
      <c r="AI128" s="349"/>
      <c r="AJ128" s="349"/>
      <c r="AK128" s="349"/>
      <c r="AL128" s="349"/>
      <c r="AM128" s="349"/>
      <c r="AN128" s="349"/>
      <c r="AO128" s="349"/>
      <c r="AP128" s="349"/>
      <c r="AQ128" s="349"/>
      <c r="AR128" s="349"/>
      <c r="AS128" s="349"/>
      <c r="AT128" s="349"/>
      <c r="AU128" s="349"/>
      <c r="AV128" s="349"/>
    </row>
    <row r="129" spans="2:48" s="140" customFormat="1" ht="15" hidden="1">
      <c r="B129" s="117"/>
      <c r="C129" s="264" t="s">
        <v>121</v>
      </c>
      <c r="D129" s="114"/>
      <c r="E129" s="110" t="s">
        <v>19</v>
      </c>
      <c r="F129" s="116"/>
      <c r="G129" s="236" t="s">
        <v>470</v>
      </c>
      <c r="H129" s="439" t="s">
        <v>57</v>
      </c>
      <c r="I129" s="439"/>
      <c r="J129" s="439"/>
      <c r="K129" s="439"/>
      <c r="L129" s="27"/>
      <c r="M129" s="28">
        <v>1</v>
      </c>
      <c r="N129" s="28">
        <v>1</v>
      </c>
      <c r="O129" s="28">
        <v>1</v>
      </c>
      <c r="P129" s="25">
        <v>1</v>
      </c>
      <c r="Q129" s="27">
        <v>1</v>
      </c>
      <c r="R129" s="28">
        <v>1</v>
      </c>
      <c r="S129" s="28">
        <v>1</v>
      </c>
      <c r="T129" s="28">
        <v>1</v>
      </c>
      <c r="U129" s="28">
        <v>1</v>
      </c>
      <c r="V129" s="25">
        <v>1</v>
      </c>
      <c r="W129" s="27">
        <v>1</v>
      </c>
      <c r="X129" s="28">
        <v>1</v>
      </c>
      <c r="Y129" s="25">
        <v>1</v>
      </c>
      <c r="Z129" s="27">
        <v>1</v>
      </c>
      <c r="AA129" s="25">
        <v>1</v>
      </c>
      <c r="AB129" s="77">
        <f t="shared" si="10"/>
        <v>15</v>
      </c>
      <c r="AC129" s="322"/>
      <c r="AE129" s="349"/>
      <c r="AF129" s="349"/>
      <c r="AG129" s="349"/>
      <c r="AH129" s="349"/>
      <c r="AI129" s="349"/>
      <c r="AJ129" s="349"/>
      <c r="AK129" s="349"/>
      <c r="AL129" s="349"/>
      <c r="AM129" s="349"/>
      <c r="AN129" s="349"/>
      <c r="AO129" s="349"/>
      <c r="AP129" s="349"/>
      <c r="AQ129" s="349"/>
      <c r="AR129" s="349"/>
      <c r="AS129" s="349"/>
      <c r="AT129" s="349"/>
      <c r="AU129" s="349"/>
      <c r="AV129" s="349"/>
    </row>
    <row r="130" spans="2:48" s="140" customFormat="1" ht="15" hidden="1">
      <c r="B130" s="117"/>
      <c r="C130" s="264" t="s">
        <v>121</v>
      </c>
      <c r="D130" s="114"/>
      <c r="E130" s="110" t="s">
        <v>21</v>
      </c>
      <c r="F130" s="116"/>
      <c r="G130" s="236" t="s">
        <v>471</v>
      </c>
      <c r="H130" s="439" t="s">
        <v>57</v>
      </c>
      <c r="I130" s="439"/>
      <c r="J130" s="439"/>
      <c r="K130" s="439"/>
      <c r="L130" s="27"/>
      <c r="M130" s="28"/>
      <c r="N130" s="28"/>
      <c r="O130" s="28"/>
      <c r="P130" s="25">
        <v>0.5</v>
      </c>
      <c r="Q130" s="27">
        <v>1</v>
      </c>
      <c r="R130" s="28">
        <v>1</v>
      </c>
      <c r="S130" s="28">
        <v>1</v>
      </c>
      <c r="T130" s="28">
        <v>1</v>
      </c>
      <c r="U130" s="28">
        <v>1</v>
      </c>
      <c r="V130" s="25">
        <v>1</v>
      </c>
      <c r="W130" s="27">
        <v>1</v>
      </c>
      <c r="X130" s="28">
        <v>1</v>
      </c>
      <c r="Y130" s="25">
        <v>1</v>
      </c>
      <c r="Z130" s="27">
        <v>1</v>
      </c>
      <c r="AA130" s="25">
        <v>1</v>
      </c>
      <c r="AB130" s="77">
        <f t="shared" si="10"/>
        <v>11.5</v>
      </c>
      <c r="AC130" s="322"/>
      <c r="AE130" s="349"/>
      <c r="AF130" s="349"/>
      <c r="AG130" s="349"/>
      <c r="AH130" s="349"/>
      <c r="AI130" s="349"/>
      <c r="AJ130" s="349"/>
      <c r="AK130" s="349"/>
      <c r="AL130" s="349"/>
      <c r="AM130" s="349"/>
      <c r="AN130" s="349"/>
      <c r="AO130" s="349"/>
      <c r="AP130" s="349"/>
      <c r="AQ130" s="349"/>
      <c r="AR130" s="349"/>
      <c r="AS130" s="349"/>
      <c r="AT130" s="349"/>
      <c r="AU130" s="349"/>
      <c r="AV130" s="349"/>
    </row>
    <row r="131" spans="2:48" s="140" customFormat="1" ht="15" hidden="1">
      <c r="B131" s="117"/>
      <c r="C131" s="264" t="s">
        <v>121</v>
      </c>
      <c r="D131" s="114"/>
      <c r="E131" s="110" t="s">
        <v>22</v>
      </c>
      <c r="F131" s="116"/>
      <c r="G131" s="236" t="s">
        <v>472</v>
      </c>
      <c r="H131" s="439" t="s">
        <v>57</v>
      </c>
      <c r="I131" s="439"/>
      <c r="J131" s="439"/>
      <c r="K131" s="439"/>
      <c r="L131" s="27"/>
      <c r="M131" s="28"/>
      <c r="N131" s="28"/>
      <c r="O131" s="28"/>
      <c r="P131" s="25"/>
      <c r="Q131" s="27">
        <v>1</v>
      </c>
      <c r="R131" s="28">
        <v>1</v>
      </c>
      <c r="S131" s="28">
        <v>1</v>
      </c>
      <c r="T131" s="28">
        <v>1</v>
      </c>
      <c r="U131" s="28">
        <v>1</v>
      </c>
      <c r="V131" s="25">
        <v>1</v>
      </c>
      <c r="W131" s="27">
        <v>1</v>
      </c>
      <c r="X131" s="28">
        <v>1</v>
      </c>
      <c r="Y131" s="25">
        <v>1</v>
      </c>
      <c r="Z131" s="27">
        <v>1</v>
      </c>
      <c r="AA131" s="25"/>
      <c r="AB131" s="77">
        <f>SUM(L131:AA131)</f>
        <v>10</v>
      </c>
      <c r="AC131" s="322"/>
      <c r="AE131" s="349"/>
      <c r="AF131" s="349"/>
      <c r="AG131" s="349"/>
      <c r="AH131" s="349"/>
      <c r="AI131" s="349"/>
      <c r="AJ131" s="349"/>
      <c r="AK131" s="349"/>
      <c r="AL131" s="349"/>
      <c r="AM131" s="349"/>
      <c r="AN131" s="349"/>
      <c r="AO131" s="349"/>
      <c r="AP131" s="349"/>
      <c r="AQ131" s="349"/>
      <c r="AR131" s="349"/>
      <c r="AS131" s="349"/>
      <c r="AT131" s="349"/>
      <c r="AU131" s="349"/>
      <c r="AV131" s="349"/>
    </row>
    <row r="132" spans="2:48" s="140" customFormat="1" ht="15" hidden="1">
      <c r="B132" s="117"/>
      <c r="C132" s="264" t="s">
        <v>121</v>
      </c>
      <c r="D132" s="114"/>
      <c r="E132" s="110" t="s">
        <v>22</v>
      </c>
      <c r="F132" s="116"/>
      <c r="G132" s="235" t="s">
        <v>74</v>
      </c>
      <c r="H132" s="439" t="s">
        <v>57</v>
      </c>
      <c r="I132" s="441"/>
      <c r="J132" s="441"/>
      <c r="K132" s="441"/>
      <c r="L132" s="297"/>
      <c r="M132" s="28"/>
      <c r="N132" s="28"/>
      <c r="O132" s="28"/>
      <c r="P132" s="25"/>
      <c r="Q132" s="27">
        <v>1</v>
      </c>
      <c r="R132" s="28">
        <v>1</v>
      </c>
      <c r="S132" s="28">
        <v>1</v>
      </c>
      <c r="T132" s="28">
        <v>1</v>
      </c>
      <c r="U132" s="28">
        <v>1</v>
      </c>
      <c r="V132" s="25">
        <v>1</v>
      </c>
      <c r="W132" s="27">
        <v>1</v>
      </c>
      <c r="X132" s="28">
        <v>1</v>
      </c>
      <c r="Y132" s="25">
        <v>1</v>
      </c>
      <c r="Z132" s="27">
        <v>1</v>
      </c>
      <c r="AA132" s="25"/>
      <c r="AB132" s="77">
        <f t="shared" si="10"/>
        <v>10</v>
      </c>
      <c r="AC132" s="322"/>
      <c r="AE132" s="349"/>
      <c r="AF132" s="349"/>
      <c r="AG132" s="349"/>
      <c r="AH132" s="349"/>
      <c r="AI132" s="349"/>
      <c r="AJ132" s="349"/>
      <c r="AK132" s="349"/>
      <c r="AL132" s="349"/>
      <c r="AM132" s="349"/>
      <c r="AN132" s="349"/>
      <c r="AO132" s="349"/>
      <c r="AP132" s="349"/>
      <c r="AQ132" s="349"/>
      <c r="AR132" s="349"/>
      <c r="AS132" s="349"/>
      <c r="AT132" s="349"/>
      <c r="AU132" s="349"/>
      <c r="AV132" s="349"/>
    </row>
    <row r="133" spans="2:48" s="150" customFormat="1" ht="15" hidden="1">
      <c r="B133" s="117"/>
      <c r="C133" s="169" t="s">
        <v>138</v>
      </c>
      <c r="D133" s="73"/>
      <c r="E133" s="30" t="s">
        <v>22</v>
      </c>
      <c r="F133" s="31"/>
      <c r="G133" s="269" t="s">
        <v>22</v>
      </c>
      <c r="H133" s="226" t="s">
        <v>101</v>
      </c>
      <c r="I133" s="224"/>
      <c r="J133" s="224"/>
      <c r="K133" s="224"/>
      <c r="L133" s="39"/>
      <c r="M133" s="40"/>
      <c r="N133" s="28"/>
      <c r="O133" s="40"/>
      <c r="P133" s="122"/>
      <c r="Q133" s="39"/>
      <c r="R133" s="40">
        <v>1</v>
      </c>
      <c r="S133" s="40">
        <v>1</v>
      </c>
      <c r="T133" s="40">
        <v>1</v>
      </c>
      <c r="U133" s="40">
        <v>1</v>
      </c>
      <c r="V133" s="122">
        <v>1</v>
      </c>
      <c r="W133" s="39"/>
      <c r="X133" s="40"/>
      <c r="Y133" s="122"/>
      <c r="Z133" s="39"/>
      <c r="AA133" s="122"/>
      <c r="AB133" s="190">
        <f>SUM(L133:AA133)</f>
        <v>5</v>
      </c>
      <c r="AC133" s="328" t="s">
        <v>137</v>
      </c>
      <c r="AE133" s="349"/>
      <c r="AF133" s="349"/>
      <c r="AG133" s="349"/>
      <c r="AH133" s="349"/>
      <c r="AI133" s="349"/>
      <c r="AJ133" s="349"/>
      <c r="AK133" s="349"/>
      <c r="AL133" s="349"/>
      <c r="AM133" s="349"/>
      <c r="AN133" s="349"/>
      <c r="AO133" s="349"/>
      <c r="AP133" s="349"/>
      <c r="AQ133" s="349"/>
      <c r="AR133" s="349"/>
      <c r="AS133" s="349"/>
      <c r="AT133" s="349"/>
      <c r="AU133" s="349"/>
      <c r="AV133" s="349"/>
    </row>
    <row r="134" spans="2:48" s="150" customFormat="1" ht="15" hidden="1">
      <c r="B134" s="117"/>
      <c r="C134" s="169" t="s">
        <v>189</v>
      </c>
      <c r="D134" s="81" t="s">
        <v>140</v>
      </c>
      <c r="E134" s="30" t="s">
        <v>13</v>
      </c>
      <c r="F134" s="30"/>
      <c r="G134" s="236"/>
      <c r="H134" s="446" t="s">
        <v>58</v>
      </c>
      <c r="I134" s="446"/>
      <c r="J134" s="446"/>
      <c r="K134" s="446"/>
      <c r="L134" s="27"/>
      <c r="M134" s="28">
        <v>1</v>
      </c>
      <c r="N134" s="28">
        <v>1</v>
      </c>
      <c r="O134" s="28">
        <v>1</v>
      </c>
      <c r="P134" s="25">
        <v>1</v>
      </c>
      <c r="Q134" s="27">
        <v>1</v>
      </c>
      <c r="R134" s="28">
        <v>1</v>
      </c>
      <c r="S134" s="28">
        <v>1</v>
      </c>
      <c r="T134" s="28">
        <v>1</v>
      </c>
      <c r="U134" s="28">
        <v>1</v>
      </c>
      <c r="V134" s="25">
        <v>1</v>
      </c>
      <c r="W134" s="27">
        <v>1</v>
      </c>
      <c r="X134" s="28">
        <v>1</v>
      </c>
      <c r="Y134" s="25">
        <v>1</v>
      </c>
      <c r="Z134" s="27">
        <v>1</v>
      </c>
      <c r="AA134" s="25">
        <v>0.5</v>
      </c>
      <c r="AB134" s="77">
        <f t="shared" ref="AB134:AB156" si="12">SUM(L134:AA134)</f>
        <v>14.5</v>
      </c>
      <c r="AC134" s="328"/>
      <c r="AE134" s="349"/>
      <c r="AF134" s="349"/>
      <c r="AG134" s="349"/>
      <c r="AH134" s="349"/>
      <c r="AI134" s="349"/>
      <c r="AJ134" s="349"/>
      <c r="AK134" s="349"/>
      <c r="AL134" s="349"/>
      <c r="AM134" s="349"/>
      <c r="AN134" s="349"/>
      <c r="AO134" s="349"/>
      <c r="AP134" s="349"/>
      <c r="AQ134" s="349"/>
      <c r="AR134" s="349"/>
      <c r="AS134" s="349"/>
      <c r="AT134" s="349"/>
      <c r="AU134" s="349"/>
      <c r="AV134" s="349"/>
    </row>
    <row r="135" spans="2:48" s="150" customFormat="1" ht="15" hidden="1">
      <c r="B135" s="117"/>
      <c r="C135" s="169" t="s">
        <v>190</v>
      </c>
      <c r="D135" s="81"/>
      <c r="E135" s="30" t="s">
        <v>13</v>
      </c>
      <c r="F135" s="30"/>
      <c r="G135" s="447"/>
      <c r="H135" s="446" t="s">
        <v>58</v>
      </c>
      <c r="I135" s="446"/>
      <c r="J135" s="446"/>
      <c r="K135" s="446"/>
      <c r="L135" s="27"/>
      <c r="M135" s="28">
        <v>1</v>
      </c>
      <c r="N135" s="28">
        <v>1</v>
      </c>
      <c r="O135" s="28">
        <v>1</v>
      </c>
      <c r="P135" s="25">
        <v>1</v>
      </c>
      <c r="Q135" s="27">
        <v>1</v>
      </c>
      <c r="R135" s="28">
        <v>1</v>
      </c>
      <c r="S135" s="28">
        <v>1</v>
      </c>
      <c r="T135" s="28">
        <v>1</v>
      </c>
      <c r="U135" s="28">
        <v>1</v>
      </c>
      <c r="V135" s="25">
        <v>1</v>
      </c>
      <c r="W135" s="27">
        <v>1</v>
      </c>
      <c r="X135" s="28">
        <v>1</v>
      </c>
      <c r="Y135" s="25">
        <v>1</v>
      </c>
      <c r="Z135" s="27">
        <v>0.5</v>
      </c>
      <c r="AA135" s="25"/>
      <c r="AB135" s="77">
        <f t="shared" si="12"/>
        <v>13.5</v>
      </c>
      <c r="AC135" s="328"/>
      <c r="AE135" s="349"/>
      <c r="AF135" s="349"/>
      <c r="AG135" s="349"/>
      <c r="AH135" s="349"/>
      <c r="AI135" s="349"/>
      <c r="AJ135" s="349"/>
      <c r="AK135" s="349"/>
      <c r="AL135" s="349"/>
      <c r="AM135" s="349"/>
      <c r="AN135" s="349"/>
      <c r="AO135" s="349"/>
      <c r="AP135" s="349"/>
      <c r="AQ135" s="349"/>
      <c r="AR135" s="349"/>
      <c r="AS135" s="349"/>
      <c r="AT135" s="349"/>
      <c r="AU135" s="349"/>
      <c r="AV135" s="349"/>
    </row>
    <row r="136" spans="2:48" s="150" customFormat="1" ht="15" hidden="1">
      <c r="B136" s="117"/>
      <c r="C136" s="169" t="s">
        <v>190</v>
      </c>
      <c r="D136" s="81"/>
      <c r="E136" s="30" t="s">
        <v>19</v>
      </c>
      <c r="F136" s="30"/>
      <c r="G136" s="236"/>
      <c r="H136" s="446" t="s">
        <v>58</v>
      </c>
      <c r="I136" s="446"/>
      <c r="J136" s="446"/>
      <c r="K136" s="446"/>
      <c r="L136" s="27"/>
      <c r="M136" s="28"/>
      <c r="N136" s="28"/>
      <c r="O136" s="28">
        <v>1</v>
      </c>
      <c r="P136" s="25">
        <v>1</v>
      </c>
      <c r="Q136" s="27">
        <v>1</v>
      </c>
      <c r="R136" s="28">
        <v>1</v>
      </c>
      <c r="S136" s="28">
        <v>1</v>
      </c>
      <c r="T136" s="28">
        <v>1</v>
      </c>
      <c r="U136" s="28">
        <v>1</v>
      </c>
      <c r="V136" s="25">
        <v>1</v>
      </c>
      <c r="W136" s="27">
        <v>1</v>
      </c>
      <c r="X136" s="28">
        <v>1</v>
      </c>
      <c r="Y136" s="25">
        <v>1</v>
      </c>
      <c r="Z136" s="27">
        <v>1</v>
      </c>
      <c r="AA136" s="25">
        <v>0.5</v>
      </c>
      <c r="AB136" s="77">
        <f t="shared" si="12"/>
        <v>12.5</v>
      </c>
      <c r="AC136" s="328"/>
      <c r="AE136" s="349"/>
      <c r="AF136" s="349"/>
      <c r="AG136" s="349"/>
      <c r="AH136" s="349"/>
      <c r="AI136" s="349"/>
      <c r="AJ136" s="349"/>
      <c r="AK136" s="349"/>
      <c r="AL136" s="349"/>
      <c r="AM136" s="349"/>
      <c r="AN136" s="349"/>
      <c r="AO136" s="349"/>
      <c r="AP136" s="349"/>
      <c r="AQ136" s="349"/>
      <c r="AR136" s="349"/>
      <c r="AS136" s="349"/>
      <c r="AT136" s="349"/>
      <c r="AU136" s="349"/>
      <c r="AV136" s="349"/>
    </row>
    <row r="137" spans="2:48" s="150" customFormat="1" ht="15" hidden="1">
      <c r="B137" s="117"/>
      <c r="C137" s="169" t="s">
        <v>191</v>
      </c>
      <c r="D137" s="81"/>
      <c r="E137" s="30" t="s">
        <v>19</v>
      </c>
      <c r="F137" s="30"/>
      <c r="G137" s="236"/>
      <c r="H137" s="446" t="s">
        <v>58</v>
      </c>
      <c r="I137" s="446"/>
      <c r="J137" s="446"/>
      <c r="K137" s="446"/>
      <c r="L137" s="27"/>
      <c r="M137" s="28"/>
      <c r="N137" s="28"/>
      <c r="O137" s="28"/>
      <c r="P137" s="25">
        <v>0.5</v>
      </c>
      <c r="Q137" s="27">
        <v>1</v>
      </c>
      <c r="R137" s="28">
        <v>1</v>
      </c>
      <c r="S137" s="28">
        <v>1</v>
      </c>
      <c r="T137" s="28">
        <v>1</v>
      </c>
      <c r="U137" s="28">
        <v>1</v>
      </c>
      <c r="V137" s="25">
        <v>1</v>
      </c>
      <c r="W137" s="27">
        <v>1</v>
      </c>
      <c r="X137" s="28">
        <v>1</v>
      </c>
      <c r="Y137" s="25">
        <v>1</v>
      </c>
      <c r="Z137" s="27">
        <v>0.5</v>
      </c>
      <c r="AA137" s="25"/>
      <c r="AB137" s="77">
        <f t="shared" si="12"/>
        <v>10</v>
      </c>
      <c r="AC137" s="328"/>
      <c r="AE137" s="349"/>
      <c r="AF137" s="349"/>
      <c r="AG137" s="349"/>
      <c r="AH137" s="349"/>
      <c r="AI137" s="349"/>
      <c r="AJ137" s="349"/>
      <c r="AK137" s="349"/>
      <c r="AL137" s="349"/>
      <c r="AM137" s="349"/>
      <c r="AN137" s="349"/>
      <c r="AO137" s="349"/>
      <c r="AP137" s="349"/>
      <c r="AQ137" s="349"/>
      <c r="AR137" s="349"/>
      <c r="AS137" s="349"/>
      <c r="AT137" s="349"/>
      <c r="AU137" s="349"/>
      <c r="AV137" s="349"/>
    </row>
    <row r="138" spans="2:48" s="150" customFormat="1" ht="15" hidden="1">
      <c r="B138" s="117"/>
      <c r="C138" s="169" t="s">
        <v>192</v>
      </c>
      <c r="D138" s="81"/>
      <c r="E138" s="30" t="s">
        <v>21</v>
      </c>
      <c r="F138" s="30"/>
      <c r="G138" s="236"/>
      <c r="H138" s="446" t="s">
        <v>58</v>
      </c>
      <c r="I138" s="446"/>
      <c r="J138" s="446"/>
      <c r="K138" s="446"/>
      <c r="L138" s="27"/>
      <c r="M138" s="28"/>
      <c r="N138" s="28"/>
      <c r="O138" s="28"/>
      <c r="P138" s="25"/>
      <c r="Q138" s="27">
        <v>1</v>
      </c>
      <c r="R138" s="28">
        <v>1</v>
      </c>
      <c r="S138" s="28">
        <v>1</v>
      </c>
      <c r="T138" s="28">
        <v>1</v>
      </c>
      <c r="U138" s="28">
        <v>1</v>
      </c>
      <c r="V138" s="25">
        <v>1</v>
      </c>
      <c r="W138" s="27">
        <v>1</v>
      </c>
      <c r="X138" s="28">
        <v>1</v>
      </c>
      <c r="Y138" s="25">
        <v>1</v>
      </c>
      <c r="Z138" s="27">
        <v>0.5</v>
      </c>
      <c r="AA138" s="25"/>
      <c r="AB138" s="77">
        <f t="shared" si="12"/>
        <v>9.5</v>
      </c>
      <c r="AC138" s="328"/>
      <c r="AE138" s="349"/>
      <c r="AF138" s="349"/>
      <c r="AG138" s="349"/>
      <c r="AH138" s="349"/>
      <c r="AI138" s="349"/>
      <c r="AJ138" s="349"/>
      <c r="AK138" s="349"/>
      <c r="AL138" s="349"/>
      <c r="AM138" s="349"/>
      <c r="AN138" s="349"/>
      <c r="AO138" s="349"/>
      <c r="AP138" s="349"/>
      <c r="AQ138" s="349"/>
      <c r="AR138" s="349"/>
      <c r="AS138" s="349"/>
      <c r="AT138" s="349"/>
      <c r="AU138" s="349"/>
      <c r="AV138" s="349"/>
    </row>
    <row r="139" spans="2:48" s="150" customFormat="1" ht="15" hidden="1">
      <c r="B139" s="117"/>
      <c r="C139" s="169" t="s">
        <v>192</v>
      </c>
      <c r="D139" s="81"/>
      <c r="E139" s="30" t="s">
        <v>22</v>
      </c>
      <c r="F139" s="30"/>
      <c r="G139" s="236"/>
      <c r="H139" s="446" t="s">
        <v>58</v>
      </c>
      <c r="I139" s="446"/>
      <c r="J139" s="446"/>
      <c r="K139" s="446"/>
      <c r="L139" s="27"/>
      <c r="M139" s="28"/>
      <c r="N139" s="28"/>
      <c r="O139" s="28"/>
      <c r="P139" s="25"/>
      <c r="Q139" s="27">
        <v>1</v>
      </c>
      <c r="R139" s="28">
        <v>1</v>
      </c>
      <c r="S139" s="28">
        <v>1</v>
      </c>
      <c r="T139" s="28">
        <v>1</v>
      </c>
      <c r="U139" s="28">
        <v>1</v>
      </c>
      <c r="V139" s="25">
        <v>1</v>
      </c>
      <c r="W139" s="27">
        <v>1</v>
      </c>
      <c r="X139" s="28">
        <v>1</v>
      </c>
      <c r="Y139" s="25">
        <v>1</v>
      </c>
      <c r="Z139" s="27"/>
      <c r="AA139" s="25"/>
      <c r="AB139" s="77">
        <f t="shared" si="12"/>
        <v>9</v>
      </c>
      <c r="AC139" s="328"/>
      <c r="AE139" s="349"/>
      <c r="AF139" s="349"/>
      <c r="AG139" s="349"/>
      <c r="AH139" s="349"/>
      <c r="AI139" s="349"/>
      <c r="AJ139" s="349"/>
      <c r="AK139" s="349"/>
      <c r="AL139" s="349"/>
      <c r="AM139" s="349"/>
      <c r="AN139" s="349"/>
      <c r="AO139" s="349"/>
      <c r="AP139" s="349"/>
      <c r="AQ139" s="349"/>
      <c r="AR139" s="349"/>
      <c r="AS139" s="349"/>
      <c r="AT139" s="349"/>
      <c r="AU139" s="349"/>
      <c r="AV139" s="349"/>
    </row>
    <row r="140" spans="2:48" s="150" customFormat="1" ht="15" hidden="1">
      <c r="B140" s="117"/>
      <c r="C140" s="169" t="s">
        <v>193</v>
      </c>
      <c r="D140" s="73"/>
      <c r="E140" s="30" t="s">
        <v>13</v>
      </c>
      <c r="F140" s="31"/>
      <c r="G140" s="269"/>
      <c r="H140" s="446" t="s">
        <v>58</v>
      </c>
      <c r="I140" s="446"/>
      <c r="J140" s="446"/>
      <c r="K140" s="446"/>
      <c r="L140" s="27"/>
      <c r="M140" s="28"/>
      <c r="N140" s="28">
        <v>0.5</v>
      </c>
      <c r="O140" s="28">
        <v>1</v>
      </c>
      <c r="P140" s="25">
        <v>1</v>
      </c>
      <c r="Q140" s="27">
        <v>1</v>
      </c>
      <c r="R140" s="28">
        <v>1</v>
      </c>
      <c r="S140" s="28">
        <v>1</v>
      </c>
      <c r="T140" s="28">
        <v>1</v>
      </c>
      <c r="U140" s="28">
        <v>1</v>
      </c>
      <c r="V140" s="25">
        <v>1</v>
      </c>
      <c r="W140" s="27">
        <v>1</v>
      </c>
      <c r="X140" s="28">
        <v>1</v>
      </c>
      <c r="Y140" s="25">
        <v>1</v>
      </c>
      <c r="Z140" s="27">
        <v>1</v>
      </c>
      <c r="AA140" s="25">
        <v>0.5</v>
      </c>
      <c r="AB140" s="77">
        <f t="shared" si="12"/>
        <v>13</v>
      </c>
      <c r="AC140" s="328"/>
      <c r="AE140" s="349"/>
      <c r="AF140" s="349"/>
      <c r="AG140" s="349"/>
      <c r="AH140" s="349"/>
      <c r="AI140" s="349"/>
      <c r="AJ140" s="349"/>
      <c r="AK140" s="349"/>
      <c r="AL140" s="349"/>
      <c r="AM140" s="349"/>
      <c r="AN140" s="349"/>
      <c r="AO140" s="349"/>
      <c r="AP140" s="349"/>
      <c r="AQ140" s="349"/>
      <c r="AR140" s="349"/>
      <c r="AS140" s="349"/>
      <c r="AT140" s="349"/>
      <c r="AU140" s="349"/>
      <c r="AV140" s="349"/>
    </row>
    <row r="141" spans="2:48" s="150" customFormat="1" ht="15" hidden="1">
      <c r="B141" s="117"/>
      <c r="C141" s="169" t="s">
        <v>193</v>
      </c>
      <c r="D141" s="73"/>
      <c r="E141" s="30" t="s">
        <v>19</v>
      </c>
      <c r="F141" s="31"/>
      <c r="G141" s="269"/>
      <c r="H141" s="446" t="s">
        <v>58</v>
      </c>
      <c r="I141" s="446"/>
      <c r="J141" s="446"/>
      <c r="K141" s="446"/>
      <c r="L141" s="27"/>
      <c r="M141" s="28"/>
      <c r="N141" s="28"/>
      <c r="O141" s="28">
        <v>0.5</v>
      </c>
      <c r="P141" s="25">
        <v>1</v>
      </c>
      <c r="Q141" s="27">
        <v>0.5</v>
      </c>
      <c r="R141" s="28">
        <v>1</v>
      </c>
      <c r="S141" s="28">
        <v>1</v>
      </c>
      <c r="T141" s="28">
        <v>1</v>
      </c>
      <c r="U141" s="28">
        <v>1</v>
      </c>
      <c r="V141" s="25">
        <v>1</v>
      </c>
      <c r="W141" s="27">
        <v>1</v>
      </c>
      <c r="X141" s="28">
        <v>1</v>
      </c>
      <c r="Y141" s="25">
        <v>1</v>
      </c>
      <c r="Z141" s="27">
        <v>1</v>
      </c>
      <c r="AA141" s="25"/>
      <c r="AB141" s="77">
        <f t="shared" si="12"/>
        <v>11</v>
      </c>
      <c r="AC141" s="328"/>
      <c r="AE141" s="349"/>
      <c r="AF141" s="349"/>
      <c r="AG141" s="349"/>
      <c r="AH141" s="349"/>
      <c r="AI141" s="349"/>
      <c r="AJ141" s="349"/>
      <c r="AK141" s="349"/>
      <c r="AL141" s="349"/>
      <c r="AM141" s="349"/>
      <c r="AN141" s="349"/>
      <c r="AO141" s="349"/>
      <c r="AP141" s="349"/>
      <c r="AQ141" s="349"/>
      <c r="AR141" s="349"/>
      <c r="AS141" s="349"/>
      <c r="AT141" s="349"/>
      <c r="AU141" s="349"/>
      <c r="AV141" s="349"/>
    </row>
    <row r="142" spans="2:48" s="150" customFormat="1" ht="16" hidden="1">
      <c r="B142" s="117"/>
      <c r="C142" s="169" t="s">
        <v>420</v>
      </c>
      <c r="D142" s="73"/>
      <c r="E142" s="448" t="s">
        <v>13</v>
      </c>
      <c r="F142" s="31"/>
      <c r="G142" s="269"/>
      <c r="H142" s="446" t="s">
        <v>40</v>
      </c>
      <c r="I142" s="467"/>
      <c r="J142" s="467"/>
      <c r="K142" s="467"/>
      <c r="L142" s="39"/>
      <c r="M142" s="218">
        <v>1</v>
      </c>
      <c r="N142" s="218">
        <v>1</v>
      </c>
      <c r="O142" s="218">
        <v>1</v>
      </c>
      <c r="P142" s="282">
        <v>1</v>
      </c>
      <c r="Q142" s="281">
        <v>1</v>
      </c>
      <c r="R142" s="218">
        <v>1</v>
      </c>
      <c r="S142" s="218">
        <v>1</v>
      </c>
      <c r="T142" s="218">
        <v>1</v>
      </c>
      <c r="U142" s="218">
        <v>1</v>
      </c>
      <c r="V142" s="282">
        <v>1</v>
      </c>
      <c r="W142" s="449">
        <v>1</v>
      </c>
      <c r="X142" s="450">
        <v>1</v>
      </c>
      <c r="Y142" s="451">
        <v>1</v>
      </c>
      <c r="Z142" s="449">
        <v>1</v>
      </c>
      <c r="AA142" s="451">
        <v>1</v>
      </c>
      <c r="AB142" s="77">
        <f t="shared" si="12"/>
        <v>15</v>
      </c>
      <c r="AC142" s="328"/>
      <c r="AE142" s="349"/>
      <c r="AF142" s="349"/>
      <c r="AG142" s="349"/>
      <c r="AH142" s="349"/>
      <c r="AI142" s="349"/>
      <c r="AJ142" s="349"/>
      <c r="AK142" s="349"/>
      <c r="AL142" s="349"/>
      <c r="AM142" s="349"/>
      <c r="AN142" s="349"/>
      <c r="AO142" s="349"/>
      <c r="AP142" s="349"/>
      <c r="AQ142" s="349"/>
      <c r="AR142" s="349"/>
      <c r="AS142" s="349"/>
      <c r="AT142" s="349"/>
      <c r="AU142" s="349"/>
      <c r="AV142" s="349"/>
    </row>
    <row r="143" spans="2:48" s="150" customFormat="1" ht="16" hidden="1">
      <c r="B143" s="117"/>
      <c r="C143" s="169" t="s">
        <v>251</v>
      </c>
      <c r="D143" s="73"/>
      <c r="E143" s="448" t="s">
        <v>13</v>
      </c>
      <c r="F143" s="31"/>
      <c r="G143" s="269"/>
      <c r="H143" s="446" t="s">
        <v>40</v>
      </c>
      <c r="I143" s="467"/>
      <c r="J143" s="467"/>
      <c r="K143" s="467"/>
      <c r="L143" s="39"/>
      <c r="M143" s="218">
        <v>1</v>
      </c>
      <c r="N143" s="218">
        <v>1</v>
      </c>
      <c r="O143" s="218">
        <v>1</v>
      </c>
      <c r="P143" s="282">
        <v>1</v>
      </c>
      <c r="Q143" s="281">
        <v>1</v>
      </c>
      <c r="R143" s="218">
        <v>1</v>
      </c>
      <c r="S143" s="218">
        <v>1</v>
      </c>
      <c r="T143" s="218">
        <v>1</v>
      </c>
      <c r="U143" s="218">
        <v>1</v>
      </c>
      <c r="V143" s="282">
        <v>1</v>
      </c>
      <c r="W143" s="281">
        <v>1</v>
      </c>
      <c r="X143" s="218">
        <v>1</v>
      </c>
      <c r="Y143" s="282">
        <v>1</v>
      </c>
      <c r="Z143" s="281">
        <v>1</v>
      </c>
      <c r="AA143" s="282">
        <v>1</v>
      </c>
      <c r="AB143" s="77">
        <f t="shared" si="12"/>
        <v>15</v>
      </c>
      <c r="AC143" s="328"/>
      <c r="AE143" s="349"/>
      <c r="AF143" s="349"/>
      <c r="AG143" s="349"/>
      <c r="AH143" s="349"/>
      <c r="AI143" s="349"/>
      <c r="AJ143" s="349"/>
      <c r="AK143" s="349"/>
      <c r="AL143" s="349"/>
      <c r="AM143" s="349"/>
      <c r="AN143" s="349"/>
      <c r="AO143" s="349"/>
      <c r="AP143" s="349"/>
      <c r="AQ143" s="349"/>
      <c r="AR143" s="349"/>
      <c r="AS143" s="349"/>
      <c r="AT143" s="349"/>
      <c r="AU143" s="349"/>
      <c r="AV143" s="349"/>
    </row>
    <row r="144" spans="2:48" s="150" customFormat="1" ht="16" hidden="1">
      <c r="B144" s="117"/>
      <c r="C144" s="169" t="s">
        <v>190</v>
      </c>
      <c r="D144" s="73"/>
      <c r="E144" s="448" t="s">
        <v>42</v>
      </c>
      <c r="F144" s="31"/>
      <c r="G144" s="269"/>
      <c r="H144" s="446" t="s">
        <v>40</v>
      </c>
      <c r="I144" s="467"/>
      <c r="J144" s="467"/>
      <c r="K144" s="467"/>
      <c r="L144" s="39"/>
      <c r="M144" s="219"/>
      <c r="N144" s="219"/>
      <c r="O144" s="219"/>
      <c r="P144" s="282">
        <v>1</v>
      </c>
      <c r="Q144" s="281">
        <v>1</v>
      </c>
      <c r="R144" s="218">
        <v>1</v>
      </c>
      <c r="S144" s="218">
        <v>1</v>
      </c>
      <c r="T144" s="218">
        <v>1</v>
      </c>
      <c r="U144" s="218">
        <v>1</v>
      </c>
      <c r="V144" s="282">
        <v>1</v>
      </c>
      <c r="W144" s="281">
        <v>1</v>
      </c>
      <c r="X144" s="218">
        <v>1</v>
      </c>
      <c r="Y144" s="282">
        <v>1</v>
      </c>
      <c r="Z144" s="281">
        <v>1</v>
      </c>
      <c r="AA144" s="282">
        <v>1</v>
      </c>
      <c r="AB144" s="77">
        <f t="shared" si="12"/>
        <v>12</v>
      </c>
      <c r="AC144" s="328"/>
      <c r="AE144" s="349"/>
      <c r="AF144" s="349"/>
      <c r="AG144" s="349"/>
      <c r="AH144" s="349"/>
      <c r="AI144" s="349"/>
      <c r="AJ144" s="349"/>
      <c r="AK144" s="349"/>
      <c r="AL144" s="349"/>
      <c r="AM144" s="349"/>
      <c r="AN144" s="349"/>
      <c r="AO144" s="349"/>
      <c r="AP144" s="349"/>
      <c r="AQ144" s="349"/>
      <c r="AR144" s="349"/>
      <c r="AS144" s="349"/>
      <c r="AT144" s="349"/>
      <c r="AU144" s="349"/>
      <c r="AV144" s="349"/>
    </row>
    <row r="145" spans="2:48" s="150" customFormat="1" ht="16" hidden="1">
      <c r="B145" s="117"/>
      <c r="C145" s="169" t="s">
        <v>190</v>
      </c>
      <c r="D145" s="73"/>
      <c r="E145" s="448" t="s">
        <v>42</v>
      </c>
      <c r="F145" s="31"/>
      <c r="G145" s="269"/>
      <c r="H145" s="446" t="s">
        <v>40</v>
      </c>
      <c r="I145" s="467"/>
      <c r="J145" s="467"/>
      <c r="K145" s="467"/>
      <c r="L145" s="39"/>
      <c r="M145" s="219"/>
      <c r="N145" s="219"/>
      <c r="O145" s="219"/>
      <c r="P145" s="282">
        <v>1</v>
      </c>
      <c r="Q145" s="281">
        <v>1</v>
      </c>
      <c r="R145" s="218">
        <v>1</v>
      </c>
      <c r="S145" s="218">
        <v>1</v>
      </c>
      <c r="T145" s="218">
        <v>1</v>
      </c>
      <c r="U145" s="218">
        <v>1</v>
      </c>
      <c r="V145" s="282">
        <v>1</v>
      </c>
      <c r="W145" s="281">
        <v>1</v>
      </c>
      <c r="X145" s="218">
        <v>1</v>
      </c>
      <c r="Y145" s="282">
        <v>1</v>
      </c>
      <c r="Z145" s="281">
        <v>1</v>
      </c>
      <c r="AA145" s="282">
        <v>1</v>
      </c>
      <c r="AB145" s="77">
        <f t="shared" si="12"/>
        <v>12</v>
      </c>
      <c r="AC145" s="328"/>
      <c r="AE145" s="349"/>
      <c r="AF145" s="349"/>
      <c r="AG145" s="349"/>
      <c r="AH145" s="349"/>
      <c r="AI145" s="349"/>
      <c r="AJ145" s="349"/>
      <c r="AK145" s="349"/>
      <c r="AL145" s="349"/>
      <c r="AM145" s="349"/>
      <c r="AN145" s="349"/>
      <c r="AO145" s="349"/>
      <c r="AP145" s="349"/>
      <c r="AQ145" s="349"/>
      <c r="AR145" s="349"/>
      <c r="AS145" s="349"/>
      <c r="AT145" s="349"/>
      <c r="AU145" s="349"/>
      <c r="AV145" s="349"/>
    </row>
    <row r="146" spans="2:48" s="150" customFormat="1" ht="16" hidden="1">
      <c r="B146" s="117"/>
      <c r="C146" s="169" t="s">
        <v>192</v>
      </c>
      <c r="D146" s="73"/>
      <c r="E146" s="448" t="s">
        <v>42</v>
      </c>
      <c r="F146" s="31"/>
      <c r="G146" s="269"/>
      <c r="H146" s="446" t="s">
        <v>40</v>
      </c>
      <c r="I146" s="467"/>
      <c r="J146" s="467"/>
      <c r="K146" s="467"/>
      <c r="L146" s="39"/>
      <c r="M146" s="219"/>
      <c r="N146" s="219"/>
      <c r="O146" s="219"/>
      <c r="P146" s="282"/>
      <c r="Q146" s="281">
        <v>1</v>
      </c>
      <c r="R146" s="218">
        <v>1</v>
      </c>
      <c r="S146" s="218">
        <v>1</v>
      </c>
      <c r="T146" s="218">
        <v>1</v>
      </c>
      <c r="U146" s="218">
        <v>1</v>
      </c>
      <c r="V146" s="282">
        <v>1</v>
      </c>
      <c r="W146" s="281">
        <v>1</v>
      </c>
      <c r="X146" s="218">
        <v>1</v>
      </c>
      <c r="Y146" s="282">
        <v>1</v>
      </c>
      <c r="Z146" s="281">
        <v>1</v>
      </c>
      <c r="AA146" s="282"/>
      <c r="AB146" s="77">
        <f t="shared" si="12"/>
        <v>10</v>
      </c>
      <c r="AC146" s="328"/>
      <c r="AE146" s="349"/>
      <c r="AF146" s="349"/>
      <c r="AG146" s="349"/>
      <c r="AH146" s="349"/>
      <c r="AI146" s="349"/>
      <c r="AJ146" s="349"/>
      <c r="AK146" s="349"/>
      <c r="AL146" s="349"/>
      <c r="AM146" s="349"/>
      <c r="AN146" s="349"/>
      <c r="AO146" s="349"/>
      <c r="AP146" s="349"/>
      <c r="AQ146" s="349"/>
      <c r="AR146" s="349"/>
      <c r="AS146" s="349"/>
      <c r="AT146" s="349"/>
      <c r="AU146" s="349"/>
      <c r="AV146" s="349"/>
    </row>
    <row r="147" spans="2:48" s="150" customFormat="1" ht="16" hidden="1">
      <c r="B147" s="117"/>
      <c r="C147" s="169" t="s">
        <v>192</v>
      </c>
      <c r="D147" s="73"/>
      <c r="E147" s="448" t="s">
        <v>19</v>
      </c>
      <c r="F147" s="31"/>
      <c r="G147" s="269"/>
      <c r="H147" s="446" t="s">
        <v>40</v>
      </c>
      <c r="I147" s="467"/>
      <c r="J147" s="467"/>
      <c r="K147" s="467"/>
      <c r="L147" s="39"/>
      <c r="M147" s="220"/>
      <c r="N147" s="220"/>
      <c r="O147" s="220"/>
      <c r="P147" s="282"/>
      <c r="Q147" s="281">
        <v>1</v>
      </c>
      <c r="R147" s="218">
        <v>1</v>
      </c>
      <c r="S147" s="218">
        <v>1</v>
      </c>
      <c r="T147" s="218">
        <v>1</v>
      </c>
      <c r="U147" s="218">
        <v>1</v>
      </c>
      <c r="V147" s="282">
        <v>1</v>
      </c>
      <c r="W147" s="281">
        <v>1</v>
      </c>
      <c r="X147" s="218">
        <v>1</v>
      </c>
      <c r="Y147" s="282">
        <v>1</v>
      </c>
      <c r="Z147" s="281">
        <v>1</v>
      </c>
      <c r="AA147" s="282"/>
      <c r="AB147" s="77">
        <f t="shared" si="12"/>
        <v>10</v>
      </c>
      <c r="AC147" s="328"/>
      <c r="AE147" s="349"/>
      <c r="AF147" s="349"/>
      <c r="AG147" s="349"/>
      <c r="AH147" s="349"/>
      <c r="AI147" s="349"/>
      <c r="AJ147" s="349"/>
      <c r="AK147" s="349"/>
      <c r="AL147" s="349"/>
      <c r="AM147" s="349"/>
      <c r="AN147" s="349"/>
      <c r="AO147" s="349"/>
      <c r="AP147" s="349"/>
      <c r="AQ147" s="349"/>
      <c r="AR147" s="349"/>
      <c r="AS147" s="349"/>
      <c r="AT147" s="349"/>
      <c r="AU147" s="349"/>
      <c r="AV147" s="349"/>
    </row>
    <row r="148" spans="2:48" s="150" customFormat="1" ht="16" hidden="1">
      <c r="B148" s="117"/>
      <c r="C148" s="169" t="s">
        <v>192</v>
      </c>
      <c r="D148" s="73"/>
      <c r="E148" s="448" t="s">
        <v>19</v>
      </c>
      <c r="F148" s="31"/>
      <c r="G148" s="269"/>
      <c r="H148" s="446" t="s">
        <v>40</v>
      </c>
      <c r="I148" s="467"/>
      <c r="J148" s="467"/>
      <c r="K148" s="467"/>
      <c r="L148" s="39"/>
      <c r="M148" s="219"/>
      <c r="N148" s="219"/>
      <c r="O148" s="219"/>
      <c r="P148" s="282"/>
      <c r="Q148" s="281">
        <v>1</v>
      </c>
      <c r="R148" s="218">
        <v>1</v>
      </c>
      <c r="S148" s="218">
        <v>1</v>
      </c>
      <c r="T148" s="218">
        <v>1</v>
      </c>
      <c r="U148" s="218">
        <v>1</v>
      </c>
      <c r="V148" s="282">
        <v>1</v>
      </c>
      <c r="W148" s="281">
        <v>1</v>
      </c>
      <c r="X148" s="218">
        <v>1</v>
      </c>
      <c r="Y148" s="282">
        <v>1</v>
      </c>
      <c r="Z148" s="281"/>
      <c r="AA148" s="282"/>
      <c r="AB148" s="77">
        <f t="shared" si="12"/>
        <v>9</v>
      </c>
      <c r="AC148" s="328"/>
      <c r="AE148" s="349"/>
      <c r="AF148" s="349"/>
      <c r="AG148" s="349"/>
      <c r="AH148" s="349"/>
      <c r="AI148" s="349"/>
      <c r="AJ148" s="349"/>
      <c r="AK148" s="349"/>
      <c r="AL148" s="349"/>
      <c r="AM148" s="349"/>
      <c r="AN148" s="349"/>
      <c r="AO148" s="349"/>
      <c r="AP148" s="349"/>
      <c r="AQ148" s="349"/>
      <c r="AR148" s="349"/>
      <c r="AS148" s="349"/>
      <c r="AT148" s="349"/>
      <c r="AU148" s="349"/>
      <c r="AV148" s="349"/>
    </row>
    <row r="149" spans="2:48" s="150" customFormat="1" ht="16" hidden="1">
      <c r="B149" s="117"/>
      <c r="C149" s="169" t="s">
        <v>192</v>
      </c>
      <c r="D149" s="73"/>
      <c r="E149" s="448" t="s">
        <v>21</v>
      </c>
      <c r="F149" s="31"/>
      <c r="G149" s="269"/>
      <c r="H149" s="446" t="s">
        <v>40</v>
      </c>
      <c r="I149" s="467"/>
      <c r="J149" s="467"/>
      <c r="K149" s="467"/>
      <c r="L149" s="39"/>
      <c r="M149" s="219"/>
      <c r="N149" s="219"/>
      <c r="O149" s="219"/>
      <c r="P149" s="282"/>
      <c r="Q149" s="281">
        <v>1</v>
      </c>
      <c r="R149" s="218">
        <v>1</v>
      </c>
      <c r="S149" s="218">
        <v>1</v>
      </c>
      <c r="T149" s="218">
        <v>1</v>
      </c>
      <c r="U149" s="218">
        <v>1</v>
      </c>
      <c r="V149" s="282">
        <v>1</v>
      </c>
      <c r="W149" s="281">
        <v>1</v>
      </c>
      <c r="X149" s="218">
        <v>1</v>
      </c>
      <c r="Y149" s="282">
        <v>1</v>
      </c>
      <c r="Z149" s="281"/>
      <c r="AA149" s="282"/>
      <c r="AB149" s="77">
        <f t="shared" si="12"/>
        <v>9</v>
      </c>
      <c r="AC149" s="328"/>
      <c r="AE149" s="349"/>
      <c r="AF149" s="349"/>
      <c r="AG149" s="349"/>
      <c r="AH149" s="349"/>
      <c r="AI149" s="349"/>
      <c r="AJ149" s="349"/>
      <c r="AK149" s="349"/>
      <c r="AL149" s="349"/>
      <c r="AM149" s="349"/>
      <c r="AN149" s="349"/>
      <c r="AO149" s="349"/>
      <c r="AP149" s="349"/>
      <c r="AQ149" s="349"/>
      <c r="AR149" s="349"/>
      <c r="AS149" s="349"/>
      <c r="AT149" s="349"/>
      <c r="AU149" s="349"/>
      <c r="AV149" s="349"/>
    </row>
    <row r="150" spans="2:48" s="150" customFormat="1" ht="16" hidden="1">
      <c r="B150" s="117"/>
      <c r="C150" s="169" t="s">
        <v>253</v>
      </c>
      <c r="D150" s="73"/>
      <c r="E150" s="448" t="s">
        <v>42</v>
      </c>
      <c r="F150" s="31"/>
      <c r="G150" s="269"/>
      <c r="H150" s="446" t="s">
        <v>40</v>
      </c>
      <c r="I150" s="467"/>
      <c r="J150" s="467"/>
      <c r="K150" s="467"/>
      <c r="L150" s="39"/>
      <c r="M150" s="221"/>
      <c r="N150" s="218">
        <v>1</v>
      </c>
      <c r="O150" s="218">
        <v>1</v>
      </c>
      <c r="P150" s="282">
        <v>1</v>
      </c>
      <c r="Q150" s="281">
        <v>1</v>
      </c>
      <c r="R150" s="218">
        <v>1</v>
      </c>
      <c r="S150" s="218">
        <v>1</v>
      </c>
      <c r="T150" s="218">
        <v>1</v>
      </c>
      <c r="U150" s="218">
        <v>1</v>
      </c>
      <c r="V150" s="282">
        <v>1</v>
      </c>
      <c r="W150" s="281">
        <v>1</v>
      </c>
      <c r="X150" s="218">
        <v>1</v>
      </c>
      <c r="Y150" s="282">
        <v>1</v>
      </c>
      <c r="Z150" s="281">
        <v>1</v>
      </c>
      <c r="AA150" s="282">
        <v>1</v>
      </c>
      <c r="AB150" s="77">
        <f t="shared" si="12"/>
        <v>14</v>
      </c>
      <c r="AC150" s="328"/>
      <c r="AE150" s="349"/>
      <c r="AF150" s="349"/>
      <c r="AG150" s="349"/>
      <c r="AH150" s="349"/>
      <c r="AI150" s="349"/>
      <c r="AJ150" s="349"/>
      <c r="AK150" s="349"/>
      <c r="AL150" s="349"/>
      <c r="AM150" s="349"/>
      <c r="AN150" s="349"/>
      <c r="AO150" s="349"/>
      <c r="AP150" s="349"/>
      <c r="AQ150" s="349"/>
      <c r="AR150" s="349"/>
      <c r="AS150" s="349"/>
      <c r="AT150" s="349"/>
      <c r="AU150" s="349"/>
      <c r="AV150" s="349"/>
    </row>
    <row r="151" spans="2:48" s="150" customFormat="1" ht="16" hidden="1">
      <c r="B151" s="117"/>
      <c r="C151" s="169" t="s">
        <v>190</v>
      </c>
      <c r="D151" s="73"/>
      <c r="E151" s="448" t="s">
        <v>42</v>
      </c>
      <c r="F151" s="31"/>
      <c r="G151" s="269"/>
      <c r="H151" s="446" t="s">
        <v>40</v>
      </c>
      <c r="I151" s="467"/>
      <c r="J151" s="467"/>
      <c r="K151" s="467"/>
      <c r="L151" s="39"/>
      <c r="M151" s="219"/>
      <c r="N151" s="218">
        <v>1</v>
      </c>
      <c r="O151" s="218">
        <v>1</v>
      </c>
      <c r="P151" s="282">
        <v>1</v>
      </c>
      <c r="Q151" s="281">
        <v>1</v>
      </c>
      <c r="R151" s="218">
        <v>1</v>
      </c>
      <c r="S151" s="218">
        <v>1</v>
      </c>
      <c r="T151" s="218">
        <v>1</v>
      </c>
      <c r="U151" s="218">
        <v>1</v>
      </c>
      <c r="V151" s="282">
        <v>1</v>
      </c>
      <c r="W151" s="281">
        <v>1</v>
      </c>
      <c r="X151" s="218">
        <v>1</v>
      </c>
      <c r="Y151" s="282">
        <v>1</v>
      </c>
      <c r="Z151" s="281">
        <v>1</v>
      </c>
      <c r="AA151" s="282"/>
      <c r="AB151" s="77">
        <f t="shared" si="12"/>
        <v>13</v>
      </c>
      <c r="AC151" s="328"/>
      <c r="AE151" s="349"/>
      <c r="AF151" s="349"/>
      <c r="AG151" s="349"/>
      <c r="AH151" s="349"/>
      <c r="AI151" s="349"/>
      <c r="AJ151" s="349"/>
      <c r="AK151" s="349"/>
      <c r="AL151" s="349"/>
      <c r="AM151" s="349"/>
      <c r="AN151" s="349"/>
      <c r="AO151" s="349"/>
      <c r="AP151" s="349"/>
      <c r="AQ151" s="349"/>
      <c r="AR151" s="349"/>
      <c r="AS151" s="349"/>
      <c r="AT151" s="349"/>
      <c r="AU151" s="349"/>
      <c r="AV151" s="349"/>
    </row>
    <row r="152" spans="2:48" s="150" customFormat="1" ht="16" hidden="1">
      <c r="B152" s="117"/>
      <c r="C152" s="169" t="s">
        <v>190</v>
      </c>
      <c r="D152" s="73"/>
      <c r="E152" s="448" t="s">
        <v>42</v>
      </c>
      <c r="F152" s="31"/>
      <c r="G152" s="269"/>
      <c r="H152" s="446" t="s">
        <v>40</v>
      </c>
      <c r="I152" s="467"/>
      <c r="J152" s="467"/>
      <c r="K152" s="467"/>
      <c r="L152" s="39"/>
      <c r="M152" s="219"/>
      <c r="N152" s="218">
        <v>1</v>
      </c>
      <c r="O152" s="218">
        <v>1</v>
      </c>
      <c r="P152" s="282">
        <v>1</v>
      </c>
      <c r="Q152" s="281">
        <v>1</v>
      </c>
      <c r="R152" s="218">
        <v>1</v>
      </c>
      <c r="S152" s="218">
        <v>1</v>
      </c>
      <c r="T152" s="218">
        <v>1</v>
      </c>
      <c r="U152" s="218">
        <v>1</v>
      </c>
      <c r="V152" s="282">
        <v>1</v>
      </c>
      <c r="W152" s="281">
        <v>1</v>
      </c>
      <c r="X152" s="218">
        <v>1</v>
      </c>
      <c r="Y152" s="282">
        <v>1</v>
      </c>
      <c r="Z152" s="281">
        <v>1</v>
      </c>
      <c r="AA152" s="282"/>
      <c r="AB152" s="77">
        <f t="shared" si="12"/>
        <v>13</v>
      </c>
      <c r="AC152" s="328"/>
      <c r="AE152" s="349"/>
      <c r="AF152" s="349"/>
      <c r="AG152" s="349"/>
      <c r="AH152" s="349"/>
      <c r="AI152" s="349"/>
      <c r="AJ152" s="349"/>
      <c r="AK152" s="349"/>
      <c r="AL152" s="349"/>
      <c r="AM152" s="349"/>
      <c r="AN152" s="349"/>
      <c r="AO152" s="349"/>
      <c r="AP152" s="349"/>
      <c r="AQ152" s="349"/>
      <c r="AR152" s="349"/>
      <c r="AS152" s="349"/>
      <c r="AT152" s="349"/>
      <c r="AU152" s="349"/>
      <c r="AV152" s="349"/>
    </row>
    <row r="153" spans="2:48" s="150" customFormat="1" ht="16" hidden="1">
      <c r="B153" s="117"/>
      <c r="C153" s="169" t="s">
        <v>192</v>
      </c>
      <c r="D153" s="73"/>
      <c r="E153" s="448" t="s">
        <v>21</v>
      </c>
      <c r="F153" s="31"/>
      <c r="G153" s="269"/>
      <c r="H153" s="446" t="s">
        <v>40</v>
      </c>
      <c r="I153" s="467"/>
      <c r="J153" s="467"/>
      <c r="K153" s="467"/>
      <c r="L153" s="39"/>
      <c r="M153" s="219"/>
      <c r="N153" s="218"/>
      <c r="O153" s="218"/>
      <c r="P153" s="282">
        <v>1</v>
      </c>
      <c r="Q153" s="281">
        <v>1</v>
      </c>
      <c r="R153" s="218">
        <v>1</v>
      </c>
      <c r="S153" s="218">
        <v>1</v>
      </c>
      <c r="T153" s="218">
        <v>1</v>
      </c>
      <c r="U153" s="218">
        <v>1</v>
      </c>
      <c r="V153" s="282">
        <v>1</v>
      </c>
      <c r="W153" s="281">
        <v>1</v>
      </c>
      <c r="X153" s="218">
        <v>1</v>
      </c>
      <c r="Y153" s="282">
        <v>1</v>
      </c>
      <c r="Z153" s="281">
        <v>1</v>
      </c>
      <c r="AA153" s="282"/>
      <c r="AB153" s="77">
        <f t="shared" si="12"/>
        <v>11</v>
      </c>
      <c r="AC153" s="328"/>
      <c r="AE153" s="349"/>
      <c r="AF153" s="349"/>
      <c r="AG153" s="349"/>
      <c r="AH153" s="349"/>
      <c r="AI153" s="349"/>
      <c r="AJ153" s="349"/>
      <c r="AK153" s="349"/>
      <c r="AL153" s="349"/>
      <c r="AM153" s="349"/>
      <c r="AN153" s="349"/>
      <c r="AO153" s="349"/>
      <c r="AP153" s="349"/>
      <c r="AQ153" s="349"/>
      <c r="AR153" s="349"/>
      <c r="AS153" s="349"/>
      <c r="AT153" s="349"/>
      <c r="AU153" s="349"/>
      <c r="AV153" s="349"/>
    </row>
    <row r="154" spans="2:48" s="150" customFormat="1" ht="16" hidden="1">
      <c r="B154" s="117"/>
      <c r="C154" s="169" t="s">
        <v>254</v>
      </c>
      <c r="D154" s="73"/>
      <c r="E154" s="448" t="s">
        <v>19</v>
      </c>
      <c r="F154" s="31"/>
      <c r="G154" s="269"/>
      <c r="H154" s="446" t="s">
        <v>40</v>
      </c>
      <c r="I154" s="467"/>
      <c r="J154" s="467"/>
      <c r="K154" s="467"/>
      <c r="L154" s="39"/>
      <c r="M154" s="219"/>
      <c r="N154" s="219"/>
      <c r="O154" s="219"/>
      <c r="P154" s="282"/>
      <c r="Q154" s="281">
        <v>1</v>
      </c>
      <c r="R154" s="218">
        <v>1</v>
      </c>
      <c r="S154" s="218">
        <v>1</v>
      </c>
      <c r="T154" s="218">
        <v>1</v>
      </c>
      <c r="U154" s="218">
        <v>1</v>
      </c>
      <c r="V154" s="282">
        <v>1</v>
      </c>
      <c r="W154" s="281">
        <v>1</v>
      </c>
      <c r="X154" s="218">
        <v>1</v>
      </c>
      <c r="Y154" s="282">
        <v>1</v>
      </c>
      <c r="Z154" s="281">
        <v>1</v>
      </c>
      <c r="AA154" s="282">
        <v>1</v>
      </c>
      <c r="AB154" s="77">
        <f t="shared" si="12"/>
        <v>11</v>
      </c>
      <c r="AC154" s="328"/>
      <c r="AE154" s="349"/>
      <c r="AF154" s="349"/>
      <c r="AG154" s="349"/>
      <c r="AH154" s="349"/>
      <c r="AI154" s="349"/>
      <c r="AJ154" s="349"/>
      <c r="AK154" s="349"/>
      <c r="AL154" s="349"/>
      <c r="AM154" s="349"/>
      <c r="AN154" s="349"/>
      <c r="AO154" s="349"/>
      <c r="AP154" s="349"/>
      <c r="AQ154" s="349"/>
      <c r="AR154" s="349"/>
      <c r="AS154" s="349"/>
      <c r="AT154" s="349"/>
      <c r="AU154" s="349"/>
      <c r="AV154" s="349"/>
    </row>
    <row r="155" spans="2:48" s="150" customFormat="1" ht="16" hidden="1">
      <c r="B155" s="117"/>
      <c r="C155" s="169" t="s">
        <v>254</v>
      </c>
      <c r="D155" s="73"/>
      <c r="E155" s="448" t="s">
        <v>21</v>
      </c>
      <c r="F155" s="31"/>
      <c r="G155" s="269"/>
      <c r="H155" s="446" t="s">
        <v>40</v>
      </c>
      <c r="I155" s="467"/>
      <c r="J155" s="467"/>
      <c r="K155" s="467"/>
      <c r="L155" s="39"/>
      <c r="M155" s="219"/>
      <c r="N155" s="219"/>
      <c r="O155" s="219"/>
      <c r="P155" s="282"/>
      <c r="Q155" s="281">
        <v>1</v>
      </c>
      <c r="R155" s="218">
        <v>1</v>
      </c>
      <c r="S155" s="218">
        <v>1</v>
      </c>
      <c r="T155" s="218">
        <v>1</v>
      </c>
      <c r="U155" s="218">
        <v>1</v>
      </c>
      <c r="V155" s="282">
        <v>1</v>
      </c>
      <c r="W155" s="281">
        <v>1</v>
      </c>
      <c r="X155" s="218">
        <v>1</v>
      </c>
      <c r="Y155" s="282">
        <v>1</v>
      </c>
      <c r="Z155" s="281">
        <v>1</v>
      </c>
      <c r="AA155" s="282"/>
      <c r="AB155" s="77">
        <f t="shared" si="12"/>
        <v>10</v>
      </c>
      <c r="AC155" s="328"/>
      <c r="AE155" s="349"/>
      <c r="AF155" s="349"/>
      <c r="AG155" s="349"/>
      <c r="AH155" s="349"/>
      <c r="AI155" s="349"/>
      <c r="AJ155" s="349"/>
      <c r="AK155" s="349"/>
      <c r="AL155" s="349"/>
      <c r="AM155" s="349"/>
      <c r="AN155" s="349"/>
      <c r="AO155" s="349"/>
      <c r="AP155" s="349"/>
      <c r="AQ155" s="349"/>
      <c r="AR155" s="349"/>
      <c r="AS155" s="349"/>
      <c r="AT155" s="349"/>
      <c r="AU155" s="349"/>
      <c r="AV155" s="349"/>
    </row>
    <row r="156" spans="2:48" s="150" customFormat="1" ht="16" hidden="1">
      <c r="B156" s="117"/>
      <c r="C156" s="169" t="s">
        <v>255</v>
      </c>
      <c r="D156" s="73"/>
      <c r="E156" s="448" t="s">
        <v>19</v>
      </c>
      <c r="F156" s="31"/>
      <c r="G156" s="269"/>
      <c r="H156" s="446" t="s">
        <v>40</v>
      </c>
      <c r="I156" s="467"/>
      <c r="J156" s="467"/>
      <c r="K156" s="467"/>
      <c r="L156" s="39"/>
      <c r="M156" s="219"/>
      <c r="N156" s="219"/>
      <c r="O156" s="219"/>
      <c r="P156" s="282"/>
      <c r="Q156" s="281">
        <v>1</v>
      </c>
      <c r="R156" s="218">
        <v>1</v>
      </c>
      <c r="S156" s="218">
        <v>1</v>
      </c>
      <c r="T156" s="218">
        <v>1</v>
      </c>
      <c r="U156" s="218">
        <v>1</v>
      </c>
      <c r="V156" s="282">
        <v>1</v>
      </c>
      <c r="W156" s="281">
        <v>1</v>
      </c>
      <c r="X156" s="218">
        <v>1</v>
      </c>
      <c r="Y156" s="282">
        <v>1</v>
      </c>
      <c r="Z156" s="281">
        <v>1</v>
      </c>
      <c r="AA156" s="282">
        <v>1</v>
      </c>
      <c r="AB156" s="77">
        <f t="shared" si="12"/>
        <v>11</v>
      </c>
      <c r="AC156" s="328"/>
      <c r="AE156" s="349"/>
      <c r="AF156" s="349"/>
      <c r="AG156" s="349"/>
      <c r="AH156" s="349"/>
      <c r="AI156" s="349"/>
      <c r="AJ156" s="349"/>
      <c r="AK156" s="349"/>
      <c r="AL156" s="349"/>
      <c r="AM156" s="349"/>
      <c r="AN156" s="349"/>
      <c r="AO156" s="349"/>
      <c r="AP156" s="349"/>
      <c r="AQ156" s="349"/>
      <c r="AR156" s="349"/>
      <c r="AS156" s="349"/>
      <c r="AT156" s="349"/>
      <c r="AU156" s="349"/>
      <c r="AV156" s="349"/>
    </row>
    <row r="157" spans="2:48" s="150" customFormat="1" ht="15" hidden="1">
      <c r="B157" s="117"/>
      <c r="C157" s="177" t="s">
        <v>55</v>
      </c>
      <c r="D157" s="84" t="s">
        <v>176</v>
      </c>
      <c r="E157" s="72" t="s">
        <v>21</v>
      </c>
      <c r="F157" s="63"/>
      <c r="G157" s="255" t="s">
        <v>168</v>
      </c>
      <c r="H157" s="452" t="s">
        <v>17</v>
      </c>
      <c r="I157" s="452"/>
      <c r="J157" s="452"/>
      <c r="K157" s="452"/>
      <c r="L157" s="39"/>
      <c r="M157" s="40"/>
      <c r="N157" s="40"/>
      <c r="O157" s="40"/>
      <c r="P157" s="122">
        <v>0.5</v>
      </c>
      <c r="Q157" s="39">
        <v>1</v>
      </c>
      <c r="R157" s="40">
        <v>1</v>
      </c>
      <c r="S157" s="40">
        <v>1</v>
      </c>
      <c r="T157" s="40">
        <v>1</v>
      </c>
      <c r="U157" s="40">
        <v>1</v>
      </c>
      <c r="V157" s="122">
        <v>1</v>
      </c>
      <c r="W157" s="39">
        <v>1</v>
      </c>
      <c r="X157" s="40">
        <v>1</v>
      </c>
      <c r="Y157" s="122">
        <v>1</v>
      </c>
      <c r="Z157" s="39">
        <v>0.5</v>
      </c>
      <c r="AA157" s="122"/>
      <c r="AB157" s="190">
        <v>10</v>
      </c>
      <c r="AC157" s="335" t="s">
        <v>133</v>
      </c>
      <c r="AE157" s="349"/>
      <c r="AF157" s="349"/>
      <c r="AG157" s="349"/>
      <c r="AH157" s="349"/>
      <c r="AI157" s="349"/>
      <c r="AJ157" s="349"/>
      <c r="AK157" s="349"/>
      <c r="AL157" s="349"/>
      <c r="AM157" s="349"/>
      <c r="AN157" s="349"/>
      <c r="AO157" s="349"/>
      <c r="AP157" s="349"/>
      <c r="AQ157" s="349"/>
      <c r="AR157" s="349"/>
      <c r="AS157" s="349"/>
      <c r="AT157" s="349"/>
      <c r="AU157" s="349"/>
      <c r="AV157" s="349"/>
    </row>
    <row r="158" spans="2:48" s="150" customFormat="1" ht="16" hidden="1" thickBot="1">
      <c r="B158" s="133"/>
      <c r="C158" s="1884" t="s">
        <v>16</v>
      </c>
      <c r="D158" s="1885"/>
      <c r="E158" s="197"/>
      <c r="F158" s="158"/>
      <c r="G158" s="256"/>
      <c r="H158" s="274"/>
      <c r="I158" s="468"/>
      <c r="J158" s="468"/>
      <c r="K158" s="468"/>
      <c r="L158" s="389">
        <f>SUM(L103:L133)</f>
        <v>0</v>
      </c>
      <c r="M158" s="198">
        <f>SUM(M103:M157)</f>
        <v>13</v>
      </c>
      <c r="N158" s="198">
        <f t="shared" ref="N158:AA158" si="13">SUM(N103:N157)</f>
        <v>16.5</v>
      </c>
      <c r="O158" s="198">
        <f t="shared" si="13"/>
        <v>18.5</v>
      </c>
      <c r="P158" s="198">
        <f t="shared" si="13"/>
        <v>23.5</v>
      </c>
      <c r="Q158" s="198">
        <f t="shared" si="13"/>
        <v>51.5</v>
      </c>
      <c r="R158" s="198">
        <f t="shared" si="13"/>
        <v>53</v>
      </c>
      <c r="S158" s="198">
        <f t="shared" si="13"/>
        <v>54</v>
      </c>
      <c r="T158" s="198">
        <f t="shared" si="13"/>
        <v>54</v>
      </c>
      <c r="U158" s="198">
        <f t="shared" si="13"/>
        <v>54</v>
      </c>
      <c r="V158" s="198">
        <f t="shared" si="13"/>
        <v>54</v>
      </c>
      <c r="W158" s="198">
        <f t="shared" si="13"/>
        <v>53</v>
      </c>
      <c r="X158" s="198">
        <f t="shared" si="13"/>
        <v>53</v>
      </c>
      <c r="Y158" s="198">
        <f t="shared" si="13"/>
        <v>53</v>
      </c>
      <c r="Z158" s="198">
        <f t="shared" si="13"/>
        <v>48</v>
      </c>
      <c r="AA158" s="198">
        <f t="shared" si="13"/>
        <v>26.5</v>
      </c>
      <c r="AB158" s="199">
        <f>SUM(L158:AA158)</f>
        <v>625.5</v>
      </c>
      <c r="AC158" s="336"/>
      <c r="AE158" s="349"/>
      <c r="AF158" s="349"/>
      <c r="AG158" s="349"/>
      <c r="AH158" s="349"/>
      <c r="AI158" s="349"/>
      <c r="AJ158" s="349"/>
      <c r="AK158" s="349"/>
      <c r="AL158" s="349"/>
      <c r="AM158" s="349"/>
      <c r="AN158" s="349"/>
      <c r="AO158" s="349"/>
      <c r="AP158" s="349"/>
      <c r="AQ158" s="349"/>
      <c r="AR158" s="349"/>
      <c r="AS158" s="349"/>
      <c r="AT158" s="349"/>
      <c r="AU158" s="349"/>
      <c r="AV158" s="349"/>
    </row>
    <row r="159" spans="2:48" s="140" customFormat="1" ht="15" hidden="1">
      <c r="B159" s="1870" t="s">
        <v>67</v>
      </c>
      <c r="C159" s="200" t="s">
        <v>194</v>
      </c>
      <c r="D159" s="86" t="s">
        <v>157</v>
      </c>
      <c r="E159" s="201" t="s">
        <v>198</v>
      </c>
      <c r="F159" s="58"/>
      <c r="G159" s="257"/>
      <c r="H159" s="453" t="s">
        <v>59</v>
      </c>
      <c r="I159" s="453"/>
      <c r="J159" s="453"/>
      <c r="K159" s="453"/>
      <c r="L159" s="48"/>
      <c r="M159" s="302">
        <v>1</v>
      </c>
      <c r="N159" s="302">
        <v>1</v>
      </c>
      <c r="O159" s="302">
        <v>1</v>
      </c>
      <c r="P159" s="303">
        <v>1</v>
      </c>
      <c r="Q159" s="308">
        <v>1</v>
      </c>
      <c r="R159" s="309">
        <v>1</v>
      </c>
      <c r="S159" s="309">
        <v>1</v>
      </c>
      <c r="T159" s="309">
        <v>1</v>
      </c>
      <c r="U159" s="309">
        <v>1</v>
      </c>
      <c r="V159" s="310">
        <v>1</v>
      </c>
      <c r="W159" s="308">
        <v>1</v>
      </c>
      <c r="X159" s="309">
        <v>1</v>
      </c>
      <c r="Y159" s="310">
        <v>1</v>
      </c>
      <c r="Z159" s="308">
        <v>1</v>
      </c>
      <c r="AA159" s="310">
        <v>1</v>
      </c>
      <c r="AB159" s="311">
        <f t="shared" ref="AB159:AB166" si="14">SUM(M159:AA159)</f>
        <v>15</v>
      </c>
      <c r="AC159" s="321"/>
      <c r="AE159" s="349"/>
      <c r="AF159" s="349"/>
      <c r="AG159" s="349"/>
      <c r="AH159" s="349"/>
      <c r="AI159" s="349"/>
      <c r="AJ159" s="349"/>
      <c r="AK159" s="349"/>
      <c r="AL159" s="349"/>
      <c r="AM159" s="349"/>
      <c r="AN159" s="349"/>
      <c r="AO159" s="349"/>
      <c r="AP159" s="349"/>
      <c r="AQ159" s="349"/>
      <c r="AR159" s="349"/>
      <c r="AS159" s="349"/>
      <c r="AT159" s="349"/>
      <c r="AU159" s="349"/>
      <c r="AV159" s="349"/>
    </row>
    <row r="160" spans="2:48" s="140" customFormat="1" ht="15" hidden="1">
      <c r="B160" s="1871"/>
      <c r="C160" s="202" t="s">
        <v>195</v>
      </c>
      <c r="D160" s="73" t="s">
        <v>142</v>
      </c>
      <c r="E160" s="203" t="s">
        <v>199</v>
      </c>
      <c r="F160" s="32"/>
      <c r="G160" s="253"/>
      <c r="H160" s="454" t="s">
        <v>59</v>
      </c>
      <c r="I160" s="454"/>
      <c r="J160" s="454"/>
      <c r="K160" s="454"/>
      <c r="L160" s="291"/>
      <c r="M160" s="304">
        <v>1</v>
      </c>
      <c r="N160" s="304">
        <v>1</v>
      </c>
      <c r="O160" s="304">
        <v>1</v>
      </c>
      <c r="P160" s="305">
        <v>1</v>
      </c>
      <c r="Q160" s="312">
        <v>1</v>
      </c>
      <c r="R160" s="313">
        <v>1</v>
      </c>
      <c r="S160" s="313">
        <v>1</v>
      </c>
      <c r="T160" s="313">
        <v>1</v>
      </c>
      <c r="U160" s="313">
        <v>1</v>
      </c>
      <c r="V160" s="314">
        <v>1</v>
      </c>
      <c r="W160" s="312">
        <v>1</v>
      </c>
      <c r="X160" s="313">
        <v>1</v>
      </c>
      <c r="Y160" s="314">
        <v>1</v>
      </c>
      <c r="Z160" s="312">
        <v>1</v>
      </c>
      <c r="AA160" s="314">
        <v>1</v>
      </c>
      <c r="AB160" s="315">
        <f t="shared" si="14"/>
        <v>15</v>
      </c>
      <c r="AC160" s="330"/>
      <c r="AE160" s="349"/>
      <c r="AF160" s="349"/>
      <c r="AG160" s="349"/>
      <c r="AH160" s="349"/>
      <c r="AI160" s="349"/>
      <c r="AJ160" s="349"/>
      <c r="AK160" s="349"/>
      <c r="AL160" s="349"/>
      <c r="AM160" s="349"/>
      <c r="AN160" s="349"/>
      <c r="AO160" s="349"/>
      <c r="AP160" s="349"/>
      <c r="AQ160" s="349"/>
      <c r="AR160" s="349"/>
      <c r="AS160" s="349"/>
      <c r="AT160" s="349"/>
      <c r="AU160" s="349"/>
      <c r="AV160" s="349"/>
    </row>
    <row r="161" spans="2:48" s="140" customFormat="1" ht="15" hidden="1">
      <c r="B161" s="1871"/>
      <c r="C161" s="202" t="s">
        <v>195</v>
      </c>
      <c r="D161" s="73" t="s">
        <v>142</v>
      </c>
      <c r="E161" s="203" t="s">
        <v>199</v>
      </c>
      <c r="F161" s="32"/>
      <c r="G161" s="253"/>
      <c r="H161" s="454" t="s">
        <v>59</v>
      </c>
      <c r="I161" s="454"/>
      <c r="J161" s="454"/>
      <c r="K161" s="454"/>
      <c r="L161" s="291"/>
      <c r="M161" s="307"/>
      <c r="N161" s="307"/>
      <c r="O161" s="307"/>
      <c r="P161" s="305"/>
      <c r="Q161" s="312">
        <v>1</v>
      </c>
      <c r="R161" s="313">
        <v>1</v>
      </c>
      <c r="S161" s="313">
        <v>1</v>
      </c>
      <c r="T161" s="313">
        <v>1</v>
      </c>
      <c r="U161" s="313">
        <v>1</v>
      </c>
      <c r="V161" s="314">
        <v>1</v>
      </c>
      <c r="W161" s="312">
        <v>1</v>
      </c>
      <c r="X161" s="313">
        <v>1</v>
      </c>
      <c r="Y161" s="314">
        <v>1</v>
      </c>
      <c r="Z161" s="312"/>
      <c r="AA161" s="314"/>
      <c r="AB161" s="315">
        <f t="shared" si="14"/>
        <v>9</v>
      </c>
      <c r="AC161" s="330"/>
      <c r="AE161" s="349"/>
      <c r="AF161" s="349"/>
      <c r="AG161" s="349"/>
      <c r="AH161" s="349"/>
      <c r="AI161" s="349"/>
      <c r="AJ161" s="349"/>
      <c r="AK161" s="349"/>
      <c r="AL161" s="349"/>
      <c r="AM161" s="349"/>
      <c r="AN161" s="349"/>
      <c r="AO161" s="349"/>
      <c r="AP161" s="349"/>
      <c r="AQ161" s="349"/>
      <c r="AR161" s="349"/>
      <c r="AS161" s="349"/>
      <c r="AT161" s="349"/>
      <c r="AU161" s="349"/>
      <c r="AV161" s="349"/>
    </row>
    <row r="162" spans="2:48" s="140" customFormat="1" ht="15" hidden="1">
      <c r="B162" s="1871"/>
      <c r="C162" s="202" t="s">
        <v>195</v>
      </c>
      <c r="D162" s="73" t="s">
        <v>142</v>
      </c>
      <c r="E162" s="203" t="s">
        <v>199</v>
      </c>
      <c r="F162" s="32"/>
      <c r="G162" s="253"/>
      <c r="H162" s="454" t="s">
        <v>59</v>
      </c>
      <c r="I162" s="454"/>
      <c r="J162" s="454"/>
      <c r="K162" s="454"/>
      <c r="L162" s="291"/>
      <c r="M162" s="304"/>
      <c r="N162" s="307">
        <v>1</v>
      </c>
      <c r="O162" s="307">
        <v>1</v>
      </c>
      <c r="P162" s="306">
        <v>1</v>
      </c>
      <c r="Q162" s="312">
        <v>1</v>
      </c>
      <c r="R162" s="313">
        <v>1</v>
      </c>
      <c r="S162" s="313">
        <v>1</v>
      </c>
      <c r="T162" s="313">
        <v>1</v>
      </c>
      <c r="U162" s="313">
        <v>1</v>
      </c>
      <c r="V162" s="314">
        <v>1</v>
      </c>
      <c r="W162" s="312">
        <v>1</v>
      </c>
      <c r="X162" s="313">
        <v>1</v>
      </c>
      <c r="Y162" s="314">
        <v>1</v>
      </c>
      <c r="Z162" s="312"/>
      <c r="AA162" s="314"/>
      <c r="AB162" s="315">
        <f t="shared" si="14"/>
        <v>12</v>
      </c>
      <c r="AC162" s="330"/>
      <c r="AE162" s="349"/>
      <c r="AF162" s="349"/>
      <c r="AG162" s="349"/>
      <c r="AH162" s="349"/>
      <c r="AI162" s="349"/>
      <c r="AJ162" s="349"/>
      <c r="AK162" s="349"/>
      <c r="AL162" s="349"/>
      <c r="AM162" s="349"/>
      <c r="AN162" s="349"/>
      <c r="AO162" s="349"/>
      <c r="AP162" s="349"/>
      <c r="AQ162" s="349"/>
      <c r="AR162" s="349"/>
      <c r="AS162" s="349"/>
      <c r="AT162" s="349"/>
      <c r="AU162" s="349"/>
      <c r="AV162" s="349"/>
    </row>
    <row r="163" spans="2:48" s="140" customFormat="1" ht="15" hidden="1">
      <c r="B163" s="1871"/>
      <c r="C163" s="202" t="s">
        <v>196</v>
      </c>
      <c r="D163" s="73" t="s">
        <v>177</v>
      </c>
      <c r="E163" s="203" t="s">
        <v>199</v>
      </c>
      <c r="F163" s="32"/>
      <c r="G163" s="253"/>
      <c r="H163" s="454" t="s">
        <v>59</v>
      </c>
      <c r="I163" s="454"/>
      <c r="J163" s="454"/>
      <c r="K163" s="454"/>
      <c r="L163" s="27"/>
      <c r="M163" s="304">
        <v>1</v>
      </c>
      <c r="N163" s="304">
        <v>1</v>
      </c>
      <c r="O163" s="304">
        <v>1</v>
      </c>
      <c r="P163" s="305">
        <v>1</v>
      </c>
      <c r="Q163" s="312">
        <v>1</v>
      </c>
      <c r="R163" s="313">
        <v>1</v>
      </c>
      <c r="S163" s="313">
        <v>1</v>
      </c>
      <c r="T163" s="313">
        <v>1</v>
      </c>
      <c r="U163" s="313">
        <v>1</v>
      </c>
      <c r="V163" s="314">
        <v>1</v>
      </c>
      <c r="W163" s="312">
        <v>1</v>
      </c>
      <c r="X163" s="313">
        <v>1</v>
      </c>
      <c r="Y163" s="314">
        <v>1</v>
      </c>
      <c r="Z163" s="312">
        <v>1</v>
      </c>
      <c r="AA163" s="314">
        <v>1</v>
      </c>
      <c r="AB163" s="315">
        <f t="shared" si="14"/>
        <v>15</v>
      </c>
      <c r="AC163" s="337" t="s">
        <v>133</v>
      </c>
      <c r="AE163" s="349"/>
      <c r="AF163" s="349"/>
      <c r="AG163" s="349"/>
      <c r="AH163" s="349"/>
      <c r="AI163" s="349"/>
      <c r="AJ163" s="349"/>
      <c r="AK163" s="349"/>
      <c r="AL163" s="349"/>
      <c r="AM163" s="349"/>
      <c r="AN163" s="349"/>
      <c r="AO163" s="349"/>
      <c r="AP163" s="349"/>
      <c r="AQ163" s="349"/>
      <c r="AR163" s="349"/>
      <c r="AS163" s="349"/>
      <c r="AT163" s="349"/>
      <c r="AU163" s="349"/>
      <c r="AV163" s="349"/>
    </row>
    <row r="164" spans="2:48" s="140" customFormat="1" ht="15" hidden="1">
      <c r="B164" s="1871"/>
      <c r="C164" s="202" t="s">
        <v>197</v>
      </c>
      <c r="D164" s="73" t="s">
        <v>142</v>
      </c>
      <c r="E164" s="203" t="s">
        <v>198</v>
      </c>
      <c r="F164" s="32"/>
      <c r="G164" s="455"/>
      <c r="H164" s="454" t="s">
        <v>59</v>
      </c>
      <c r="I164" s="454"/>
      <c r="J164" s="454"/>
      <c r="K164" s="454"/>
      <c r="L164" s="291"/>
      <c r="M164" s="304">
        <v>1</v>
      </c>
      <c r="N164" s="304">
        <v>1</v>
      </c>
      <c r="O164" s="304">
        <v>1</v>
      </c>
      <c r="P164" s="305">
        <v>1</v>
      </c>
      <c r="Q164" s="312">
        <v>1</v>
      </c>
      <c r="R164" s="313">
        <v>1</v>
      </c>
      <c r="S164" s="313">
        <v>1</v>
      </c>
      <c r="T164" s="313">
        <v>1</v>
      </c>
      <c r="U164" s="313">
        <v>1</v>
      </c>
      <c r="V164" s="314">
        <v>1</v>
      </c>
      <c r="W164" s="312">
        <v>1</v>
      </c>
      <c r="X164" s="313">
        <v>1</v>
      </c>
      <c r="Y164" s="314">
        <v>1</v>
      </c>
      <c r="Z164" s="312">
        <v>1</v>
      </c>
      <c r="AA164" s="314">
        <v>1</v>
      </c>
      <c r="AB164" s="315">
        <f t="shared" si="14"/>
        <v>15</v>
      </c>
      <c r="AC164" s="330"/>
      <c r="AE164" s="349"/>
      <c r="AF164" s="349"/>
      <c r="AG164" s="349"/>
      <c r="AH164" s="349"/>
      <c r="AI164" s="349"/>
      <c r="AJ164" s="349"/>
      <c r="AK164" s="349"/>
      <c r="AL164" s="349"/>
      <c r="AM164" s="349"/>
      <c r="AN164" s="349"/>
      <c r="AO164" s="349"/>
      <c r="AP164" s="349"/>
      <c r="AQ164" s="349"/>
      <c r="AR164" s="349"/>
      <c r="AS164" s="349"/>
      <c r="AT164" s="349"/>
      <c r="AU164" s="349"/>
      <c r="AV164" s="349"/>
    </row>
    <row r="165" spans="2:48" s="140" customFormat="1" ht="15" hidden="1">
      <c r="B165" s="1871"/>
      <c r="C165" s="202" t="s">
        <v>197</v>
      </c>
      <c r="D165" s="73" t="s">
        <v>142</v>
      </c>
      <c r="E165" s="203" t="s">
        <v>200</v>
      </c>
      <c r="F165" s="32"/>
      <c r="G165" s="455"/>
      <c r="H165" s="454" t="s">
        <v>59</v>
      </c>
      <c r="I165" s="454"/>
      <c r="J165" s="454"/>
      <c r="K165" s="454"/>
      <c r="L165" s="291"/>
      <c r="M165" s="304"/>
      <c r="N165" s="307"/>
      <c r="O165" s="307"/>
      <c r="P165" s="306"/>
      <c r="Q165" s="312">
        <v>1</v>
      </c>
      <c r="R165" s="313">
        <v>1</v>
      </c>
      <c r="S165" s="313">
        <v>1</v>
      </c>
      <c r="T165" s="313">
        <v>1</v>
      </c>
      <c r="U165" s="313">
        <v>1</v>
      </c>
      <c r="V165" s="314">
        <v>1</v>
      </c>
      <c r="W165" s="312"/>
      <c r="X165" s="313"/>
      <c r="Y165" s="314"/>
      <c r="Z165" s="312"/>
      <c r="AA165" s="314"/>
      <c r="AB165" s="315">
        <f t="shared" si="14"/>
        <v>6</v>
      </c>
      <c r="AC165" s="330"/>
      <c r="AE165" s="349"/>
      <c r="AF165" s="349"/>
      <c r="AG165" s="349"/>
      <c r="AH165" s="349"/>
      <c r="AI165" s="349"/>
      <c r="AJ165" s="349"/>
      <c r="AK165" s="349"/>
      <c r="AL165" s="349"/>
      <c r="AM165" s="349"/>
      <c r="AN165" s="349"/>
      <c r="AO165" s="349"/>
      <c r="AP165" s="349"/>
      <c r="AQ165" s="349"/>
      <c r="AR165" s="349"/>
      <c r="AS165" s="349"/>
      <c r="AT165" s="349"/>
      <c r="AU165" s="349"/>
      <c r="AV165" s="349"/>
    </row>
    <row r="166" spans="2:48" s="140" customFormat="1" ht="15" hidden="1">
      <c r="B166" s="1871"/>
      <c r="C166" s="204" t="s">
        <v>196</v>
      </c>
      <c r="D166" s="64" t="s">
        <v>177</v>
      </c>
      <c r="E166" s="205" t="s">
        <v>199</v>
      </c>
      <c r="F166" s="32"/>
      <c r="G166" s="253"/>
      <c r="H166" s="227" t="s">
        <v>17</v>
      </c>
      <c r="I166" s="275"/>
      <c r="J166" s="275"/>
      <c r="K166" s="275"/>
      <c r="L166" s="39"/>
      <c r="M166" s="346">
        <v>1</v>
      </c>
      <c r="N166" s="346">
        <v>1</v>
      </c>
      <c r="O166" s="346">
        <v>1</v>
      </c>
      <c r="P166" s="347">
        <v>1</v>
      </c>
      <c r="Q166" s="342">
        <v>1</v>
      </c>
      <c r="R166" s="345">
        <v>1</v>
      </c>
      <c r="S166" s="345">
        <v>1</v>
      </c>
      <c r="T166" s="345">
        <v>1</v>
      </c>
      <c r="U166" s="345">
        <v>1</v>
      </c>
      <c r="V166" s="343">
        <v>1</v>
      </c>
      <c r="W166" s="342">
        <v>1</v>
      </c>
      <c r="X166" s="345">
        <v>1</v>
      </c>
      <c r="Y166" s="343">
        <v>1</v>
      </c>
      <c r="Z166" s="342">
        <v>1</v>
      </c>
      <c r="AA166" s="343">
        <v>1</v>
      </c>
      <c r="AB166" s="316">
        <f t="shared" si="14"/>
        <v>15</v>
      </c>
      <c r="AC166" s="330"/>
      <c r="AE166" s="349"/>
      <c r="AF166" s="349"/>
      <c r="AG166" s="349"/>
      <c r="AH166" s="349"/>
      <c r="AI166" s="349"/>
      <c r="AJ166" s="349"/>
      <c r="AK166" s="349"/>
      <c r="AL166" s="349"/>
      <c r="AM166" s="349"/>
      <c r="AN166" s="349"/>
      <c r="AO166" s="349"/>
      <c r="AP166" s="349"/>
      <c r="AQ166" s="349"/>
      <c r="AR166" s="349"/>
      <c r="AS166" s="349"/>
      <c r="AT166" s="349"/>
      <c r="AU166" s="349"/>
      <c r="AV166" s="349"/>
    </row>
    <row r="167" spans="2:48" s="150" customFormat="1" ht="16" hidden="1" thickBot="1">
      <c r="B167" s="1872"/>
      <c r="C167" s="1867" t="s">
        <v>16</v>
      </c>
      <c r="D167" s="1868"/>
      <c r="E167" s="191"/>
      <c r="F167" s="191"/>
      <c r="G167" s="270"/>
      <c r="H167" s="279"/>
      <c r="I167" s="279"/>
      <c r="J167" s="279"/>
      <c r="K167" s="279"/>
      <c r="L167" s="317">
        <f t="shared" ref="L167:AB167" si="15">SUM(L159:L166)</f>
        <v>0</v>
      </c>
      <c r="M167" s="318">
        <f t="shared" si="15"/>
        <v>5</v>
      </c>
      <c r="N167" s="318">
        <f t="shared" si="15"/>
        <v>6</v>
      </c>
      <c r="O167" s="318">
        <f t="shared" si="15"/>
        <v>6</v>
      </c>
      <c r="P167" s="344">
        <f t="shared" si="15"/>
        <v>6</v>
      </c>
      <c r="Q167" s="317">
        <f t="shared" si="15"/>
        <v>8</v>
      </c>
      <c r="R167" s="318">
        <f t="shared" si="15"/>
        <v>8</v>
      </c>
      <c r="S167" s="318">
        <f t="shared" si="15"/>
        <v>8</v>
      </c>
      <c r="T167" s="318">
        <f t="shared" si="15"/>
        <v>8</v>
      </c>
      <c r="U167" s="318">
        <f t="shared" si="15"/>
        <v>8</v>
      </c>
      <c r="V167" s="344">
        <f t="shared" si="15"/>
        <v>8</v>
      </c>
      <c r="W167" s="317">
        <f t="shared" si="15"/>
        <v>7</v>
      </c>
      <c r="X167" s="318">
        <f t="shared" si="15"/>
        <v>7</v>
      </c>
      <c r="Y167" s="344">
        <f t="shared" si="15"/>
        <v>7</v>
      </c>
      <c r="Z167" s="317">
        <f t="shared" si="15"/>
        <v>5</v>
      </c>
      <c r="AA167" s="344">
        <f t="shared" si="15"/>
        <v>5</v>
      </c>
      <c r="AB167" s="194">
        <f t="shared" si="15"/>
        <v>102</v>
      </c>
      <c r="AC167" s="134"/>
      <c r="AE167" s="349"/>
      <c r="AF167" s="349"/>
      <c r="AG167" s="349"/>
      <c r="AH167" s="349"/>
      <c r="AI167" s="349"/>
      <c r="AJ167" s="349"/>
      <c r="AK167" s="349"/>
      <c r="AL167" s="349"/>
      <c r="AM167" s="349"/>
      <c r="AN167" s="349"/>
      <c r="AO167" s="349"/>
      <c r="AP167" s="349"/>
      <c r="AQ167" s="349"/>
      <c r="AR167" s="349"/>
      <c r="AS167" s="349"/>
      <c r="AT167" s="349"/>
      <c r="AU167" s="349"/>
      <c r="AV167" s="349"/>
    </row>
    <row r="168" spans="2:48" s="140" customFormat="1" ht="15" hidden="1">
      <c r="B168" s="1870" t="s">
        <v>68</v>
      </c>
      <c r="C168" s="271" t="s">
        <v>76</v>
      </c>
      <c r="D168" s="64" t="s">
        <v>158</v>
      </c>
      <c r="E168" s="57" t="s">
        <v>77</v>
      </c>
      <c r="F168" s="137"/>
      <c r="G168" s="164"/>
      <c r="H168" s="426" t="s">
        <v>60</v>
      </c>
      <c r="I168" s="426"/>
      <c r="J168" s="426"/>
      <c r="K168" s="426"/>
      <c r="L168" s="48"/>
      <c r="M168" s="49"/>
      <c r="N168" s="49"/>
      <c r="O168" s="49"/>
      <c r="P168" s="50"/>
      <c r="Q168" s="48"/>
      <c r="R168" s="49"/>
      <c r="S168" s="28">
        <v>1</v>
      </c>
      <c r="T168" s="28">
        <v>1</v>
      </c>
      <c r="U168" s="28">
        <v>1</v>
      </c>
      <c r="V168" s="25">
        <v>1</v>
      </c>
      <c r="W168" s="27">
        <v>1</v>
      </c>
      <c r="X168" s="28">
        <v>1</v>
      </c>
      <c r="Y168" s="25">
        <v>1</v>
      </c>
      <c r="Z168" s="27">
        <v>1</v>
      </c>
      <c r="AA168" s="456"/>
      <c r="AB168" s="301">
        <f t="shared" ref="AB168:AB182" si="16">SUM(L168:AA168)</f>
        <v>8</v>
      </c>
      <c r="AC168" s="338"/>
      <c r="AE168" s="349"/>
      <c r="AF168" s="349"/>
      <c r="AG168" s="349"/>
      <c r="AH168" s="349"/>
      <c r="AI168" s="349"/>
      <c r="AJ168" s="349"/>
      <c r="AK168" s="349"/>
      <c r="AL168" s="349"/>
      <c r="AM168" s="349"/>
      <c r="AN168" s="349"/>
      <c r="AO168" s="349"/>
      <c r="AP168" s="349"/>
      <c r="AQ168" s="349"/>
      <c r="AR168" s="349"/>
      <c r="AS168" s="349"/>
      <c r="AT168" s="349"/>
      <c r="AU168" s="349"/>
      <c r="AV168" s="349"/>
    </row>
    <row r="169" spans="2:48" s="140" customFormat="1" ht="15" hidden="1">
      <c r="B169" s="1871"/>
      <c r="C169" s="169" t="s">
        <v>78</v>
      </c>
      <c r="D169" s="73" t="s">
        <v>143</v>
      </c>
      <c r="E169" s="2" t="s">
        <v>42</v>
      </c>
      <c r="F169" s="12"/>
      <c r="G169" s="163"/>
      <c r="H169" s="227" t="s">
        <v>60</v>
      </c>
      <c r="I169" s="227"/>
      <c r="J169" s="227"/>
      <c r="K169" s="227"/>
      <c r="L169" s="27"/>
      <c r="M169" s="28"/>
      <c r="N169" s="28"/>
      <c r="O169" s="28"/>
      <c r="P169" s="25"/>
      <c r="Q169" s="27"/>
      <c r="R169" s="28"/>
      <c r="S169" s="28"/>
      <c r="T169" s="28">
        <v>1</v>
      </c>
      <c r="U169" s="28">
        <v>1</v>
      </c>
      <c r="V169" s="25">
        <v>1</v>
      </c>
      <c r="W169" s="27">
        <v>1</v>
      </c>
      <c r="X169" s="28">
        <v>1</v>
      </c>
      <c r="Y169" s="25">
        <v>1</v>
      </c>
      <c r="Z169" s="27">
        <v>1</v>
      </c>
      <c r="AA169" s="457"/>
      <c r="AB169" s="77">
        <f t="shared" si="16"/>
        <v>7</v>
      </c>
      <c r="AC169" s="330"/>
      <c r="AE169" s="349"/>
      <c r="AF169" s="349"/>
      <c r="AG169" s="349"/>
      <c r="AH169" s="349"/>
      <c r="AI169" s="349"/>
      <c r="AJ169" s="349"/>
      <c r="AK169" s="349"/>
      <c r="AL169" s="349"/>
      <c r="AM169" s="349"/>
      <c r="AN169" s="349"/>
      <c r="AO169" s="349"/>
      <c r="AP169" s="349"/>
      <c r="AQ169" s="349"/>
      <c r="AR169" s="349"/>
      <c r="AS169" s="349"/>
      <c r="AT169" s="349"/>
      <c r="AU169" s="349"/>
      <c r="AV169" s="349"/>
    </row>
    <row r="170" spans="2:48" s="140" customFormat="1" ht="15" hidden="1">
      <c r="B170" s="1871"/>
      <c r="C170" s="169" t="s">
        <v>79</v>
      </c>
      <c r="D170" s="73" t="s">
        <v>143</v>
      </c>
      <c r="E170" s="2" t="s">
        <v>42</v>
      </c>
      <c r="F170" s="12"/>
      <c r="G170" s="163"/>
      <c r="H170" s="227" t="s">
        <v>60</v>
      </c>
      <c r="I170" s="227"/>
      <c r="J170" s="227"/>
      <c r="K170" s="227"/>
      <c r="L170" s="27"/>
      <c r="M170" s="28"/>
      <c r="N170" s="28"/>
      <c r="O170" s="28"/>
      <c r="P170" s="25"/>
      <c r="Q170" s="27"/>
      <c r="R170" s="28"/>
      <c r="S170" s="28">
        <v>1</v>
      </c>
      <c r="T170" s="28">
        <v>1</v>
      </c>
      <c r="U170" s="28">
        <v>1</v>
      </c>
      <c r="V170" s="25">
        <v>1</v>
      </c>
      <c r="W170" s="27">
        <v>1</v>
      </c>
      <c r="X170" s="28">
        <v>1</v>
      </c>
      <c r="Y170" s="25">
        <v>1</v>
      </c>
      <c r="Z170" s="27">
        <v>1</v>
      </c>
      <c r="AA170" s="457"/>
      <c r="AB170" s="77">
        <f t="shared" si="16"/>
        <v>8</v>
      </c>
      <c r="AC170" s="330"/>
      <c r="AE170" s="349"/>
      <c r="AF170" s="349"/>
      <c r="AG170" s="349"/>
      <c r="AH170" s="349"/>
      <c r="AI170" s="349"/>
      <c r="AJ170" s="349"/>
      <c r="AK170" s="349"/>
      <c r="AL170" s="349"/>
      <c r="AM170" s="349"/>
      <c r="AN170" s="349"/>
      <c r="AO170" s="349"/>
      <c r="AP170" s="349"/>
      <c r="AQ170" s="349"/>
      <c r="AR170" s="349"/>
      <c r="AS170" s="349"/>
      <c r="AT170" s="349"/>
      <c r="AU170" s="349"/>
      <c r="AV170" s="349"/>
    </row>
    <row r="171" spans="2:48" s="140" customFormat="1" ht="15" hidden="1">
      <c r="B171" s="1871"/>
      <c r="C171" s="169" t="s">
        <v>80</v>
      </c>
      <c r="D171" s="73" t="s">
        <v>143</v>
      </c>
      <c r="E171" s="2" t="s">
        <v>43</v>
      </c>
      <c r="F171" s="12"/>
      <c r="G171" s="163"/>
      <c r="H171" s="227" t="s">
        <v>60</v>
      </c>
      <c r="I171" s="227"/>
      <c r="J171" s="227"/>
      <c r="K171" s="227"/>
      <c r="L171" s="27"/>
      <c r="M171" s="28"/>
      <c r="N171" s="28"/>
      <c r="O171" s="28"/>
      <c r="P171" s="25"/>
      <c r="Q171" s="27"/>
      <c r="R171" s="28"/>
      <c r="S171" s="28"/>
      <c r="T171" s="28"/>
      <c r="U171" s="28"/>
      <c r="V171" s="25">
        <v>1</v>
      </c>
      <c r="W171" s="27">
        <v>1</v>
      </c>
      <c r="X171" s="28">
        <v>1</v>
      </c>
      <c r="Y171" s="25">
        <v>1</v>
      </c>
      <c r="Z171" s="27">
        <v>1</v>
      </c>
      <c r="AA171" s="457"/>
      <c r="AB171" s="77">
        <f t="shared" si="16"/>
        <v>5</v>
      </c>
      <c r="AC171" s="330"/>
      <c r="AE171" s="349"/>
      <c r="AF171" s="349"/>
      <c r="AG171" s="349"/>
      <c r="AH171" s="349"/>
      <c r="AI171" s="349"/>
      <c r="AJ171" s="349"/>
      <c r="AK171" s="349"/>
      <c r="AL171" s="349"/>
      <c r="AM171" s="349"/>
      <c r="AN171" s="349"/>
      <c r="AO171" s="349"/>
      <c r="AP171" s="349"/>
      <c r="AQ171" s="349"/>
      <c r="AR171" s="349"/>
      <c r="AS171" s="349"/>
      <c r="AT171" s="349"/>
      <c r="AU171" s="349"/>
      <c r="AV171" s="349"/>
    </row>
    <row r="172" spans="2:48" s="140" customFormat="1" ht="15" hidden="1">
      <c r="B172" s="1871"/>
      <c r="C172" s="169" t="s">
        <v>81</v>
      </c>
      <c r="D172" s="73" t="s">
        <v>143</v>
      </c>
      <c r="E172" s="2" t="s">
        <v>42</v>
      </c>
      <c r="F172" s="12"/>
      <c r="G172" s="163"/>
      <c r="H172" s="227" t="s">
        <v>60</v>
      </c>
      <c r="I172" s="227"/>
      <c r="J172" s="227"/>
      <c r="K172" s="227"/>
      <c r="L172" s="27"/>
      <c r="M172" s="28"/>
      <c r="N172" s="28"/>
      <c r="O172" s="28"/>
      <c r="P172" s="25"/>
      <c r="Q172" s="27"/>
      <c r="R172" s="28"/>
      <c r="S172" s="28"/>
      <c r="T172" s="28">
        <v>1</v>
      </c>
      <c r="U172" s="28">
        <v>1</v>
      </c>
      <c r="V172" s="25">
        <v>1</v>
      </c>
      <c r="W172" s="27">
        <v>1</v>
      </c>
      <c r="X172" s="28">
        <v>1</v>
      </c>
      <c r="Y172" s="25">
        <v>1</v>
      </c>
      <c r="Z172" s="27">
        <v>1</v>
      </c>
      <c r="AA172" s="457"/>
      <c r="AB172" s="77">
        <f t="shared" si="16"/>
        <v>7</v>
      </c>
      <c r="AC172" s="330"/>
      <c r="AE172" s="349"/>
      <c r="AF172" s="349"/>
      <c r="AG172" s="349"/>
      <c r="AH172" s="349"/>
      <c r="AI172" s="349"/>
      <c r="AJ172" s="349"/>
      <c r="AK172" s="349"/>
      <c r="AL172" s="349"/>
      <c r="AM172" s="349"/>
      <c r="AN172" s="349"/>
      <c r="AO172" s="349"/>
      <c r="AP172" s="349"/>
      <c r="AQ172" s="349"/>
      <c r="AR172" s="349"/>
      <c r="AS172" s="349"/>
      <c r="AT172" s="349"/>
      <c r="AU172" s="349"/>
      <c r="AV172" s="349"/>
    </row>
    <row r="173" spans="2:48" s="140" customFormat="1" ht="15" hidden="1">
      <c r="B173" s="1871"/>
      <c r="C173" s="169" t="s">
        <v>82</v>
      </c>
      <c r="D173" s="73" t="s">
        <v>143</v>
      </c>
      <c r="E173" s="2" t="s">
        <v>42</v>
      </c>
      <c r="F173" s="12"/>
      <c r="G173" s="163"/>
      <c r="H173" s="227" t="s">
        <v>60</v>
      </c>
      <c r="I173" s="227"/>
      <c r="J173" s="227"/>
      <c r="K173" s="227"/>
      <c r="L173" s="27"/>
      <c r="M173" s="28"/>
      <c r="N173" s="28"/>
      <c r="O173" s="28"/>
      <c r="P173" s="25"/>
      <c r="Q173" s="27"/>
      <c r="R173" s="28"/>
      <c r="S173" s="28">
        <v>1</v>
      </c>
      <c r="T173" s="28">
        <v>1</v>
      </c>
      <c r="U173" s="28">
        <v>1</v>
      </c>
      <c r="V173" s="25">
        <v>1</v>
      </c>
      <c r="W173" s="27">
        <v>1</v>
      </c>
      <c r="X173" s="28">
        <v>1</v>
      </c>
      <c r="Y173" s="25">
        <v>1</v>
      </c>
      <c r="Z173" s="27">
        <v>1</v>
      </c>
      <c r="AA173" s="457"/>
      <c r="AB173" s="77">
        <f t="shared" si="16"/>
        <v>8</v>
      </c>
      <c r="AC173" s="330"/>
      <c r="AE173" s="349"/>
      <c r="AF173" s="349"/>
      <c r="AG173" s="349"/>
      <c r="AH173" s="349"/>
      <c r="AI173" s="349"/>
      <c r="AJ173" s="349"/>
      <c r="AK173" s="349"/>
      <c r="AL173" s="349"/>
      <c r="AM173" s="349"/>
      <c r="AN173" s="349"/>
      <c r="AO173" s="349"/>
      <c r="AP173" s="349"/>
      <c r="AQ173" s="349"/>
      <c r="AR173" s="349"/>
      <c r="AS173" s="349"/>
      <c r="AT173" s="349"/>
      <c r="AU173" s="349"/>
      <c r="AV173" s="349"/>
    </row>
    <row r="174" spans="2:48" s="140" customFormat="1" ht="15" hidden="1">
      <c r="B174" s="1871"/>
      <c r="C174" s="169" t="s">
        <v>83</v>
      </c>
      <c r="D174" s="73" t="s">
        <v>143</v>
      </c>
      <c r="E174" s="2" t="s">
        <v>77</v>
      </c>
      <c r="F174" s="12"/>
      <c r="G174" s="163"/>
      <c r="H174" s="227" t="s">
        <v>60</v>
      </c>
      <c r="I174" s="227"/>
      <c r="J174" s="227"/>
      <c r="K174" s="227"/>
      <c r="L174" s="27"/>
      <c r="M174" s="28"/>
      <c r="N174" s="28"/>
      <c r="O174" s="28"/>
      <c r="P174" s="25"/>
      <c r="Q174" s="27"/>
      <c r="R174" s="28"/>
      <c r="S174" s="28">
        <v>1</v>
      </c>
      <c r="T174" s="28">
        <v>1</v>
      </c>
      <c r="U174" s="28">
        <v>1</v>
      </c>
      <c r="V174" s="25">
        <v>1</v>
      </c>
      <c r="W174" s="27">
        <v>1</v>
      </c>
      <c r="X174" s="28">
        <v>1</v>
      </c>
      <c r="Y174" s="25">
        <v>1</v>
      </c>
      <c r="Z174" s="27">
        <v>1</v>
      </c>
      <c r="AA174" s="457"/>
      <c r="AB174" s="77">
        <f t="shared" si="16"/>
        <v>8</v>
      </c>
      <c r="AC174" s="330"/>
      <c r="AE174" s="349"/>
      <c r="AF174" s="349"/>
      <c r="AG174" s="349"/>
      <c r="AH174" s="349"/>
      <c r="AI174" s="349"/>
      <c r="AJ174" s="349"/>
      <c r="AK174" s="349"/>
      <c r="AL174" s="349"/>
      <c r="AM174" s="349"/>
      <c r="AN174" s="349"/>
      <c r="AO174" s="349"/>
      <c r="AP174" s="349"/>
      <c r="AQ174" s="349"/>
      <c r="AR174" s="349"/>
      <c r="AS174" s="349"/>
      <c r="AT174" s="349"/>
      <c r="AU174" s="349"/>
      <c r="AV174" s="349"/>
    </row>
    <row r="175" spans="2:48" s="140" customFormat="1" ht="15" hidden="1">
      <c r="B175" s="1871"/>
      <c r="C175" s="169" t="s">
        <v>84</v>
      </c>
      <c r="D175" s="73" t="s">
        <v>143</v>
      </c>
      <c r="E175" s="2" t="s">
        <v>42</v>
      </c>
      <c r="F175" s="12"/>
      <c r="G175" s="163"/>
      <c r="H175" s="227" t="s">
        <v>60</v>
      </c>
      <c r="I175" s="227"/>
      <c r="J175" s="227"/>
      <c r="K175" s="227"/>
      <c r="L175" s="27"/>
      <c r="M175" s="28"/>
      <c r="N175" s="28"/>
      <c r="O175" s="28"/>
      <c r="P175" s="25"/>
      <c r="Q175" s="27"/>
      <c r="R175" s="28"/>
      <c r="S175" s="28"/>
      <c r="T175" s="28">
        <v>1</v>
      </c>
      <c r="U175" s="28">
        <v>1</v>
      </c>
      <c r="V175" s="25">
        <v>1</v>
      </c>
      <c r="W175" s="27">
        <v>1</v>
      </c>
      <c r="X175" s="28">
        <v>1</v>
      </c>
      <c r="Y175" s="25">
        <v>1</v>
      </c>
      <c r="Z175" s="27">
        <v>1</v>
      </c>
      <c r="AA175" s="457"/>
      <c r="AB175" s="77">
        <f t="shared" si="16"/>
        <v>7</v>
      </c>
      <c r="AC175" s="330"/>
      <c r="AE175" s="349"/>
      <c r="AF175" s="349"/>
      <c r="AG175" s="349"/>
      <c r="AH175" s="349"/>
      <c r="AI175" s="349"/>
      <c r="AJ175" s="349"/>
      <c r="AK175" s="349"/>
      <c r="AL175" s="349"/>
      <c r="AM175" s="349"/>
      <c r="AN175" s="349"/>
      <c r="AO175" s="349"/>
      <c r="AP175" s="349"/>
      <c r="AQ175" s="349"/>
      <c r="AR175" s="349"/>
      <c r="AS175" s="349"/>
      <c r="AT175" s="349"/>
      <c r="AU175" s="349"/>
      <c r="AV175" s="349"/>
    </row>
    <row r="176" spans="2:48" s="140" customFormat="1" ht="15" hidden="1">
      <c r="B176" s="1871"/>
      <c r="C176" s="169" t="s">
        <v>85</v>
      </c>
      <c r="D176" s="73" t="s">
        <v>143</v>
      </c>
      <c r="E176" s="2" t="s">
        <v>77</v>
      </c>
      <c r="F176" s="12"/>
      <c r="G176" s="163"/>
      <c r="H176" s="227" t="s">
        <v>60</v>
      </c>
      <c r="I176" s="227"/>
      <c r="J176" s="227"/>
      <c r="K176" s="227"/>
      <c r="L176" s="27"/>
      <c r="M176" s="28"/>
      <c r="N176" s="28"/>
      <c r="O176" s="28"/>
      <c r="P176" s="25"/>
      <c r="Q176" s="27"/>
      <c r="R176" s="28"/>
      <c r="S176" s="28">
        <v>1</v>
      </c>
      <c r="T176" s="28">
        <v>1</v>
      </c>
      <c r="U176" s="28">
        <v>1</v>
      </c>
      <c r="V176" s="25">
        <v>1</v>
      </c>
      <c r="W176" s="27">
        <v>1</v>
      </c>
      <c r="X176" s="28">
        <v>1</v>
      </c>
      <c r="Y176" s="25">
        <v>1</v>
      </c>
      <c r="Z176" s="27">
        <v>1</v>
      </c>
      <c r="AA176" s="457"/>
      <c r="AB176" s="77">
        <f t="shared" si="16"/>
        <v>8</v>
      </c>
      <c r="AC176" s="330"/>
      <c r="AE176" s="349"/>
      <c r="AF176" s="349"/>
      <c r="AG176" s="349"/>
      <c r="AH176" s="349"/>
      <c r="AI176" s="349"/>
      <c r="AJ176" s="349"/>
      <c r="AK176" s="349"/>
      <c r="AL176" s="349"/>
      <c r="AM176" s="349"/>
      <c r="AN176" s="349"/>
      <c r="AO176" s="349"/>
      <c r="AP176" s="349"/>
      <c r="AQ176" s="349"/>
      <c r="AR176" s="349"/>
      <c r="AS176" s="349"/>
      <c r="AT176" s="349"/>
      <c r="AU176" s="349"/>
      <c r="AV176" s="349"/>
    </row>
    <row r="177" spans="2:48" s="140" customFormat="1" ht="15" hidden="1">
      <c r="B177" s="1871"/>
      <c r="C177" s="169" t="s">
        <v>86</v>
      </c>
      <c r="D177" s="73" t="s">
        <v>143</v>
      </c>
      <c r="E177" s="2" t="s">
        <v>42</v>
      </c>
      <c r="F177" s="12"/>
      <c r="G177" s="163"/>
      <c r="H177" s="227" t="s">
        <v>60</v>
      </c>
      <c r="I177" s="227"/>
      <c r="J177" s="227"/>
      <c r="K177" s="227"/>
      <c r="L177" s="27"/>
      <c r="M177" s="28"/>
      <c r="N177" s="28"/>
      <c r="O177" s="28"/>
      <c r="P177" s="25"/>
      <c r="Q177" s="27"/>
      <c r="R177" s="28"/>
      <c r="S177" s="28"/>
      <c r="T177" s="28"/>
      <c r="U177" s="28"/>
      <c r="V177" s="25"/>
      <c r="W177" s="27"/>
      <c r="X177" s="28"/>
      <c r="Y177" s="25">
        <v>1</v>
      </c>
      <c r="Z177" s="27">
        <v>1</v>
      </c>
      <c r="AA177" s="457"/>
      <c r="AB177" s="77">
        <f t="shared" si="16"/>
        <v>2</v>
      </c>
      <c r="AC177" s="330"/>
      <c r="AE177" s="349"/>
      <c r="AF177" s="349"/>
      <c r="AG177" s="349"/>
      <c r="AH177" s="349"/>
      <c r="AI177" s="349"/>
      <c r="AJ177" s="349"/>
      <c r="AK177" s="349"/>
      <c r="AL177" s="349"/>
      <c r="AM177" s="349"/>
      <c r="AN177" s="349"/>
      <c r="AO177" s="349"/>
      <c r="AP177" s="349"/>
      <c r="AQ177" s="349"/>
      <c r="AR177" s="349"/>
      <c r="AS177" s="349"/>
      <c r="AT177" s="349"/>
      <c r="AU177" s="349"/>
      <c r="AV177" s="349"/>
    </row>
    <row r="178" spans="2:48" s="140" customFormat="1" ht="15" hidden="1">
      <c r="B178" s="1871"/>
      <c r="C178" s="169" t="s">
        <v>87</v>
      </c>
      <c r="D178" s="73" t="s">
        <v>143</v>
      </c>
      <c r="E178" s="2" t="s">
        <v>42</v>
      </c>
      <c r="F178" s="12"/>
      <c r="G178" s="163"/>
      <c r="H178" s="227" t="s">
        <v>60</v>
      </c>
      <c r="I178" s="227"/>
      <c r="J178" s="227"/>
      <c r="K178" s="227"/>
      <c r="L178" s="27"/>
      <c r="M178" s="28"/>
      <c r="N178" s="28"/>
      <c r="O178" s="28"/>
      <c r="P178" s="25"/>
      <c r="Q178" s="27"/>
      <c r="R178" s="28"/>
      <c r="S178" s="28"/>
      <c r="T178" s="28"/>
      <c r="U178" s="28"/>
      <c r="V178" s="25"/>
      <c r="W178" s="27">
        <v>1</v>
      </c>
      <c r="X178" s="28">
        <v>1</v>
      </c>
      <c r="Y178" s="25">
        <v>1</v>
      </c>
      <c r="Z178" s="27">
        <v>1</v>
      </c>
      <c r="AA178" s="457"/>
      <c r="AB178" s="77">
        <f t="shared" si="16"/>
        <v>4</v>
      </c>
      <c r="AC178" s="330"/>
      <c r="AE178" s="349"/>
      <c r="AF178" s="349"/>
      <c r="AG178" s="349"/>
      <c r="AH178" s="349"/>
      <c r="AI178" s="349"/>
      <c r="AJ178" s="349"/>
      <c r="AK178" s="349"/>
      <c r="AL178" s="349"/>
      <c r="AM178" s="349"/>
      <c r="AN178" s="349"/>
      <c r="AO178" s="349"/>
      <c r="AP178" s="349"/>
      <c r="AQ178" s="349"/>
      <c r="AR178" s="349"/>
      <c r="AS178" s="349"/>
      <c r="AT178" s="349"/>
      <c r="AU178" s="349"/>
      <c r="AV178" s="349"/>
    </row>
    <row r="179" spans="2:48" s="140" customFormat="1" ht="15" hidden="1">
      <c r="B179" s="1871"/>
      <c r="C179" s="169" t="s">
        <v>88</v>
      </c>
      <c r="D179" s="73"/>
      <c r="E179" s="2" t="s">
        <v>42</v>
      </c>
      <c r="F179" s="12"/>
      <c r="G179" s="163"/>
      <c r="H179" s="227" t="s">
        <v>60</v>
      </c>
      <c r="I179" s="227"/>
      <c r="J179" s="227"/>
      <c r="K179" s="227"/>
      <c r="L179" s="27"/>
      <c r="M179" s="28"/>
      <c r="N179" s="28"/>
      <c r="O179" s="28"/>
      <c r="P179" s="25"/>
      <c r="Q179" s="27"/>
      <c r="R179" s="28"/>
      <c r="S179" s="28"/>
      <c r="T179" s="28"/>
      <c r="U179" s="28">
        <v>1</v>
      </c>
      <c r="V179" s="25">
        <v>1</v>
      </c>
      <c r="W179" s="27">
        <v>1</v>
      </c>
      <c r="X179" s="28">
        <v>1</v>
      </c>
      <c r="Y179" s="25">
        <v>1</v>
      </c>
      <c r="Z179" s="27">
        <v>1</v>
      </c>
      <c r="AA179" s="457"/>
      <c r="AB179" s="77">
        <f t="shared" si="16"/>
        <v>6</v>
      </c>
      <c r="AC179" s="330"/>
      <c r="AE179" s="349"/>
      <c r="AF179" s="349"/>
      <c r="AG179" s="349"/>
      <c r="AH179" s="349"/>
      <c r="AI179" s="349"/>
      <c r="AJ179" s="349"/>
      <c r="AK179" s="349"/>
      <c r="AL179" s="349"/>
      <c r="AM179" s="349"/>
      <c r="AN179" s="349"/>
      <c r="AO179" s="349"/>
      <c r="AP179" s="349"/>
      <c r="AQ179" s="349"/>
      <c r="AR179" s="349"/>
      <c r="AS179" s="349"/>
      <c r="AT179" s="349"/>
      <c r="AU179" s="349"/>
      <c r="AV179" s="349"/>
    </row>
    <row r="180" spans="2:48" s="140" customFormat="1" ht="15" hidden="1">
      <c r="B180" s="1871"/>
      <c r="C180" s="177" t="s">
        <v>163</v>
      </c>
      <c r="D180" s="73"/>
      <c r="E180" s="2" t="s">
        <v>42</v>
      </c>
      <c r="F180" s="12"/>
      <c r="G180" s="163"/>
      <c r="H180" s="227" t="s">
        <v>60</v>
      </c>
      <c r="I180" s="227"/>
      <c r="J180" s="227"/>
      <c r="K180" s="227"/>
      <c r="L180" s="27"/>
      <c r="M180" s="28"/>
      <c r="N180" s="28"/>
      <c r="O180" s="28"/>
      <c r="P180" s="25"/>
      <c r="Q180" s="27"/>
      <c r="R180" s="28"/>
      <c r="S180" s="28"/>
      <c r="T180" s="28"/>
      <c r="U180" s="28"/>
      <c r="V180" s="25"/>
      <c r="W180" s="27">
        <v>1</v>
      </c>
      <c r="X180" s="28">
        <v>1</v>
      </c>
      <c r="Y180" s="25"/>
      <c r="Z180" s="27"/>
      <c r="AA180" s="457"/>
      <c r="AB180" s="77">
        <f t="shared" si="16"/>
        <v>2</v>
      </c>
      <c r="AC180" s="330"/>
      <c r="AE180" s="349"/>
      <c r="AF180" s="349"/>
      <c r="AG180" s="349"/>
      <c r="AH180" s="349"/>
      <c r="AI180" s="349"/>
      <c r="AJ180" s="349"/>
      <c r="AK180" s="349"/>
      <c r="AL180" s="349"/>
      <c r="AM180" s="349"/>
      <c r="AN180" s="349"/>
      <c r="AO180" s="349"/>
      <c r="AP180" s="349"/>
      <c r="AQ180" s="349"/>
      <c r="AR180" s="349"/>
      <c r="AS180" s="349"/>
      <c r="AT180" s="349"/>
      <c r="AU180" s="349"/>
      <c r="AV180" s="349"/>
    </row>
    <row r="181" spans="2:48" s="140" customFormat="1" ht="15" hidden="1">
      <c r="B181" s="1871"/>
      <c r="C181" s="258" t="s">
        <v>100</v>
      </c>
      <c r="D181" s="85" t="s">
        <v>143</v>
      </c>
      <c r="E181" s="234" t="s">
        <v>19</v>
      </c>
      <c r="F181" s="11"/>
      <c r="G181" s="34" t="s">
        <v>169</v>
      </c>
      <c r="H181" s="226" t="s">
        <v>17</v>
      </c>
      <c r="I181" s="226"/>
      <c r="J181" s="226"/>
      <c r="K181" s="226"/>
      <c r="L181" s="27"/>
      <c r="M181" s="3"/>
      <c r="N181" s="3"/>
      <c r="O181" s="3"/>
      <c r="P181" s="16"/>
      <c r="Q181" s="15"/>
      <c r="R181" s="3"/>
      <c r="S181" s="3"/>
      <c r="T181" s="28">
        <v>0.5</v>
      </c>
      <c r="U181" s="3">
        <v>1</v>
      </c>
      <c r="V181" s="16">
        <v>1</v>
      </c>
      <c r="W181" s="15">
        <v>1</v>
      </c>
      <c r="X181" s="28">
        <v>0.5</v>
      </c>
      <c r="Y181" s="16"/>
      <c r="Z181" s="15"/>
      <c r="AA181" s="16"/>
      <c r="AB181" s="59">
        <f t="shared" si="16"/>
        <v>4</v>
      </c>
      <c r="AC181" s="325"/>
      <c r="AD181" s="414"/>
      <c r="AE181" s="349"/>
      <c r="AF181" s="349"/>
      <c r="AG181" s="349"/>
      <c r="AH181" s="349"/>
      <c r="AI181" s="349"/>
      <c r="AJ181" s="349"/>
      <c r="AK181" s="349"/>
      <c r="AL181" s="349"/>
      <c r="AM181" s="349"/>
      <c r="AN181" s="349"/>
      <c r="AO181" s="349"/>
      <c r="AP181" s="349"/>
      <c r="AQ181" s="349"/>
      <c r="AR181" s="349"/>
      <c r="AS181" s="349"/>
      <c r="AT181" s="349"/>
      <c r="AU181" s="349"/>
      <c r="AV181" s="349"/>
    </row>
    <row r="182" spans="2:48" s="140" customFormat="1" ht="15" hidden="1">
      <c r="B182" s="1871"/>
      <c r="C182" s="258" t="s">
        <v>99</v>
      </c>
      <c r="D182" s="241" t="s">
        <v>143</v>
      </c>
      <c r="E182" s="44" t="s">
        <v>21</v>
      </c>
      <c r="F182" s="45"/>
      <c r="G182" s="259"/>
      <c r="H182" s="224" t="s">
        <v>41</v>
      </c>
      <c r="I182" s="224"/>
      <c r="J182" s="224"/>
      <c r="K182" s="224"/>
      <c r="L182" s="292"/>
      <c r="M182" s="239"/>
      <c r="N182" s="239"/>
      <c r="O182" s="239"/>
      <c r="P182" s="293">
        <v>1</v>
      </c>
      <c r="Q182" s="292">
        <v>1</v>
      </c>
      <c r="R182" s="239">
        <v>1</v>
      </c>
      <c r="S182" s="239">
        <v>1</v>
      </c>
      <c r="T182" s="239">
        <v>1</v>
      </c>
      <c r="U182" s="239">
        <v>1</v>
      </c>
      <c r="V182" s="293">
        <v>0.3</v>
      </c>
      <c r="W182" s="292"/>
      <c r="X182" s="239"/>
      <c r="Y182" s="293"/>
      <c r="Z182" s="292"/>
      <c r="AA182" s="293"/>
      <c r="AB182" s="76">
        <f t="shared" si="16"/>
        <v>6.3</v>
      </c>
      <c r="AC182" s="330"/>
      <c r="AE182" s="349"/>
      <c r="AF182" s="349"/>
      <c r="AG182" s="349"/>
      <c r="AH182" s="349"/>
      <c r="AI182" s="349"/>
      <c r="AJ182" s="349"/>
      <c r="AK182" s="349"/>
      <c r="AL182" s="349"/>
      <c r="AM182" s="349"/>
      <c r="AN182" s="349"/>
      <c r="AO182" s="349"/>
      <c r="AP182" s="349"/>
      <c r="AQ182" s="349"/>
      <c r="AR182" s="349"/>
      <c r="AS182" s="349"/>
      <c r="AT182" s="349"/>
      <c r="AU182" s="349"/>
      <c r="AV182" s="349"/>
    </row>
    <row r="183" spans="2:48" s="150" customFormat="1" ht="16" hidden="1" thickBot="1">
      <c r="B183" s="1872"/>
      <c r="C183" s="1867" t="s">
        <v>16</v>
      </c>
      <c r="D183" s="1868"/>
      <c r="E183" s="191"/>
      <c r="F183" s="191"/>
      <c r="G183" s="270"/>
      <c r="H183" s="279"/>
      <c r="I183" s="279"/>
      <c r="J183" s="279"/>
      <c r="K183" s="279"/>
      <c r="L183" s="317">
        <f t="shared" ref="L183:AB183" si="17">SUM(L168:L182)</f>
        <v>0</v>
      </c>
      <c r="M183" s="318">
        <f t="shared" si="17"/>
        <v>0</v>
      </c>
      <c r="N183" s="318">
        <f t="shared" si="17"/>
        <v>0</v>
      </c>
      <c r="O183" s="318">
        <f t="shared" si="17"/>
        <v>0</v>
      </c>
      <c r="P183" s="318">
        <f t="shared" si="17"/>
        <v>1</v>
      </c>
      <c r="Q183" s="317">
        <f t="shared" si="17"/>
        <v>1</v>
      </c>
      <c r="R183" s="318">
        <f t="shared" si="17"/>
        <v>1</v>
      </c>
      <c r="S183" s="318">
        <f t="shared" si="17"/>
        <v>6</v>
      </c>
      <c r="T183" s="318">
        <f t="shared" si="17"/>
        <v>9.5</v>
      </c>
      <c r="U183" s="318">
        <f t="shared" si="17"/>
        <v>11</v>
      </c>
      <c r="V183" s="318">
        <f t="shared" si="17"/>
        <v>11.3</v>
      </c>
      <c r="W183" s="317">
        <f t="shared" si="17"/>
        <v>13</v>
      </c>
      <c r="X183" s="318">
        <f t="shared" si="17"/>
        <v>12.5</v>
      </c>
      <c r="Y183" s="318">
        <f t="shared" si="17"/>
        <v>12</v>
      </c>
      <c r="Z183" s="317">
        <f t="shared" si="17"/>
        <v>12</v>
      </c>
      <c r="AA183" s="318">
        <f t="shared" si="17"/>
        <v>0</v>
      </c>
      <c r="AB183" s="319">
        <f t="shared" si="17"/>
        <v>90.3</v>
      </c>
      <c r="AC183" s="134"/>
      <c r="AE183" s="349"/>
      <c r="AF183" s="349"/>
      <c r="AG183" s="349"/>
      <c r="AH183" s="349"/>
      <c r="AI183" s="349"/>
      <c r="AJ183" s="349"/>
      <c r="AK183" s="349"/>
      <c r="AL183" s="349"/>
      <c r="AM183" s="349"/>
      <c r="AN183" s="349"/>
      <c r="AO183" s="349"/>
      <c r="AP183" s="349"/>
      <c r="AQ183" s="349"/>
      <c r="AR183" s="349"/>
      <c r="AS183" s="349"/>
      <c r="AT183" s="349"/>
      <c r="AU183" s="349"/>
      <c r="AV183" s="349"/>
    </row>
    <row r="184" spans="2:48" s="140" customFormat="1" ht="15" hidden="1">
      <c r="B184" s="1871"/>
      <c r="C184" s="271" t="s">
        <v>171</v>
      </c>
      <c r="D184" s="64" t="s">
        <v>170</v>
      </c>
      <c r="E184" s="57" t="s">
        <v>19</v>
      </c>
      <c r="F184" s="137" t="s">
        <v>126</v>
      </c>
      <c r="G184" s="253"/>
      <c r="H184" s="227" t="s">
        <v>17</v>
      </c>
      <c r="I184" s="227"/>
      <c r="J184" s="227"/>
      <c r="K184" s="227"/>
      <c r="L184" s="27"/>
      <c r="M184" s="28"/>
      <c r="N184" s="28"/>
      <c r="O184" s="87">
        <v>1</v>
      </c>
      <c r="P184" s="89">
        <v>1</v>
      </c>
      <c r="Q184" s="88">
        <v>1</v>
      </c>
      <c r="R184" s="87">
        <v>1</v>
      </c>
      <c r="S184" s="87">
        <v>1</v>
      </c>
      <c r="T184" s="87">
        <v>1</v>
      </c>
      <c r="U184" s="87">
        <v>1</v>
      </c>
      <c r="V184" s="89">
        <v>1</v>
      </c>
      <c r="W184" s="88">
        <v>1</v>
      </c>
      <c r="X184" s="87">
        <v>1</v>
      </c>
      <c r="Y184" s="16">
        <v>1</v>
      </c>
      <c r="Z184" s="15">
        <v>1</v>
      </c>
      <c r="AA184" s="16"/>
      <c r="AB184" s="36">
        <f t="shared" ref="AB184:AB193" si="18">SUM(L184:AA184)</f>
        <v>12</v>
      </c>
      <c r="AC184" s="322"/>
      <c r="AE184" s="349"/>
      <c r="AF184" s="349"/>
      <c r="AG184" s="349"/>
      <c r="AH184" s="349"/>
      <c r="AI184" s="349"/>
      <c r="AJ184" s="349"/>
      <c r="AK184" s="349"/>
      <c r="AL184" s="349"/>
      <c r="AM184" s="349"/>
      <c r="AN184" s="349"/>
      <c r="AO184" s="349"/>
      <c r="AP184" s="349"/>
      <c r="AQ184" s="349"/>
      <c r="AR184" s="349"/>
      <c r="AS184" s="349"/>
      <c r="AT184" s="349"/>
      <c r="AU184" s="349"/>
      <c r="AV184" s="349"/>
    </row>
    <row r="185" spans="2:48" s="140" customFormat="1" ht="15" hidden="1">
      <c r="B185" s="1871"/>
      <c r="C185" s="169" t="s">
        <v>107</v>
      </c>
      <c r="D185" s="73" t="s">
        <v>24</v>
      </c>
      <c r="E185" s="30" t="s">
        <v>19</v>
      </c>
      <c r="F185" s="31"/>
      <c r="G185" s="236"/>
      <c r="H185" s="227" t="s">
        <v>61</v>
      </c>
      <c r="I185" s="227"/>
      <c r="J185" s="227"/>
      <c r="K185" s="227"/>
      <c r="L185" s="193"/>
      <c r="M185" s="146"/>
      <c r="N185" s="40">
        <v>1</v>
      </c>
      <c r="O185" s="28">
        <v>1</v>
      </c>
      <c r="P185" s="25">
        <v>1</v>
      </c>
      <c r="Q185" s="27">
        <v>1</v>
      </c>
      <c r="R185" s="28">
        <v>1</v>
      </c>
      <c r="S185" s="28">
        <v>1</v>
      </c>
      <c r="T185" s="28">
        <v>1</v>
      </c>
      <c r="U185" s="28">
        <v>1</v>
      </c>
      <c r="V185" s="25">
        <v>1</v>
      </c>
      <c r="W185" s="27">
        <v>1</v>
      </c>
      <c r="X185" s="29">
        <v>1</v>
      </c>
      <c r="Y185" s="25">
        <v>1</v>
      </c>
      <c r="Z185" s="27">
        <v>1</v>
      </c>
      <c r="AA185" s="436"/>
      <c r="AB185" s="36">
        <f t="shared" si="18"/>
        <v>13</v>
      </c>
      <c r="AC185" s="330"/>
      <c r="AE185" s="349"/>
      <c r="AF185" s="349"/>
      <c r="AG185" s="349"/>
      <c r="AH185" s="349"/>
      <c r="AI185" s="349"/>
      <c r="AJ185" s="349"/>
      <c r="AK185" s="349"/>
      <c r="AL185" s="349"/>
      <c r="AM185" s="349"/>
      <c r="AN185" s="349"/>
      <c r="AO185" s="349"/>
      <c r="AP185" s="349"/>
      <c r="AQ185" s="349"/>
      <c r="AR185" s="349"/>
      <c r="AS185" s="349"/>
      <c r="AT185" s="349"/>
      <c r="AU185" s="349"/>
      <c r="AV185" s="349"/>
    </row>
    <row r="186" spans="2:48" s="140" customFormat="1" ht="15" hidden="1">
      <c r="B186" s="1871"/>
      <c r="C186" s="169" t="s">
        <v>153</v>
      </c>
      <c r="D186" s="73"/>
      <c r="E186" s="30" t="s">
        <v>19</v>
      </c>
      <c r="F186" s="31"/>
      <c r="G186" s="236"/>
      <c r="H186" s="227" t="s">
        <v>61</v>
      </c>
      <c r="I186" s="227"/>
      <c r="J186" s="227"/>
      <c r="K186" s="227"/>
      <c r="L186" s="193"/>
      <c r="M186" s="146"/>
      <c r="N186" s="40">
        <v>1</v>
      </c>
      <c r="O186" s="28">
        <v>1</v>
      </c>
      <c r="P186" s="25">
        <v>1</v>
      </c>
      <c r="Q186" s="27">
        <v>1</v>
      </c>
      <c r="R186" s="28">
        <v>1</v>
      </c>
      <c r="S186" s="28">
        <v>1</v>
      </c>
      <c r="T186" s="28">
        <v>1</v>
      </c>
      <c r="U186" s="28">
        <v>1</v>
      </c>
      <c r="V186" s="25">
        <v>1</v>
      </c>
      <c r="W186" s="27">
        <v>1</v>
      </c>
      <c r="X186" s="29">
        <v>1</v>
      </c>
      <c r="Y186" s="25">
        <v>1</v>
      </c>
      <c r="Z186" s="27">
        <v>1</v>
      </c>
      <c r="AA186" s="436"/>
      <c r="AB186" s="36">
        <f t="shared" si="18"/>
        <v>13</v>
      </c>
      <c r="AC186" s="330"/>
      <c r="AE186" s="349"/>
      <c r="AF186" s="349"/>
      <c r="AG186" s="349"/>
      <c r="AH186" s="349"/>
      <c r="AI186" s="349"/>
      <c r="AJ186" s="349"/>
      <c r="AK186" s="349"/>
      <c r="AL186" s="349"/>
      <c r="AM186" s="349"/>
      <c r="AN186" s="349"/>
      <c r="AO186" s="349"/>
      <c r="AP186" s="349"/>
      <c r="AQ186" s="349"/>
      <c r="AR186" s="349"/>
      <c r="AS186" s="349"/>
      <c r="AT186" s="349"/>
      <c r="AU186" s="349"/>
      <c r="AV186" s="349"/>
    </row>
    <row r="187" spans="2:48" s="140" customFormat="1" ht="15" hidden="1">
      <c r="B187" s="1871"/>
      <c r="C187" s="169" t="s">
        <v>63</v>
      </c>
      <c r="D187" s="73"/>
      <c r="E187" s="30" t="s">
        <v>19</v>
      </c>
      <c r="F187" s="31"/>
      <c r="G187" s="236"/>
      <c r="H187" s="227" t="s">
        <v>61</v>
      </c>
      <c r="I187" s="227"/>
      <c r="J187" s="227"/>
      <c r="K187" s="227"/>
      <c r="L187" s="193"/>
      <c r="M187" s="146"/>
      <c r="N187" s="40">
        <v>1</v>
      </c>
      <c r="O187" s="28">
        <v>1</v>
      </c>
      <c r="P187" s="25">
        <v>1</v>
      </c>
      <c r="Q187" s="27">
        <v>1</v>
      </c>
      <c r="R187" s="28">
        <v>1</v>
      </c>
      <c r="S187" s="28">
        <v>1</v>
      </c>
      <c r="T187" s="28">
        <v>1</v>
      </c>
      <c r="U187" s="28">
        <v>1</v>
      </c>
      <c r="V187" s="25">
        <v>1</v>
      </c>
      <c r="W187" s="27">
        <v>1</v>
      </c>
      <c r="X187" s="29">
        <v>1</v>
      </c>
      <c r="Y187" s="25">
        <v>1</v>
      </c>
      <c r="Z187" s="27">
        <v>1</v>
      </c>
      <c r="AA187" s="436"/>
      <c r="AB187" s="36">
        <f t="shared" si="18"/>
        <v>13</v>
      </c>
      <c r="AC187" s="330"/>
      <c r="AE187" s="349"/>
      <c r="AF187" s="349"/>
      <c r="AG187" s="349"/>
      <c r="AH187" s="349"/>
      <c r="AI187" s="349"/>
      <c r="AJ187" s="349"/>
      <c r="AK187" s="349"/>
      <c r="AL187" s="349"/>
      <c r="AM187" s="349"/>
      <c r="AN187" s="349"/>
      <c r="AO187" s="349"/>
      <c r="AP187" s="349"/>
      <c r="AQ187" s="349"/>
      <c r="AR187" s="349"/>
      <c r="AS187" s="349"/>
      <c r="AT187" s="349"/>
      <c r="AU187" s="349"/>
      <c r="AV187" s="349"/>
    </row>
    <row r="188" spans="2:48" s="140" customFormat="1" ht="15" hidden="1">
      <c r="B188" s="1871"/>
      <c r="C188" s="272" t="s">
        <v>63</v>
      </c>
      <c r="D188" s="73"/>
      <c r="E188" s="2" t="s">
        <v>21</v>
      </c>
      <c r="F188" s="12"/>
      <c r="G188" s="163"/>
      <c r="H188" s="227" t="s">
        <v>61</v>
      </c>
      <c r="I188" s="227"/>
      <c r="J188" s="227"/>
      <c r="K188" s="227"/>
      <c r="L188" s="193"/>
      <c r="M188" s="146"/>
      <c r="N188" s="40">
        <v>1</v>
      </c>
      <c r="O188" s="28">
        <v>1</v>
      </c>
      <c r="P188" s="25">
        <v>1</v>
      </c>
      <c r="Q188" s="27">
        <v>1</v>
      </c>
      <c r="R188" s="28">
        <v>1</v>
      </c>
      <c r="S188" s="28">
        <v>1</v>
      </c>
      <c r="T188" s="28">
        <v>1</v>
      </c>
      <c r="U188" s="28">
        <v>1</v>
      </c>
      <c r="V188" s="25">
        <v>1</v>
      </c>
      <c r="W188" s="27">
        <v>1</v>
      </c>
      <c r="X188" s="29">
        <v>1</v>
      </c>
      <c r="Y188" s="25">
        <v>1</v>
      </c>
      <c r="Z188" s="27">
        <v>1</v>
      </c>
      <c r="AA188" s="436"/>
      <c r="AB188" s="36">
        <f t="shared" si="18"/>
        <v>13</v>
      </c>
      <c r="AC188" s="330"/>
      <c r="AE188" s="349"/>
      <c r="AF188" s="349"/>
      <c r="AG188" s="349"/>
      <c r="AH188" s="349"/>
      <c r="AI188" s="349"/>
      <c r="AJ188" s="349"/>
      <c r="AK188" s="349"/>
      <c r="AL188" s="349"/>
      <c r="AM188" s="349"/>
      <c r="AN188" s="349"/>
      <c r="AO188" s="349"/>
      <c r="AP188" s="349"/>
      <c r="AQ188" s="349"/>
      <c r="AR188" s="349"/>
      <c r="AS188" s="349"/>
      <c r="AT188" s="349"/>
      <c r="AU188" s="349"/>
      <c r="AV188" s="349"/>
    </row>
    <row r="189" spans="2:48" s="140" customFormat="1" ht="15" hidden="1">
      <c r="B189" s="1871"/>
      <c r="C189" s="272" t="s">
        <v>63</v>
      </c>
      <c r="D189" s="73"/>
      <c r="E189" s="2" t="s">
        <v>19</v>
      </c>
      <c r="F189" s="12"/>
      <c r="G189" s="163"/>
      <c r="H189" s="227" t="s">
        <v>61</v>
      </c>
      <c r="I189" s="227"/>
      <c r="J189" s="227"/>
      <c r="K189" s="227"/>
      <c r="L189" s="193"/>
      <c r="M189" s="146"/>
      <c r="N189" s="40"/>
      <c r="O189" s="28"/>
      <c r="P189" s="25"/>
      <c r="Q189" s="27">
        <v>1</v>
      </c>
      <c r="R189" s="28">
        <v>1</v>
      </c>
      <c r="S189" s="28">
        <v>1</v>
      </c>
      <c r="T189" s="28">
        <v>1</v>
      </c>
      <c r="U189" s="28">
        <v>1</v>
      </c>
      <c r="V189" s="25">
        <v>1</v>
      </c>
      <c r="W189" s="27">
        <v>1</v>
      </c>
      <c r="X189" s="29">
        <v>1</v>
      </c>
      <c r="Y189" s="25">
        <v>1</v>
      </c>
      <c r="Z189" s="27">
        <v>0.5</v>
      </c>
      <c r="AA189" s="436"/>
      <c r="AB189" s="36">
        <f t="shared" si="18"/>
        <v>9.5</v>
      </c>
      <c r="AC189" s="330"/>
      <c r="AE189" s="349"/>
      <c r="AF189" s="349"/>
      <c r="AG189" s="349"/>
      <c r="AH189" s="349"/>
      <c r="AI189" s="349"/>
      <c r="AJ189" s="349"/>
      <c r="AK189" s="349"/>
      <c r="AL189" s="349"/>
      <c r="AM189" s="349"/>
      <c r="AN189" s="349"/>
      <c r="AO189" s="349"/>
      <c r="AP189" s="349"/>
      <c r="AQ189" s="349"/>
      <c r="AR189" s="349"/>
      <c r="AS189" s="349"/>
      <c r="AT189" s="349"/>
      <c r="AU189" s="349"/>
      <c r="AV189" s="349"/>
    </row>
    <row r="190" spans="2:48" s="140" customFormat="1" ht="15" hidden="1">
      <c r="B190" s="1871"/>
      <c r="C190" s="272" t="s">
        <v>63</v>
      </c>
      <c r="D190" s="73"/>
      <c r="E190" s="2" t="s">
        <v>21</v>
      </c>
      <c r="F190" s="12"/>
      <c r="G190" s="163"/>
      <c r="H190" s="227" t="s">
        <v>61</v>
      </c>
      <c r="I190" s="227"/>
      <c r="J190" s="227"/>
      <c r="K190" s="227"/>
      <c r="L190" s="193"/>
      <c r="M190" s="146"/>
      <c r="N190" s="40"/>
      <c r="O190" s="28"/>
      <c r="P190" s="25"/>
      <c r="Q190" s="27">
        <v>1</v>
      </c>
      <c r="R190" s="28">
        <v>1</v>
      </c>
      <c r="S190" s="28">
        <v>1</v>
      </c>
      <c r="T190" s="28">
        <v>1</v>
      </c>
      <c r="U190" s="28">
        <v>1</v>
      </c>
      <c r="V190" s="25">
        <v>1</v>
      </c>
      <c r="W190" s="27">
        <v>0.5</v>
      </c>
      <c r="X190" s="29"/>
      <c r="Y190" s="25"/>
      <c r="Z190" s="27"/>
      <c r="AA190" s="436"/>
      <c r="AB190" s="36">
        <f t="shared" si="18"/>
        <v>6.5</v>
      </c>
      <c r="AC190" s="330"/>
      <c r="AE190" s="349"/>
      <c r="AF190" s="349"/>
      <c r="AG190" s="349"/>
      <c r="AH190" s="349"/>
      <c r="AI190" s="349"/>
      <c r="AJ190" s="349"/>
      <c r="AK190" s="349"/>
      <c r="AL190" s="349"/>
      <c r="AM190" s="349"/>
      <c r="AN190" s="349"/>
      <c r="AO190" s="349"/>
      <c r="AP190" s="349"/>
      <c r="AQ190" s="349"/>
      <c r="AR190" s="349"/>
      <c r="AS190" s="349"/>
      <c r="AT190" s="349"/>
      <c r="AU190" s="349"/>
      <c r="AV190" s="349"/>
    </row>
    <row r="191" spans="2:48" s="140" customFormat="1" ht="15" hidden="1">
      <c r="B191" s="1871"/>
      <c r="C191" s="272" t="s">
        <v>63</v>
      </c>
      <c r="D191" s="73"/>
      <c r="E191" s="2" t="s">
        <v>22</v>
      </c>
      <c r="F191" s="12"/>
      <c r="G191" s="163"/>
      <c r="H191" s="227" t="s">
        <v>61</v>
      </c>
      <c r="I191" s="227"/>
      <c r="J191" s="227"/>
      <c r="K191" s="227"/>
      <c r="L191" s="193"/>
      <c r="M191" s="146"/>
      <c r="N191" s="40"/>
      <c r="O191" s="28"/>
      <c r="P191" s="25"/>
      <c r="Q191" s="27">
        <v>0.5</v>
      </c>
      <c r="R191" s="28">
        <v>1</v>
      </c>
      <c r="S191" s="28">
        <v>1</v>
      </c>
      <c r="T191" s="28">
        <v>1</v>
      </c>
      <c r="U191" s="28">
        <v>1</v>
      </c>
      <c r="V191" s="25">
        <v>1</v>
      </c>
      <c r="W191" s="27">
        <v>0.5</v>
      </c>
      <c r="X191" s="29"/>
      <c r="Y191" s="25"/>
      <c r="Z191" s="27"/>
      <c r="AA191" s="436"/>
      <c r="AB191" s="36">
        <f t="shared" si="18"/>
        <v>6</v>
      </c>
      <c r="AC191" s="330"/>
      <c r="AE191" s="349"/>
      <c r="AF191" s="349"/>
      <c r="AG191" s="349"/>
      <c r="AH191" s="349"/>
      <c r="AI191" s="349"/>
      <c r="AJ191" s="349"/>
      <c r="AK191" s="349"/>
      <c r="AL191" s="349"/>
      <c r="AM191" s="349"/>
      <c r="AN191" s="349"/>
      <c r="AO191" s="349"/>
      <c r="AP191" s="349"/>
      <c r="AQ191" s="349"/>
      <c r="AR191" s="349"/>
      <c r="AS191" s="349"/>
      <c r="AT191" s="349"/>
      <c r="AU191" s="349"/>
      <c r="AV191" s="349"/>
    </row>
    <row r="192" spans="2:48" s="140" customFormat="1" ht="15" hidden="1">
      <c r="B192" s="1871"/>
      <c r="C192" s="272" t="s">
        <v>108</v>
      </c>
      <c r="D192" s="73"/>
      <c r="E192" s="2" t="s">
        <v>19</v>
      </c>
      <c r="F192" s="12"/>
      <c r="G192" s="163"/>
      <c r="H192" s="227" t="s">
        <v>61</v>
      </c>
      <c r="I192" s="227"/>
      <c r="J192" s="227"/>
      <c r="K192" s="227"/>
      <c r="L192" s="193"/>
      <c r="M192" s="146"/>
      <c r="N192" s="40"/>
      <c r="O192" s="28"/>
      <c r="P192" s="25"/>
      <c r="Q192" s="27">
        <v>0.5</v>
      </c>
      <c r="R192" s="28">
        <v>1</v>
      </c>
      <c r="S192" s="28">
        <v>1</v>
      </c>
      <c r="T192" s="28">
        <v>1</v>
      </c>
      <c r="U192" s="28">
        <v>1</v>
      </c>
      <c r="V192" s="25">
        <v>1</v>
      </c>
      <c r="W192" s="27">
        <v>1</v>
      </c>
      <c r="X192" s="29">
        <v>1</v>
      </c>
      <c r="Y192" s="25">
        <v>1</v>
      </c>
      <c r="Z192" s="27">
        <v>0.5</v>
      </c>
      <c r="AA192" s="436"/>
      <c r="AB192" s="36">
        <f t="shared" si="18"/>
        <v>9</v>
      </c>
      <c r="AC192" s="330"/>
      <c r="AE192" s="349"/>
      <c r="AF192" s="349"/>
      <c r="AG192" s="349"/>
      <c r="AH192" s="349"/>
      <c r="AI192" s="349"/>
      <c r="AJ192" s="349"/>
      <c r="AK192" s="349"/>
      <c r="AL192" s="349"/>
      <c r="AM192" s="349"/>
      <c r="AN192" s="349"/>
      <c r="AO192" s="349"/>
      <c r="AP192" s="349"/>
      <c r="AQ192" s="349"/>
      <c r="AR192" s="349"/>
      <c r="AS192" s="349"/>
      <c r="AT192" s="349"/>
      <c r="AU192" s="349"/>
      <c r="AV192" s="349"/>
    </row>
    <row r="193" spans="2:48" s="140" customFormat="1" ht="15" hidden="1">
      <c r="B193" s="1871"/>
      <c r="C193" s="272" t="s">
        <v>109</v>
      </c>
      <c r="D193" s="73"/>
      <c r="E193" s="2" t="s">
        <v>19</v>
      </c>
      <c r="F193" s="12"/>
      <c r="G193" s="163"/>
      <c r="H193" s="227" t="s">
        <v>61</v>
      </c>
      <c r="I193" s="227"/>
      <c r="J193" s="227"/>
      <c r="K193" s="227"/>
      <c r="L193" s="193"/>
      <c r="M193" s="146"/>
      <c r="N193" s="40"/>
      <c r="O193" s="28"/>
      <c r="P193" s="25"/>
      <c r="Q193" s="27">
        <v>0.5</v>
      </c>
      <c r="R193" s="28">
        <v>1</v>
      </c>
      <c r="S193" s="28">
        <v>1</v>
      </c>
      <c r="T193" s="28">
        <v>1</v>
      </c>
      <c r="U193" s="28">
        <v>1</v>
      </c>
      <c r="V193" s="25">
        <v>1</v>
      </c>
      <c r="W193" s="27">
        <v>1</v>
      </c>
      <c r="X193" s="29">
        <v>1</v>
      </c>
      <c r="Y193" s="25">
        <v>1</v>
      </c>
      <c r="Z193" s="27">
        <v>0.5</v>
      </c>
      <c r="AA193" s="436"/>
      <c r="AB193" s="36">
        <f t="shared" si="18"/>
        <v>9</v>
      </c>
      <c r="AC193" s="330"/>
      <c r="AE193" s="349"/>
      <c r="AF193" s="349"/>
      <c r="AG193" s="349"/>
      <c r="AH193" s="349"/>
      <c r="AI193" s="349"/>
      <c r="AJ193" s="349"/>
      <c r="AK193" s="349"/>
      <c r="AL193" s="349"/>
      <c r="AM193" s="349"/>
      <c r="AN193" s="349"/>
      <c r="AO193" s="349"/>
      <c r="AP193" s="349"/>
      <c r="AQ193" s="349"/>
      <c r="AR193" s="349"/>
      <c r="AS193" s="349"/>
      <c r="AT193" s="349"/>
      <c r="AU193" s="349"/>
      <c r="AV193" s="349"/>
    </row>
    <row r="194" spans="2:48" s="150" customFormat="1" ht="16" hidden="1" thickBot="1">
      <c r="B194" s="1872"/>
      <c r="C194" s="1867" t="s">
        <v>16</v>
      </c>
      <c r="D194" s="1868"/>
      <c r="E194" s="191"/>
      <c r="F194" s="191"/>
      <c r="G194" s="270"/>
      <c r="H194" s="458"/>
      <c r="I194" s="458"/>
      <c r="J194" s="458"/>
      <c r="K194" s="458"/>
      <c r="L194" s="279">
        <f t="shared" ref="L194:AB194" si="19">SUM(L184:L193)</f>
        <v>0</v>
      </c>
      <c r="M194" s="192">
        <f t="shared" si="19"/>
        <v>0</v>
      </c>
      <c r="N194" s="192">
        <f t="shared" si="19"/>
        <v>4</v>
      </c>
      <c r="O194" s="192">
        <f t="shared" si="19"/>
        <v>5</v>
      </c>
      <c r="P194" s="270">
        <f t="shared" si="19"/>
        <v>5</v>
      </c>
      <c r="Q194" s="279">
        <f t="shared" si="19"/>
        <v>8.5</v>
      </c>
      <c r="R194" s="192">
        <f t="shared" si="19"/>
        <v>10</v>
      </c>
      <c r="S194" s="192">
        <f t="shared" si="19"/>
        <v>10</v>
      </c>
      <c r="T194" s="192">
        <f t="shared" si="19"/>
        <v>10</v>
      </c>
      <c r="U194" s="192">
        <f t="shared" si="19"/>
        <v>10</v>
      </c>
      <c r="V194" s="270">
        <f t="shared" si="19"/>
        <v>10</v>
      </c>
      <c r="W194" s="279">
        <f t="shared" si="19"/>
        <v>9</v>
      </c>
      <c r="X194" s="192">
        <f t="shared" si="19"/>
        <v>8</v>
      </c>
      <c r="Y194" s="270">
        <f t="shared" si="19"/>
        <v>8</v>
      </c>
      <c r="Z194" s="279">
        <f t="shared" si="19"/>
        <v>6.5</v>
      </c>
      <c r="AA194" s="270">
        <f t="shared" si="19"/>
        <v>0</v>
      </c>
      <c r="AB194" s="240">
        <f t="shared" si="19"/>
        <v>104</v>
      </c>
      <c r="AC194" s="339"/>
      <c r="AE194" s="349"/>
      <c r="AF194" s="349"/>
      <c r="AG194" s="349"/>
      <c r="AH194" s="349"/>
      <c r="AI194" s="349"/>
      <c r="AJ194" s="349"/>
      <c r="AK194" s="349"/>
      <c r="AL194" s="349"/>
      <c r="AM194" s="349"/>
      <c r="AN194" s="349"/>
      <c r="AO194" s="349"/>
      <c r="AP194" s="349"/>
      <c r="AQ194" s="349"/>
      <c r="AR194" s="349"/>
      <c r="AS194" s="349"/>
      <c r="AT194" s="349"/>
      <c r="AU194" s="349"/>
      <c r="AV194" s="349"/>
    </row>
    <row r="195" spans="2:48" s="140" customFormat="1" ht="15" hidden="1">
      <c r="B195" s="1820"/>
      <c r="C195" s="242" t="s">
        <v>97</v>
      </c>
      <c r="D195" s="79"/>
      <c r="E195" s="1" t="s">
        <v>21</v>
      </c>
      <c r="F195" s="11" t="s">
        <v>125</v>
      </c>
      <c r="G195" s="253" t="s">
        <v>223</v>
      </c>
      <c r="H195" s="277" t="s">
        <v>17</v>
      </c>
      <c r="I195" s="277"/>
      <c r="J195" s="277"/>
      <c r="K195" s="277"/>
      <c r="L195" s="27"/>
      <c r="M195" s="28"/>
      <c r="N195" s="28"/>
      <c r="O195" s="28">
        <v>1</v>
      </c>
      <c r="P195" s="25">
        <v>1</v>
      </c>
      <c r="Q195" s="27"/>
      <c r="R195" s="28"/>
      <c r="S195" s="28"/>
      <c r="T195" s="28"/>
      <c r="U195" s="28"/>
      <c r="V195" s="25"/>
      <c r="W195" s="27"/>
      <c r="X195" s="28"/>
      <c r="Y195" s="25"/>
      <c r="Z195" s="15"/>
      <c r="AA195" s="16"/>
      <c r="AB195" s="36">
        <f t="shared" ref="AB195:AB199" si="20">SUM(L195:AA195)</f>
        <v>2</v>
      </c>
      <c r="AC195" s="322"/>
      <c r="AE195" s="349"/>
      <c r="AF195" s="349"/>
      <c r="AG195" s="349"/>
      <c r="AH195" s="349"/>
      <c r="AI195" s="349"/>
      <c r="AJ195" s="349"/>
      <c r="AK195" s="349"/>
      <c r="AL195" s="349"/>
      <c r="AM195" s="349"/>
      <c r="AN195" s="349"/>
      <c r="AO195" s="349"/>
      <c r="AP195" s="349"/>
      <c r="AQ195" s="349"/>
      <c r="AR195" s="349"/>
      <c r="AS195" s="349"/>
      <c r="AT195" s="349"/>
      <c r="AU195" s="349"/>
      <c r="AV195" s="349"/>
    </row>
    <row r="196" spans="2:48" s="140" customFormat="1" ht="15" hidden="1">
      <c r="B196" s="1820"/>
      <c r="C196" s="242" t="s">
        <v>37</v>
      </c>
      <c r="D196" s="79"/>
      <c r="E196" s="1" t="s">
        <v>13</v>
      </c>
      <c r="F196" s="11" t="s">
        <v>123</v>
      </c>
      <c r="G196" s="253" t="s">
        <v>222</v>
      </c>
      <c r="H196" s="277" t="s">
        <v>17</v>
      </c>
      <c r="I196" s="277"/>
      <c r="J196" s="277"/>
      <c r="K196" s="277"/>
      <c r="L196" s="27"/>
      <c r="M196" s="28"/>
      <c r="N196" s="28"/>
      <c r="O196" s="28"/>
      <c r="P196" s="25"/>
      <c r="Q196" s="27"/>
      <c r="R196" s="28"/>
      <c r="S196" s="28"/>
      <c r="T196" s="28"/>
      <c r="U196" s="28"/>
      <c r="V196" s="459">
        <v>0.5</v>
      </c>
      <c r="W196" s="27">
        <v>1</v>
      </c>
      <c r="X196" s="238">
        <v>0.5</v>
      </c>
      <c r="Y196" s="25"/>
      <c r="Z196" s="15"/>
      <c r="AA196" s="16"/>
      <c r="AB196" s="36">
        <f t="shared" si="20"/>
        <v>2</v>
      </c>
      <c r="AC196" s="322"/>
      <c r="AE196" s="349"/>
      <c r="AF196" s="349"/>
      <c r="AG196" s="349"/>
      <c r="AH196" s="349"/>
      <c r="AI196" s="349"/>
      <c r="AJ196" s="349"/>
      <c r="AK196" s="349"/>
      <c r="AL196" s="349"/>
      <c r="AM196" s="349"/>
      <c r="AN196" s="349"/>
      <c r="AO196" s="349"/>
      <c r="AP196" s="349"/>
      <c r="AQ196" s="349"/>
      <c r="AR196" s="349"/>
      <c r="AS196" s="349"/>
      <c r="AT196" s="349"/>
      <c r="AU196" s="349"/>
      <c r="AV196" s="349"/>
    </row>
    <row r="197" spans="2:48" s="140" customFormat="1" ht="15" hidden="1">
      <c r="B197" s="1820"/>
      <c r="C197" s="242" t="s">
        <v>37</v>
      </c>
      <c r="D197" s="79"/>
      <c r="E197" s="1" t="s">
        <v>19</v>
      </c>
      <c r="F197" s="11"/>
      <c r="G197" s="253"/>
      <c r="H197" s="277" t="s">
        <v>17</v>
      </c>
      <c r="I197" s="277"/>
      <c r="J197" s="277"/>
      <c r="K197" s="277"/>
      <c r="L197" s="27"/>
      <c r="M197" s="28"/>
      <c r="N197" s="28"/>
      <c r="O197" s="28"/>
      <c r="P197" s="25"/>
      <c r="Q197" s="27"/>
      <c r="R197" s="28"/>
      <c r="S197" s="28"/>
      <c r="T197" s="28"/>
      <c r="U197" s="28"/>
      <c r="V197" s="459">
        <v>0.5</v>
      </c>
      <c r="W197" s="27">
        <v>1</v>
      </c>
      <c r="X197" s="238">
        <v>0.5</v>
      </c>
      <c r="Y197" s="25"/>
      <c r="Z197" s="15"/>
      <c r="AA197" s="16"/>
      <c r="AB197" s="36">
        <f t="shared" si="20"/>
        <v>2</v>
      </c>
      <c r="AC197" s="322"/>
      <c r="AE197" s="349"/>
      <c r="AF197" s="349"/>
      <c r="AG197" s="349"/>
      <c r="AH197" s="349"/>
      <c r="AI197" s="349"/>
      <c r="AJ197" s="349"/>
      <c r="AK197" s="349"/>
      <c r="AL197" s="349"/>
      <c r="AM197" s="349"/>
      <c r="AN197" s="349"/>
      <c r="AO197" s="349"/>
      <c r="AP197" s="349"/>
      <c r="AQ197" s="349"/>
      <c r="AR197" s="349"/>
      <c r="AS197" s="349"/>
      <c r="AT197" s="349"/>
      <c r="AU197" s="349"/>
      <c r="AV197" s="349"/>
    </row>
    <row r="198" spans="2:48" s="140" customFormat="1" ht="15" hidden="1">
      <c r="B198" s="1820"/>
      <c r="C198" s="258" t="s">
        <v>98</v>
      </c>
      <c r="D198" s="183"/>
      <c r="E198" s="320" t="s">
        <v>19</v>
      </c>
      <c r="F198" s="45" t="s">
        <v>125</v>
      </c>
      <c r="G198" s="255" t="s">
        <v>260</v>
      </c>
      <c r="H198" s="280" t="s">
        <v>17</v>
      </c>
      <c r="I198" s="280"/>
      <c r="J198" s="280"/>
      <c r="K198" s="280"/>
      <c r="L198" s="39"/>
      <c r="M198" s="40"/>
      <c r="N198" s="40"/>
      <c r="O198" s="40"/>
      <c r="P198" s="122"/>
      <c r="Q198" s="39"/>
      <c r="R198" s="40"/>
      <c r="S198" s="40"/>
      <c r="T198" s="40">
        <v>0.5</v>
      </c>
      <c r="U198" s="40">
        <v>1</v>
      </c>
      <c r="V198" s="122">
        <v>1</v>
      </c>
      <c r="W198" s="39">
        <v>1</v>
      </c>
      <c r="X198" s="40">
        <v>0.5</v>
      </c>
      <c r="Y198" s="122"/>
      <c r="Z198" s="23"/>
      <c r="AA198" s="24"/>
      <c r="AB198" s="37">
        <f t="shared" si="20"/>
        <v>4</v>
      </c>
      <c r="AC198" s="322"/>
      <c r="AE198" s="349"/>
      <c r="AF198" s="349"/>
      <c r="AG198" s="349"/>
      <c r="AH198" s="349"/>
      <c r="AI198" s="349"/>
      <c r="AJ198" s="349"/>
      <c r="AK198" s="349"/>
      <c r="AL198" s="349"/>
      <c r="AM198" s="349"/>
      <c r="AN198" s="349"/>
      <c r="AO198" s="349"/>
      <c r="AP198" s="349"/>
      <c r="AQ198" s="349"/>
      <c r="AR198" s="349"/>
      <c r="AS198" s="349"/>
      <c r="AT198" s="349"/>
      <c r="AU198" s="349"/>
      <c r="AV198" s="349"/>
    </row>
    <row r="199" spans="2:48" s="150" customFormat="1" ht="16" hidden="1" thickBot="1">
      <c r="B199" s="1821"/>
      <c r="C199" s="1867" t="s">
        <v>16</v>
      </c>
      <c r="D199" s="1868"/>
      <c r="E199" s="157"/>
      <c r="F199" s="157"/>
      <c r="G199" s="256"/>
      <c r="H199" s="274"/>
      <c r="I199" s="274"/>
      <c r="J199" s="274"/>
      <c r="K199" s="274"/>
      <c r="L199" s="161">
        <f t="shared" ref="L199:AA199" si="21">SUM(L195:L198)</f>
        <v>0</v>
      </c>
      <c r="M199" s="178">
        <f t="shared" si="21"/>
        <v>0</v>
      </c>
      <c r="N199" s="178">
        <f t="shared" si="21"/>
        <v>0</v>
      </c>
      <c r="O199" s="178">
        <f t="shared" si="21"/>
        <v>1</v>
      </c>
      <c r="P199" s="185">
        <f t="shared" si="21"/>
        <v>1</v>
      </c>
      <c r="Q199" s="161">
        <f t="shared" si="21"/>
        <v>0</v>
      </c>
      <c r="R199" s="178">
        <f t="shared" si="21"/>
        <v>0</v>
      </c>
      <c r="S199" s="178">
        <f t="shared" si="21"/>
        <v>0</v>
      </c>
      <c r="T199" s="178">
        <f t="shared" si="21"/>
        <v>0.5</v>
      </c>
      <c r="U199" s="178">
        <f t="shared" si="21"/>
        <v>1</v>
      </c>
      <c r="V199" s="185">
        <f t="shared" si="21"/>
        <v>2</v>
      </c>
      <c r="W199" s="161">
        <f t="shared" si="21"/>
        <v>3</v>
      </c>
      <c r="X199" s="178">
        <f t="shared" si="21"/>
        <v>1.5</v>
      </c>
      <c r="Y199" s="185">
        <f t="shared" si="21"/>
        <v>0</v>
      </c>
      <c r="Z199" s="161">
        <f t="shared" si="21"/>
        <v>0</v>
      </c>
      <c r="AA199" s="185">
        <f t="shared" si="21"/>
        <v>0</v>
      </c>
      <c r="AB199" s="162">
        <f t="shared" si="20"/>
        <v>10</v>
      </c>
      <c r="AC199" s="328"/>
      <c r="AE199" s="349"/>
      <c r="AF199" s="349"/>
      <c r="AG199" s="349"/>
      <c r="AH199" s="349"/>
      <c r="AI199" s="349"/>
      <c r="AJ199" s="349"/>
      <c r="AK199" s="349"/>
      <c r="AL199" s="349"/>
      <c r="AM199" s="349"/>
      <c r="AN199" s="349"/>
      <c r="AO199" s="349"/>
      <c r="AP199" s="349"/>
      <c r="AQ199" s="349"/>
      <c r="AR199" s="349"/>
      <c r="AS199" s="349"/>
      <c r="AT199" s="349"/>
      <c r="AU199" s="349"/>
      <c r="AV199" s="349"/>
    </row>
    <row r="200" spans="2:48" s="140" customFormat="1" ht="16" hidden="1" thickBot="1">
      <c r="B200" s="151"/>
      <c r="C200" s="1886" t="s">
        <v>159</v>
      </c>
      <c r="D200" s="1887"/>
      <c r="E200" s="147"/>
      <c r="F200" s="148"/>
      <c r="G200" s="273"/>
      <c r="H200" s="460"/>
      <c r="I200" s="460"/>
      <c r="J200" s="460"/>
      <c r="K200" s="460"/>
      <c r="L200" s="294">
        <f t="shared" ref="L200:AB200" si="22">L199+L194+L183+L167+L158+L102+L75+L55+L45+L35+L20+L14</f>
        <v>0</v>
      </c>
      <c r="M200" s="295">
        <f t="shared" si="22"/>
        <v>58.25</v>
      </c>
      <c r="N200" s="295">
        <f t="shared" si="22"/>
        <v>73.75</v>
      </c>
      <c r="O200" s="295">
        <f t="shared" si="22"/>
        <v>85</v>
      </c>
      <c r="P200" s="296">
        <f t="shared" si="22"/>
        <v>93.5</v>
      </c>
      <c r="Q200" s="294">
        <f t="shared" si="22"/>
        <v>140.25</v>
      </c>
      <c r="R200" s="295">
        <f t="shared" si="22"/>
        <v>140.5</v>
      </c>
      <c r="S200" s="295">
        <f t="shared" si="22"/>
        <v>144.5</v>
      </c>
      <c r="T200" s="295">
        <f t="shared" si="22"/>
        <v>147.5</v>
      </c>
      <c r="U200" s="295">
        <f t="shared" si="22"/>
        <v>152</v>
      </c>
      <c r="V200" s="296">
        <f t="shared" si="22"/>
        <v>151.30000000000001</v>
      </c>
      <c r="W200" s="294">
        <f t="shared" si="22"/>
        <v>149.25</v>
      </c>
      <c r="X200" s="295">
        <f t="shared" si="22"/>
        <v>144.5</v>
      </c>
      <c r="Y200" s="296">
        <f t="shared" si="22"/>
        <v>133.25</v>
      </c>
      <c r="Z200" s="294">
        <f t="shared" si="22"/>
        <v>112.5</v>
      </c>
      <c r="AA200" s="296">
        <f t="shared" si="22"/>
        <v>51</v>
      </c>
      <c r="AB200" s="300">
        <f t="shared" si="22"/>
        <v>1777.05</v>
      </c>
      <c r="AC200" s="330"/>
      <c r="AE200" s="349"/>
      <c r="AF200" s="349"/>
      <c r="AG200" s="349"/>
      <c r="AH200" s="349"/>
      <c r="AI200" s="349"/>
      <c r="AJ200" s="349"/>
      <c r="AK200" s="349"/>
      <c r="AL200" s="349"/>
      <c r="AM200" s="349"/>
      <c r="AN200" s="349"/>
      <c r="AO200" s="349"/>
      <c r="AP200" s="349"/>
      <c r="AQ200" s="349"/>
      <c r="AR200" s="349"/>
      <c r="AS200" s="349"/>
      <c r="AT200" s="349"/>
      <c r="AU200" s="349"/>
      <c r="AV200" s="349"/>
    </row>
    <row r="201" spans="2:48" hidden="1">
      <c r="C201" s="206" t="s">
        <v>202</v>
      </c>
    </row>
  </sheetData>
  <autoFilter ref="A5:AV201" xr:uid="{00000000-0009-0000-0000-000007000000}">
    <filterColumn colId="4">
      <customFilters>
        <customFilter operator="notEqual" val=" "/>
      </customFilters>
    </filterColumn>
    <filterColumn colId="7">
      <filters>
        <filter val="아이온"/>
      </filters>
    </filterColumn>
  </autoFilter>
  <mergeCells count="39">
    <mergeCell ref="C200:D200"/>
    <mergeCell ref="B168:B183"/>
    <mergeCell ref="C183:D183"/>
    <mergeCell ref="B184:B194"/>
    <mergeCell ref="C194:D194"/>
    <mergeCell ref="B195:B199"/>
    <mergeCell ref="C199:D199"/>
    <mergeCell ref="AC71:AC74"/>
    <mergeCell ref="C75:D75"/>
    <mergeCell ref="B76:B102"/>
    <mergeCell ref="C102:D102"/>
    <mergeCell ref="C158:D158"/>
    <mergeCell ref="B159:B167"/>
    <mergeCell ref="C167:D167"/>
    <mergeCell ref="B36:B45"/>
    <mergeCell ref="C39:C43"/>
    <mergeCell ref="C45:D45"/>
    <mergeCell ref="B46:B55"/>
    <mergeCell ref="C55:D55"/>
    <mergeCell ref="B56:B75"/>
    <mergeCell ref="C57:C63"/>
    <mergeCell ref="C64:C70"/>
    <mergeCell ref="C71:C74"/>
    <mergeCell ref="B6:B14"/>
    <mergeCell ref="C14:D14"/>
    <mergeCell ref="B15:B20"/>
    <mergeCell ref="C20:D20"/>
    <mergeCell ref="B21:B35"/>
    <mergeCell ref="C35:D35"/>
    <mergeCell ref="B3:B5"/>
    <mergeCell ref="C3:C5"/>
    <mergeCell ref="E3:E5"/>
    <mergeCell ref="H3:H5"/>
    <mergeCell ref="AB3:AB5"/>
    <mergeCell ref="AC3:AC5"/>
    <mergeCell ref="L4:P4"/>
    <mergeCell ref="Q4:V4"/>
    <mergeCell ref="W4:Y4"/>
    <mergeCell ref="Z4:AA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K26"/>
  <sheetViews>
    <sheetView topLeftCell="A4" workbookViewId="0">
      <selection activeCell="M15" sqref="M15"/>
    </sheetView>
  </sheetViews>
  <sheetFormatPr baseColWidth="10" defaultColWidth="8.83203125" defaultRowHeight="17"/>
  <cols>
    <col min="2" max="2" width="10" bestFit="1" customWidth="1"/>
    <col min="8" max="8" width="13.6640625" bestFit="1" customWidth="1"/>
    <col min="10" max="10" width="7" customWidth="1"/>
  </cols>
  <sheetData>
    <row r="2" spans="2:11">
      <c r="B2" s="394" t="s">
        <v>374</v>
      </c>
      <c r="C2" s="394" t="s">
        <v>375</v>
      </c>
      <c r="D2" s="394" t="s">
        <v>376</v>
      </c>
    </row>
    <row r="3" spans="2:11">
      <c r="B3" s="395">
        <v>45658</v>
      </c>
      <c r="C3" s="396" t="s">
        <v>377</v>
      </c>
      <c r="D3" s="397">
        <v>2</v>
      </c>
    </row>
    <row r="4" spans="2:11">
      <c r="B4" s="395">
        <v>45685</v>
      </c>
      <c r="C4" s="396" t="s">
        <v>378</v>
      </c>
      <c r="D4" s="397">
        <v>2</v>
      </c>
    </row>
    <row r="5" spans="2:11">
      <c r="B5" s="395">
        <v>45686</v>
      </c>
      <c r="C5" s="396" t="s">
        <v>378</v>
      </c>
      <c r="D5" s="397">
        <v>2</v>
      </c>
    </row>
    <row r="6" spans="2:11">
      <c r="B6" s="395">
        <v>45687</v>
      </c>
      <c r="C6" s="396" t="s">
        <v>378</v>
      </c>
      <c r="D6" s="397">
        <v>2</v>
      </c>
    </row>
    <row r="7" spans="2:11">
      <c r="B7" s="395">
        <v>45719</v>
      </c>
      <c r="C7" s="398" t="s">
        <v>379</v>
      </c>
      <c r="D7" s="397">
        <v>2</v>
      </c>
    </row>
    <row r="8" spans="2:11">
      <c r="B8" s="395">
        <v>45782</v>
      </c>
      <c r="C8" s="398" t="s">
        <v>380</v>
      </c>
      <c r="D8" s="397">
        <v>2</v>
      </c>
      <c r="H8" s="462"/>
      <c r="I8" s="462" t="s">
        <v>648</v>
      </c>
      <c r="J8" s="462" t="s">
        <v>649</v>
      </c>
      <c r="K8" s="462" t="s">
        <v>650</v>
      </c>
    </row>
    <row r="9" spans="2:11">
      <c r="B9" s="395">
        <v>45783</v>
      </c>
      <c r="C9" s="398" t="s">
        <v>379</v>
      </c>
      <c r="D9" s="397">
        <v>2</v>
      </c>
      <c r="H9" s="229" t="s">
        <v>17</v>
      </c>
      <c r="I9" s="462">
        <v>20</v>
      </c>
      <c r="J9" s="462">
        <v>23</v>
      </c>
      <c r="K9" s="462">
        <v>3</v>
      </c>
    </row>
    <row r="10" spans="2:11">
      <c r="B10" s="395">
        <v>45814</v>
      </c>
      <c r="C10" s="398" t="s">
        <v>381</v>
      </c>
      <c r="D10" s="397">
        <v>2</v>
      </c>
      <c r="H10" s="229" t="s">
        <v>90</v>
      </c>
      <c r="I10" s="462">
        <v>3</v>
      </c>
      <c r="J10" s="462">
        <v>3</v>
      </c>
      <c r="K10" s="462"/>
    </row>
    <row r="11" spans="2:11">
      <c r="B11" s="395">
        <v>45884</v>
      </c>
      <c r="C11" s="398" t="s">
        <v>382</v>
      </c>
      <c r="D11" s="397">
        <v>2</v>
      </c>
      <c r="H11" s="229" t="s">
        <v>93</v>
      </c>
      <c r="I11" s="462">
        <v>1</v>
      </c>
      <c r="J11" s="462">
        <v>1</v>
      </c>
      <c r="K11" s="462"/>
    </row>
    <row r="12" spans="2:11">
      <c r="B12" s="395">
        <v>45933</v>
      </c>
      <c r="C12" s="398" t="s">
        <v>383</v>
      </c>
      <c r="D12" s="397">
        <v>2</v>
      </c>
      <c r="H12" s="229" t="s">
        <v>102</v>
      </c>
      <c r="I12" s="462">
        <v>5</v>
      </c>
      <c r="J12" s="462">
        <v>5</v>
      </c>
      <c r="K12" s="462"/>
    </row>
    <row r="13" spans="2:11">
      <c r="B13" s="395">
        <v>45936</v>
      </c>
      <c r="C13" s="398" t="s">
        <v>384</v>
      </c>
      <c r="D13" s="397">
        <v>2</v>
      </c>
      <c r="H13" s="231" t="s">
        <v>56</v>
      </c>
      <c r="I13" s="462">
        <v>17</v>
      </c>
      <c r="J13" s="462">
        <v>19</v>
      </c>
      <c r="K13" s="462">
        <v>2</v>
      </c>
    </row>
    <row r="14" spans="2:11">
      <c r="B14" s="395">
        <v>45937</v>
      </c>
      <c r="C14" s="398" t="s">
        <v>384</v>
      </c>
      <c r="D14" s="397">
        <v>2</v>
      </c>
      <c r="H14" s="73" t="s">
        <v>57</v>
      </c>
      <c r="I14" s="462">
        <v>19</v>
      </c>
      <c r="J14" s="462">
        <v>28</v>
      </c>
      <c r="K14" s="462">
        <v>9</v>
      </c>
    </row>
    <row r="15" spans="2:11">
      <c r="B15" s="395">
        <v>45938</v>
      </c>
      <c r="C15" s="398" t="s">
        <v>384</v>
      </c>
      <c r="D15" s="397">
        <v>2</v>
      </c>
      <c r="H15" s="73" t="s">
        <v>348</v>
      </c>
      <c r="I15" s="462">
        <v>0</v>
      </c>
      <c r="J15" s="462">
        <v>0</v>
      </c>
      <c r="K15" s="462"/>
    </row>
    <row r="16" spans="2:11">
      <c r="B16" s="395">
        <v>45939</v>
      </c>
      <c r="C16" s="398" t="s">
        <v>385</v>
      </c>
      <c r="D16" s="397">
        <v>2</v>
      </c>
      <c r="H16" s="73" t="s">
        <v>58</v>
      </c>
      <c r="I16" s="462">
        <v>5</v>
      </c>
      <c r="J16" s="462">
        <v>8</v>
      </c>
      <c r="K16" s="462">
        <v>3</v>
      </c>
    </row>
    <row r="17" spans="2:11">
      <c r="B17" s="395">
        <v>46016</v>
      </c>
      <c r="C17" s="398" t="s">
        <v>386</v>
      </c>
      <c r="D17" s="397">
        <v>2</v>
      </c>
      <c r="H17" s="73" t="s">
        <v>40</v>
      </c>
      <c r="I17" s="462">
        <v>16</v>
      </c>
      <c r="J17" s="462">
        <v>16</v>
      </c>
      <c r="K17" s="462">
        <v>1</v>
      </c>
    </row>
    <row r="18" spans="2:11">
      <c r="B18" s="395">
        <v>46023</v>
      </c>
      <c r="C18" s="396" t="s">
        <v>377</v>
      </c>
      <c r="D18" s="397">
        <v>2</v>
      </c>
      <c r="H18" s="73" t="s">
        <v>59</v>
      </c>
      <c r="I18" s="462">
        <v>7</v>
      </c>
      <c r="J18" s="462">
        <v>7</v>
      </c>
      <c r="K18" s="462"/>
    </row>
    <row r="19" spans="2:11">
      <c r="B19" s="395">
        <v>46069</v>
      </c>
      <c r="C19" s="396" t="s">
        <v>378</v>
      </c>
      <c r="D19" s="397">
        <v>2</v>
      </c>
      <c r="H19" s="114" t="s">
        <v>60</v>
      </c>
      <c r="I19" s="462">
        <v>2</v>
      </c>
      <c r="J19" s="462">
        <v>2</v>
      </c>
      <c r="K19" s="462"/>
    </row>
    <row r="20" spans="2:11">
      <c r="B20" s="395">
        <v>46070</v>
      </c>
      <c r="C20" s="396" t="s">
        <v>378</v>
      </c>
      <c r="D20" s="397">
        <v>2</v>
      </c>
      <c r="H20" s="229" t="s">
        <v>41</v>
      </c>
      <c r="I20" s="462">
        <v>0</v>
      </c>
      <c r="J20" s="462">
        <v>0</v>
      </c>
      <c r="K20" s="462"/>
    </row>
    <row r="21" spans="2:11">
      <c r="B21" s="395">
        <v>46071</v>
      </c>
      <c r="C21" s="396" t="s">
        <v>378</v>
      </c>
      <c r="D21" s="397">
        <v>2</v>
      </c>
      <c r="H21" s="229" t="s">
        <v>603</v>
      </c>
      <c r="I21" s="462">
        <v>3</v>
      </c>
      <c r="J21" s="462">
        <v>3</v>
      </c>
      <c r="K21" s="462"/>
    </row>
    <row r="22" spans="2:11">
      <c r="B22" s="395">
        <v>46083</v>
      </c>
      <c r="C22" s="398" t="s">
        <v>387</v>
      </c>
      <c r="D22" s="397">
        <v>2</v>
      </c>
      <c r="H22" s="73" t="s">
        <v>61</v>
      </c>
      <c r="I22" s="462">
        <v>9</v>
      </c>
      <c r="J22" s="462">
        <v>9</v>
      </c>
      <c r="K22" s="462"/>
    </row>
    <row r="23" spans="2:11">
      <c r="B23" s="395">
        <v>46147</v>
      </c>
      <c r="C23" s="398" t="s">
        <v>380</v>
      </c>
      <c r="D23" s="397">
        <v>2</v>
      </c>
      <c r="H23" s="73" t="s">
        <v>651</v>
      </c>
      <c r="I23" s="462">
        <f>SUM(I9:I22)</f>
        <v>107</v>
      </c>
      <c r="J23" s="462">
        <f>SUM(J9:J22)</f>
        <v>124</v>
      </c>
      <c r="K23" s="462">
        <f>SUM(K9:K22)</f>
        <v>18</v>
      </c>
    </row>
    <row r="24" spans="2:11">
      <c r="B24" s="395">
        <v>46147</v>
      </c>
      <c r="C24" s="398" t="s">
        <v>387</v>
      </c>
      <c r="D24" s="397">
        <v>2</v>
      </c>
    </row>
    <row r="25" spans="2:11">
      <c r="B25" s="397"/>
      <c r="C25" s="397"/>
      <c r="D25" s="397"/>
    </row>
    <row r="26" spans="2:11">
      <c r="B26" s="397"/>
      <c r="C26" s="397"/>
      <c r="D26" s="397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tabColor rgb="FF92D050"/>
  </sheetPr>
  <dimension ref="A1:AS251"/>
  <sheetViews>
    <sheetView showGridLines="0" zoomScale="90" zoomScaleNormal="90" workbookViewId="0">
      <pane xSplit="9" topLeftCell="AF1" activePane="topRight" state="frozen"/>
      <selection pane="topRight" activeCell="AR15" sqref="AR15"/>
    </sheetView>
  </sheetViews>
  <sheetFormatPr baseColWidth="10" defaultColWidth="8.83203125" defaultRowHeight="17" outlineLevelCol="1"/>
  <cols>
    <col min="1" max="1" width="3.1640625" customWidth="1"/>
    <col min="2" max="2" width="14" customWidth="1"/>
    <col min="3" max="3" width="29.5" customWidth="1"/>
    <col min="4" max="4" width="9" customWidth="1"/>
    <col min="5" max="5" width="14.5" customWidth="1"/>
    <col min="6" max="6" width="12.83203125" customWidth="1"/>
    <col min="7" max="7" width="25.1640625" bestFit="1" customWidth="1"/>
    <col min="8" max="8" width="12.83203125" customWidth="1"/>
    <col min="9" max="9" width="13.5" customWidth="1"/>
    <col min="10" max="10" width="10" customWidth="1"/>
    <col min="11" max="11" width="11.1640625" customWidth="1"/>
    <col min="12" max="14" width="9.6640625" customWidth="1"/>
    <col min="15" max="15" width="10.1640625" customWidth="1"/>
    <col min="16" max="16" width="9.33203125" customWidth="1"/>
    <col min="17" max="17" width="9.6640625" style="633" customWidth="1"/>
    <col min="18" max="18" width="9.6640625" customWidth="1"/>
    <col min="19" max="19" width="9.6640625" customWidth="1" outlineLevel="1"/>
    <col min="20" max="20" width="9.1640625" customWidth="1" outlineLevel="1"/>
    <col min="21" max="21" width="8.6640625" customWidth="1" outlineLevel="1"/>
    <col min="22" max="22" width="2.1640625" customWidth="1" outlineLevel="1"/>
    <col min="23" max="23" width="8.6640625" customWidth="1" outlineLevel="1"/>
    <col min="24" max="24" width="1.1640625" customWidth="1" outlineLevel="1"/>
    <col min="25" max="25" width="8.6640625" customWidth="1" outlineLevel="1"/>
    <col min="26" max="26" width="1.83203125" customWidth="1" outlineLevel="1"/>
    <col min="27" max="27" width="8.6640625" customWidth="1" outlineLevel="1"/>
    <col min="28" max="28" width="1.1640625" customWidth="1" outlineLevel="1"/>
    <col min="29" max="29" width="9.1640625" customWidth="1" outlineLevel="1"/>
    <col min="30" max="30" width="1.6640625" customWidth="1" outlineLevel="1"/>
    <col min="31" max="31" width="9.1640625" customWidth="1" outlineLevel="1"/>
    <col min="32" max="32" width="1.5" customWidth="1" outlineLevel="1"/>
    <col min="33" max="33" width="8.6640625" customWidth="1" outlineLevel="1"/>
    <col min="34" max="34" width="4" customWidth="1" outlineLevel="1"/>
    <col min="35" max="35" width="8.6640625" customWidth="1" outlineLevel="1"/>
    <col min="36" max="36" width="1.1640625" customWidth="1" outlineLevel="1"/>
    <col min="37" max="37" width="8.6640625" customWidth="1" outlineLevel="1"/>
    <col min="38" max="38" width="1.1640625" customWidth="1" outlineLevel="1"/>
    <col min="39" max="40" width="8.6640625" customWidth="1" outlineLevel="1"/>
    <col min="41" max="41" width="10.6640625" bestFit="1" customWidth="1"/>
    <col min="42" max="43" width="10.6640625" customWidth="1"/>
    <col min="44" max="44" width="14.6640625" style="633" customWidth="1"/>
    <col min="45" max="45" width="8.6640625" style="348"/>
  </cols>
  <sheetData>
    <row r="1" spans="2:45" ht="23" customHeight="1" thickBot="1">
      <c r="E1" s="107"/>
      <c r="F1" s="107"/>
      <c r="G1" s="107"/>
      <c r="H1" s="352"/>
      <c r="I1" s="352"/>
      <c r="K1" s="750" t="s">
        <v>533</v>
      </c>
      <c r="L1" s="749">
        <v>1</v>
      </c>
      <c r="M1">
        <v>1</v>
      </c>
      <c r="N1" s="748">
        <v>1</v>
      </c>
      <c r="O1">
        <v>1</v>
      </c>
      <c r="P1" s="748">
        <v>1</v>
      </c>
      <c r="Q1" s="633">
        <v>0.75</v>
      </c>
      <c r="R1">
        <v>1</v>
      </c>
    </row>
    <row r="2" spans="2:45" ht="17.5" hidden="1" customHeight="1" thickBot="1">
      <c r="B2" s="1823" t="s">
        <v>75</v>
      </c>
      <c r="C2" s="1804" t="s">
        <v>5</v>
      </c>
      <c r="D2" s="1804" t="s">
        <v>12</v>
      </c>
      <c r="E2" s="1804" t="s">
        <v>62</v>
      </c>
      <c r="F2" s="1804" t="s">
        <v>262</v>
      </c>
      <c r="G2" s="1801" t="s">
        <v>511</v>
      </c>
      <c r="H2" s="1804" t="s">
        <v>330</v>
      </c>
      <c r="I2" s="1804" t="s">
        <v>347</v>
      </c>
      <c r="J2" s="1396" t="s">
        <v>219</v>
      </c>
      <c r="K2" s="1844" t="s">
        <v>0</v>
      </c>
      <c r="L2" s="1845"/>
      <c r="M2" s="1844" t="s">
        <v>1</v>
      </c>
      <c r="N2" s="1845"/>
      <c r="O2" s="1844" t="s">
        <v>2</v>
      </c>
      <c r="P2" s="1845"/>
      <c r="Q2" s="1844" t="s">
        <v>3</v>
      </c>
      <c r="R2" s="1845"/>
      <c r="S2" s="1842" t="s">
        <v>6</v>
      </c>
      <c r="T2" s="1843"/>
      <c r="U2" s="1842" t="s">
        <v>7</v>
      </c>
      <c r="V2" s="1843"/>
      <c r="W2" s="1842" t="s">
        <v>8</v>
      </c>
      <c r="X2" s="1843"/>
      <c r="Y2" s="1842" t="s">
        <v>9</v>
      </c>
      <c r="Z2" s="1843"/>
      <c r="AA2" s="1842" t="s">
        <v>10</v>
      </c>
      <c r="AB2" s="1843"/>
      <c r="AC2" s="1842" t="s">
        <v>11</v>
      </c>
      <c r="AD2" s="1843"/>
      <c r="AE2" s="1842" t="s">
        <v>14</v>
      </c>
      <c r="AF2" s="1843"/>
      <c r="AG2" s="1844" t="s">
        <v>15</v>
      </c>
      <c r="AH2" s="1845"/>
      <c r="AI2" s="1842" t="s">
        <v>26</v>
      </c>
      <c r="AJ2" s="1843"/>
      <c r="AK2" s="1842" t="s">
        <v>27</v>
      </c>
      <c r="AL2" s="1843"/>
      <c r="AM2" s="1842" t="s">
        <v>28</v>
      </c>
      <c r="AN2" s="1843"/>
      <c r="AO2" s="1804" t="s">
        <v>4</v>
      </c>
      <c r="AP2" s="1804"/>
      <c r="AQ2" s="1804"/>
      <c r="AR2" s="1816" t="s">
        <v>103</v>
      </c>
    </row>
    <row r="3" spans="2:45" ht="17.5" customHeight="1" thickBot="1">
      <c r="B3" s="1824"/>
      <c r="C3" s="1803"/>
      <c r="D3" s="1803"/>
      <c r="E3" s="1803"/>
      <c r="F3" s="1803"/>
      <c r="G3" s="1802"/>
      <c r="H3" s="1803"/>
      <c r="I3" s="1803" t="s">
        <v>331</v>
      </c>
      <c r="J3" s="1813" t="s">
        <v>646</v>
      </c>
      <c r="K3" s="1814"/>
      <c r="L3" s="1814"/>
      <c r="M3" s="1814"/>
      <c r="N3" s="1814"/>
      <c r="O3" s="1814"/>
      <c r="P3" s="1814"/>
      <c r="Q3" s="1814"/>
      <c r="R3" s="1815"/>
      <c r="S3" s="1803" t="s">
        <v>34</v>
      </c>
      <c r="T3" s="1803"/>
      <c r="U3" s="1803"/>
      <c r="V3" s="1803"/>
      <c r="W3" s="1803"/>
      <c r="X3" s="1803"/>
      <c r="Y3" s="1803"/>
      <c r="Z3" s="1803"/>
      <c r="AA3" s="1803"/>
      <c r="AB3" s="1803"/>
      <c r="AC3" s="1803"/>
      <c r="AD3" s="1803"/>
      <c r="AE3" s="1803" t="s">
        <v>35</v>
      </c>
      <c r="AF3" s="1803"/>
      <c r="AG3" s="1803"/>
      <c r="AH3" s="1803"/>
      <c r="AI3" s="1803"/>
      <c r="AJ3" s="1803"/>
      <c r="AK3" s="1803" t="s">
        <v>64</v>
      </c>
      <c r="AL3" s="1803"/>
      <c r="AM3" s="1803"/>
      <c r="AN3" s="1803"/>
      <c r="AO3" s="1803"/>
      <c r="AP3" s="1803"/>
      <c r="AQ3" s="1803"/>
      <c r="AR3" s="1817"/>
    </row>
    <row r="4" spans="2:45" ht="17.5" customHeight="1" thickBot="1">
      <c r="B4" s="1824"/>
      <c r="C4" s="1803"/>
      <c r="D4" s="1803"/>
      <c r="E4" s="1803"/>
      <c r="F4" s="1803"/>
      <c r="G4" s="1802"/>
      <c r="H4" s="1803"/>
      <c r="I4" s="1803"/>
      <c r="J4" s="1395"/>
      <c r="K4" s="1803" t="s">
        <v>31</v>
      </c>
      <c r="L4" s="1803"/>
      <c r="M4" s="1803" t="s">
        <v>46</v>
      </c>
      <c r="N4" s="1803"/>
      <c r="O4" s="1803" t="s">
        <v>47</v>
      </c>
      <c r="P4" s="1803"/>
      <c r="Q4" s="1803" t="s">
        <v>48</v>
      </c>
      <c r="R4" s="1803"/>
      <c r="S4" s="1803" t="s">
        <v>49</v>
      </c>
      <c r="T4" s="1803"/>
      <c r="U4" s="1803" t="s">
        <v>50</v>
      </c>
      <c r="V4" s="1803"/>
      <c r="W4" s="1803" t="s">
        <v>51</v>
      </c>
      <c r="X4" s="1803"/>
      <c r="Y4" s="1803" t="s">
        <v>52</v>
      </c>
      <c r="Z4" s="1803"/>
      <c r="AA4" s="1803" t="s">
        <v>53</v>
      </c>
      <c r="AB4" s="1803"/>
      <c r="AC4" s="1803" t="s">
        <v>54</v>
      </c>
      <c r="AD4" s="1803"/>
      <c r="AE4" s="1803" t="s">
        <v>29</v>
      </c>
      <c r="AF4" s="1803"/>
      <c r="AG4" s="1803" t="s">
        <v>30</v>
      </c>
      <c r="AH4" s="1803"/>
      <c r="AI4" s="1803" t="s">
        <v>31</v>
      </c>
      <c r="AJ4" s="1803"/>
      <c r="AK4" s="1803" t="s">
        <v>32</v>
      </c>
      <c r="AL4" s="1803"/>
      <c r="AM4" s="1803" t="s">
        <v>33</v>
      </c>
      <c r="AN4" s="1803"/>
      <c r="AO4" s="1803"/>
      <c r="AP4" s="1803"/>
      <c r="AQ4" s="1803"/>
      <c r="AR4" s="1817"/>
    </row>
    <row r="5" spans="2:45" ht="18" customHeight="1" thickBot="1">
      <c r="B5" s="1825"/>
      <c r="C5" s="1805"/>
      <c r="D5" s="1805"/>
      <c r="E5" s="1805"/>
      <c r="F5" s="1805"/>
      <c r="G5" s="1802"/>
      <c r="H5" s="1805"/>
      <c r="I5" s="1819"/>
      <c r="J5" s="654" t="s">
        <v>30</v>
      </c>
      <c r="K5" s="654" t="s">
        <v>261</v>
      </c>
      <c r="L5" s="654" t="s">
        <v>503</v>
      </c>
      <c r="M5" s="654" t="s">
        <v>261</v>
      </c>
      <c r="N5" s="654" t="s">
        <v>503</v>
      </c>
      <c r="O5" s="654" t="s">
        <v>261</v>
      </c>
      <c r="P5" s="654" t="s">
        <v>503</v>
      </c>
      <c r="Q5" s="654" t="s">
        <v>261</v>
      </c>
      <c r="R5" s="654" t="s">
        <v>503</v>
      </c>
      <c r="S5" s="654" t="s">
        <v>261</v>
      </c>
      <c r="T5" s="654" t="s">
        <v>503</v>
      </c>
      <c r="U5" s="654" t="s">
        <v>261</v>
      </c>
      <c r="V5" s="654" t="s">
        <v>503</v>
      </c>
      <c r="W5" s="654" t="s">
        <v>261</v>
      </c>
      <c r="X5" s="654" t="s">
        <v>503</v>
      </c>
      <c r="Y5" s="654" t="s">
        <v>261</v>
      </c>
      <c r="Z5" s="654" t="s">
        <v>503</v>
      </c>
      <c r="AA5" s="654" t="s">
        <v>261</v>
      </c>
      <c r="AB5" s="654" t="s">
        <v>503</v>
      </c>
      <c r="AC5" s="654" t="s">
        <v>261</v>
      </c>
      <c r="AD5" s="654" t="s">
        <v>503</v>
      </c>
      <c r="AE5" s="654" t="s">
        <v>261</v>
      </c>
      <c r="AF5" s="654" t="s">
        <v>503</v>
      </c>
      <c r="AG5" s="654" t="s">
        <v>261</v>
      </c>
      <c r="AH5" s="654" t="s">
        <v>503</v>
      </c>
      <c r="AI5" s="654" t="s">
        <v>261</v>
      </c>
      <c r="AJ5" s="654" t="s">
        <v>503</v>
      </c>
      <c r="AK5" s="654" t="s">
        <v>261</v>
      </c>
      <c r="AL5" s="654" t="s">
        <v>503</v>
      </c>
      <c r="AM5" s="654" t="s">
        <v>261</v>
      </c>
      <c r="AN5" s="654" t="s">
        <v>503</v>
      </c>
      <c r="AO5" s="654" t="s">
        <v>261</v>
      </c>
      <c r="AP5" s="654" t="s">
        <v>503</v>
      </c>
      <c r="AQ5" s="654" t="s">
        <v>478</v>
      </c>
      <c r="AR5" s="1818"/>
    </row>
    <row r="6" spans="2:45" s="140" customFormat="1" ht="17" customHeight="1">
      <c r="B6" s="1827" t="s">
        <v>36</v>
      </c>
      <c r="C6" s="527" t="s">
        <v>18</v>
      </c>
      <c r="D6" s="17" t="s">
        <v>13</v>
      </c>
      <c r="E6" s="490" t="s">
        <v>17</v>
      </c>
      <c r="F6" s="946" t="s">
        <v>263</v>
      </c>
      <c r="G6" s="953"/>
      <c r="H6" s="951">
        <v>45692</v>
      </c>
      <c r="I6" s="799">
        <v>46142</v>
      </c>
      <c r="J6" s="366"/>
      <c r="K6" s="53">
        <v>1</v>
      </c>
      <c r="L6" s="53">
        <f>K6*L$1</f>
        <v>1</v>
      </c>
      <c r="M6" s="53">
        <v>1</v>
      </c>
      <c r="N6" s="53">
        <f>M6*N$1</f>
        <v>1</v>
      </c>
      <c r="O6" s="53">
        <v>1</v>
      </c>
      <c r="P6" s="374">
        <f>$P$1*O6</f>
        <v>1</v>
      </c>
      <c r="Q6" s="383">
        <v>1</v>
      </c>
      <c r="R6" s="506">
        <f>$Q$1*Q6</f>
        <v>0.75</v>
      </c>
      <c r="S6" s="555">
        <v>1</v>
      </c>
      <c r="T6" s="556"/>
      <c r="U6" s="556">
        <v>1</v>
      </c>
      <c r="V6" s="556"/>
      <c r="W6" s="556">
        <v>1</v>
      </c>
      <c r="X6" s="556"/>
      <c r="Y6" s="556">
        <v>1</v>
      </c>
      <c r="Z6" s="556"/>
      <c r="AA6" s="556">
        <v>1</v>
      </c>
      <c r="AB6" s="556"/>
      <c r="AC6" s="556">
        <v>1</v>
      </c>
      <c r="AD6" s="557"/>
      <c r="AE6" s="52">
        <v>1</v>
      </c>
      <c r="AF6" s="366"/>
      <c r="AG6" s="53">
        <v>1</v>
      </c>
      <c r="AH6" s="383"/>
      <c r="AI6" s="383">
        <v>1</v>
      </c>
      <c r="AJ6" s="54"/>
      <c r="AK6" s="52">
        <v>1</v>
      </c>
      <c r="AL6" s="53"/>
      <c r="AM6" s="53">
        <v>1</v>
      </c>
      <c r="AN6" s="54"/>
      <c r="AO6" s="522">
        <f>+K6+M6+O6+Q6+S6+U6+W6+Y6+AA6+AC6+AE6+AG6+AI6+AK6+AM6</f>
        <v>15</v>
      </c>
      <c r="AP6" s="524">
        <f>+L6+N6+P6+R6+T6+V6+X6+Z6+AB6+AD6+AF6+AH6+AJ6+AL6+AN6</f>
        <v>3.75</v>
      </c>
      <c r="AQ6" s="525">
        <f>AO6-AP6</f>
        <v>11.25</v>
      </c>
      <c r="AR6" s="634"/>
      <c r="AS6" s="349"/>
    </row>
    <row r="7" spans="2:45" s="140" customFormat="1" ht="17" customHeight="1">
      <c r="B7" s="1828"/>
      <c r="C7" s="1097" t="s">
        <v>165</v>
      </c>
      <c r="D7" s="1098" t="s">
        <v>13</v>
      </c>
      <c r="E7" s="1099" t="s">
        <v>17</v>
      </c>
      <c r="F7" s="1100" t="s">
        <v>264</v>
      </c>
      <c r="G7" s="1101" t="s">
        <v>598</v>
      </c>
      <c r="H7" s="951">
        <v>45677</v>
      </c>
      <c r="I7" s="800">
        <v>45744</v>
      </c>
      <c r="J7" s="29"/>
      <c r="K7" s="28">
        <v>1</v>
      </c>
      <c r="L7" s="53">
        <f t="shared" ref="L7:L9" si="0">K7*$L$1</f>
        <v>1</v>
      </c>
      <c r="M7" s="28">
        <v>0.5</v>
      </c>
      <c r="N7" s="53">
        <v>0.5</v>
      </c>
      <c r="O7" s="28"/>
      <c r="P7" s="374"/>
      <c r="Q7" s="374"/>
      <c r="R7" s="503"/>
      <c r="S7" s="535"/>
      <c r="T7" s="536"/>
      <c r="U7" s="536"/>
      <c r="V7" s="536"/>
      <c r="W7" s="536"/>
      <c r="X7" s="536"/>
      <c r="Y7" s="1128"/>
      <c r="Z7" s="536"/>
      <c r="AA7" s="1128"/>
      <c r="AB7" s="536"/>
      <c r="AC7" s="1128"/>
      <c r="AD7" s="537"/>
      <c r="AE7" s="1129"/>
      <c r="AF7" s="29"/>
      <c r="AG7" s="1130"/>
      <c r="AH7" s="374"/>
      <c r="AI7" s="1131"/>
      <c r="AJ7" s="25"/>
      <c r="AK7" s="1129"/>
      <c r="AL7" s="28"/>
      <c r="AM7" s="1130"/>
      <c r="AN7" s="25"/>
      <c r="AO7" s="522">
        <f t="shared" ref="AO7:AP19" si="1">+K7+M7+O7+Q7+S7+U7+W7+Y7+AA7+AC7+AE7+AG7+AI7+AK7+AM7</f>
        <v>1.5</v>
      </c>
      <c r="AP7" s="524">
        <f t="shared" si="1"/>
        <v>1.5</v>
      </c>
      <c r="AQ7" s="525">
        <f t="shared" ref="AQ7:AQ19" si="2">AO7-AP7</f>
        <v>0</v>
      </c>
      <c r="AR7" s="635"/>
      <c r="AS7" s="349"/>
    </row>
    <row r="8" spans="2:45" s="140" customFormat="1" ht="17" customHeight="1">
      <c r="B8" s="1827"/>
      <c r="C8" s="246" t="s">
        <v>165</v>
      </c>
      <c r="D8" s="1" t="s">
        <v>19</v>
      </c>
      <c r="E8" s="350" t="s">
        <v>17</v>
      </c>
      <c r="F8" s="947" t="s">
        <v>578</v>
      </c>
      <c r="G8" s="878"/>
      <c r="H8" s="951">
        <v>45726</v>
      </c>
      <c r="I8" s="800">
        <v>46142</v>
      </c>
      <c r="J8" s="361"/>
      <c r="K8" s="3"/>
      <c r="L8" s="53"/>
      <c r="M8" s="3">
        <v>0.5</v>
      </c>
      <c r="N8" s="53">
        <f t="shared" ref="N8:N17" si="3">M8*N$1</f>
        <v>0.5</v>
      </c>
      <c r="O8" s="28">
        <v>1</v>
      </c>
      <c r="P8" s="374">
        <f t="shared" ref="P8:P17" si="4">$P$1*O8</f>
        <v>1</v>
      </c>
      <c r="Q8" s="374">
        <v>1</v>
      </c>
      <c r="R8" s="506">
        <f t="shared" ref="R8:R11" si="5">$Q$1*Q8</f>
        <v>0.75</v>
      </c>
      <c r="S8" s="535">
        <v>1</v>
      </c>
      <c r="T8" s="536"/>
      <c r="U8" s="536">
        <v>1</v>
      </c>
      <c r="V8" s="536"/>
      <c r="W8" s="536">
        <v>1</v>
      </c>
      <c r="X8" s="536"/>
      <c r="Y8" s="1128">
        <v>1</v>
      </c>
      <c r="Z8" s="536"/>
      <c r="AA8" s="1128">
        <v>1</v>
      </c>
      <c r="AB8" s="536"/>
      <c r="AC8" s="1128">
        <v>1</v>
      </c>
      <c r="AD8" s="537"/>
      <c r="AE8" s="1129">
        <v>1</v>
      </c>
      <c r="AF8" s="29"/>
      <c r="AG8" s="1130">
        <v>1</v>
      </c>
      <c r="AH8" s="374"/>
      <c r="AI8" s="1131">
        <v>1</v>
      </c>
      <c r="AJ8" s="25"/>
      <c r="AK8" s="1129">
        <v>1</v>
      </c>
      <c r="AL8" s="28"/>
      <c r="AM8" s="1130">
        <v>1</v>
      </c>
      <c r="AN8" s="25"/>
      <c r="AO8" s="522">
        <f t="shared" si="1"/>
        <v>13.5</v>
      </c>
      <c r="AP8" s="524">
        <f t="shared" si="1"/>
        <v>2.25</v>
      </c>
      <c r="AQ8" s="525">
        <f t="shared" si="2"/>
        <v>11.25</v>
      </c>
      <c r="AR8" s="635"/>
      <c r="AS8" s="349"/>
    </row>
    <row r="9" spans="2:45" s="140" customFormat="1" ht="17" customHeight="1">
      <c r="B9" s="1827"/>
      <c r="C9" s="246" t="s">
        <v>166</v>
      </c>
      <c r="D9" s="1" t="s">
        <v>22</v>
      </c>
      <c r="E9" s="350" t="s">
        <v>17</v>
      </c>
      <c r="F9" s="947" t="s">
        <v>390</v>
      </c>
      <c r="G9" s="878"/>
      <c r="H9" s="951">
        <v>45692</v>
      </c>
      <c r="I9" s="800">
        <v>46142</v>
      </c>
      <c r="J9" s="361"/>
      <c r="K9" s="3">
        <v>1</v>
      </c>
      <c r="L9" s="53">
        <f t="shared" si="0"/>
        <v>1</v>
      </c>
      <c r="M9" s="3">
        <v>1</v>
      </c>
      <c r="N9" s="53">
        <f t="shared" si="3"/>
        <v>1</v>
      </c>
      <c r="O9" s="28">
        <v>1</v>
      </c>
      <c r="P9" s="374">
        <f t="shared" si="4"/>
        <v>1</v>
      </c>
      <c r="Q9" s="374">
        <v>1</v>
      </c>
      <c r="R9" s="506">
        <f t="shared" si="5"/>
        <v>0.75</v>
      </c>
      <c r="S9" s="535">
        <v>1</v>
      </c>
      <c r="T9" s="536"/>
      <c r="U9" s="536">
        <v>1</v>
      </c>
      <c r="V9" s="536"/>
      <c r="W9" s="536">
        <v>1</v>
      </c>
      <c r="X9" s="536"/>
      <c r="Y9" s="536">
        <v>1</v>
      </c>
      <c r="Z9" s="536"/>
      <c r="AA9" s="536">
        <v>1</v>
      </c>
      <c r="AB9" s="536"/>
      <c r="AC9" s="536">
        <v>1</v>
      </c>
      <c r="AD9" s="537"/>
      <c r="AE9" s="27">
        <v>1</v>
      </c>
      <c r="AF9" s="29"/>
      <c r="AG9" s="28">
        <v>1</v>
      </c>
      <c r="AH9" s="374"/>
      <c r="AI9" s="374">
        <v>1</v>
      </c>
      <c r="AJ9" s="25"/>
      <c r="AK9" s="27">
        <v>1</v>
      </c>
      <c r="AL9" s="28"/>
      <c r="AM9" s="419">
        <v>0</v>
      </c>
      <c r="AN9" s="25"/>
      <c r="AO9" s="522">
        <f t="shared" si="1"/>
        <v>14</v>
      </c>
      <c r="AP9" s="524">
        <f t="shared" si="1"/>
        <v>3.75</v>
      </c>
      <c r="AQ9" s="525">
        <f t="shared" si="2"/>
        <v>10.25</v>
      </c>
      <c r="AR9" s="635"/>
      <c r="AS9" s="349"/>
    </row>
    <row r="10" spans="2:45" s="140" customFormat="1" ht="17" customHeight="1">
      <c r="B10" s="1828"/>
      <c r="C10" s="1102" t="s">
        <v>616</v>
      </c>
      <c r="D10" s="1103" t="s">
        <v>13</v>
      </c>
      <c r="E10" s="1099" t="s">
        <v>17</v>
      </c>
      <c r="F10" s="1100" t="s">
        <v>624</v>
      </c>
      <c r="G10" s="1104" t="s">
        <v>654</v>
      </c>
      <c r="H10" s="952">
        <v>45763</v>
      </c>
      <c r="I10" s="918">
        <v>46142</v>
      </c>
      <c r="J10" s="676"/>
      <c r="K10" s="419"/>
      <c r="L10" s="673"/>
      <c r="M10" s="419"/>
      <c r="N10" s="673"/>
      <c r="O10" s="841">
        <v>0</v>
      </c>
      <c r="P10" s="495">
        <v>0.25</v>
      </c>
      <c r="Q10" s="1126">
        <v>0</v>
      </c>
      <c r="R10" s="1366">
        <f>R$1*Q1</f>
        <v>0.75</v>
      </c>
      <c r="S10" s="536"/>
      <c r="T10" s="536"/>
      <c r="U10" s="536"/>
      <c r="V10" s="536"/>
      <c r="W10" s="536"/>
      <c r="X10" s="536"/>
      <c r="Y10" s="536"/>
      <c r="Z10" s="536"/>
      <c r="AA10" s="536"/>
      <c r="AB10" s="536"/>
      <c r="AC10" s="536"/>
      <c r="AD10" s="537"/>
      <c r="AE10" s="536"/>
      <c r="AF10" s="29"/>
      <c r="AG10" s="536"/>
      <c r="AH10" s="374"/>
      <c r="AI10" s="536"/>
      <c r="AJ10" s="25"/>
      <c r="AK10" s="536"/>
      <c r="AL10" s="28"/>
      <c r="AM10" s="536"/>
      <c r="AN10" s="25"/>
      <c r="AO10" s="522"/>
      <c r="AP10" s="524"/>
      <c r="AQ10" s="525"/>
      <c r="AR10" s="635"/>
      <c r="AS10" s="349"/>
    </row>
    <row r="11" spans="2:45" s="140" customFormat="1" ht="17" customHeight="1">
      <c r="B11" s="1827"/>
      <c r="C11" s="242" t="s">
        <v>167</v>
      </c>
      <c r="D11" s="44" t="s">
        <v>13</v>
      </c>
      <c r="E11" s="350" t="s">
        <v>17</v>
      </c>
      <c r="F11" s="947" t="s">
        <v>265</v>
      </c>
      <c r="G11" s="878"/>
      <c r="H11" s="951">
        <v>45677</v>
      </c>
      <c r="I11" s="800">
        <v>46112</v>
      </c>
      <c r="J11" s="361"/>
      <c r="K11" s="3">
        <v>1</v>
      </c>
      <c r="L11" s="53">
        <v>1</v>
      </c>
      <c r="M11" s="3">
        <v>1</v>
      </c>
      <c r="N11" s="53">
        <f t="shared" si="3"/>
        <v>1</v>
      </c>
      <c r="O11" s="28">
        <v>1</v>
      </c>
      <c r="P11" s="374">
        <f t="shared" si="4"/>
        <v>1</v>
      </c>
      <c r="Q11" s="374">
        <v>1</v>
      </c>
      <c r="R11" s="506">
        <f t="shared" si="5"/>
        <v>0.75</v>
      </c>
      <c r="S11" s="535">
        <v>1</v>
      </c>
      <c r="T11" s="536"/>
      <c r="U11" s="536">
        <v>1</v>
      </c>
      <c r="V11" s="536"/>
      <c r="W11" s="536">
        <v>1</v>
      </c>
      <c r="X11" s="536"/>
      <c r="Y11" s="536">
        <v>1</v>
      </c>
      <c r="Z11" s="536"/>
      <c r="AA11" s="536">
        <v>1</v>
      </c>
      <c r="AB11" s="536"/>
      <c r="AC11" s="536">
        <v>1</v>
      </c>
      <c r="AD11" s="537"/>
      <c r="AE11" s="27">
        <v>1</v>
      </c>
      <c r="AF11" s="29"/>
      <c r="AG11" s="28">
        <v>1</v>
      </c>
      <c r="AH11" s="374"/>
      <c r="AI11" s="374">
        <v>1</v>
      </c>
      <c r="AJ11" s="25"/>
      <c r="AK11" s="27">
        <v>1</v>
      </c>
      <c r="AL11" s="28"/>
      <c r="AM11" s="28"/>
      <c r="AN11" s="25"/>
      <c r="AO11" s="522">
        <f t="shared" si="1"/>
        <v>14</v>
      </c>
      <c r="AP11" s="524">
        <f t="shared" si="1"/>
        <v>3.75</v>
      </c>
      <c r="AQ11" s="525">
        <f t="shared" si="2"/>
        <v>10.25</v>
      </c>
      <c r="AR11" s="635"/>
      <c r="AS11" s="349"/>
    </row>
    <row r="12" spans="2:45" s="140" customFormat="1" ht="17" customHeight="1">
      <c r="B12" s="1827"/>
      <c r="C12" s="242" t="s">
        <v>497</v>
      </c>
      <c r="D12" s="1" t="s">
        <v>13</v>
      </c>
      <c r="E12" s="350" t="s">
        <v>17</v>
      </c>
      <c r="F12" s="948" t="s">
        <v>266</v>
      </c>
      <c r="G12" s="954" t="s">
        <v>389</v>
      </c>
      <c r="H12" s="951">
        <v>45692</v>
      </c>
      <c r="I12" s="800">
        <v>46112</v>
      </c>
      <c r="J12" s="361"/>
      <c r="K12" s="146"/>
      <c r="L12" s="56">
        <f>2/20</f>
        <v>0.1</v>
      </c>
      <c r="M12" s="56"/>
      <c r="N12" s="53"/>
      <c r="O12" s="56"/>
      <c r="P12" s="374"/>
      <c r="Q12" s="374"/>
      <c r="R12" s="506"/>
      <c r="S12" s="535"/>
      <c r="T12" s="536"/>
      <c r="U12" s="536"/>
      <c r="V12" s="536"/>
      <c r="W12" s="536"/>
      <c r="X12" s="536"/>
      <c r="Y12" s="536"/>
      <c r="Z12" s="536"/>
      <c r="AA12" s="536"/>
      <c r="AB12" s="536"/>
      <c r="AC12" s="536"/>
      <c r="AD12" s="537"/>
      <c r="AE12" s="27"/>
      <c r="AF12" s="29"/>
      <c r="AG12" s="28"/>
      <c r="AH12" s="374"/>
      <c r="AI12" s="374"/>
      <c r="AJ12" s="25"/>
      <c r="AK12" s="27"/>
      <c r="AL12" s="28"/>
      <c r="AM12" s="28"/>
      <c r="AN12" s="25"/>
      <c r="AO12" s="522">
        <f t="shared" si="1"/>
        <v>0</v>
      </c>
      <c r="AP12" s="524">
        <f t="shared" si="1"/>
        <v>0.1</v>
      </c>
      <c r="AQ12" s="525">
        <f t="shared" si="2"/>
        <v>-0.1</v>
      </c>
      <c r="AR12" s="636"/>
      <c r="AS12" s="349"/>
    </row>
    <row r="13" spans="2:45" s="140" customFormat="1" ht="17" customHeight="1">
      <c r="B13" s="1827"/>
      <c r="C13" s="242" t="s">
        <v>497</v>
      </c>
      <c r="D13" s="1" t="s">
        <v>13</v>
      </c>
      <c r="E13" s="350" t="s">
        <v>17</v>
      </c>
      <c r="F13" s="948" t="s">
        <v>496</v>
      </c>
      <c r="G13" s="954" t="s">
        <v>389</v>
      </c>
      <c r="H13" s="951">
        <v>45692</v>
      </c>
      <c r="I13" s="800">
        <v>46112</v>
      </c>
      <c r="J13" s="361"/>
      <c r="K13" s="146"/>
      <c r="L13" s="56">
        <v>0.15</v>
      </c>
      <c r="M13" s="56"/>
      <c r="N13" s="53"/>
      <c r="O13" s="56"/>
      <c r="P13" s="374"/>
      <c r="Q13" s="374"/>
      <c r="R13" s="506"/>
      <c r="S13" s="1132"/>
      <c r="T13" s="1133"/>
      <c r="U13" s="1133"/>
      <c r="V13" s="1133"/>
      <c r="W13" s="1133"/>
      <c r="X13" s="1133"/>
      <c r="Y13" s="1133"/>
      <c r="Z13" s="1133"/>
      <c r="AA13" s="536"/>
      <c r="AB13" s="536"/>
      <c r="AC13" s="536"/>
      <c r="AD13" s="537"/>
      <c r="AE13" s="27"/>
      <c r="AF13" s="29"/>
      <c r="AG13" s="28"/>
      <c r="AH13" s="374"/>
      <c r="AI13" s="374"/>
      <c r="AJ13" s="25"/>
      <c r="AK13" s="27"/>
      <c r="AL13" s="28"/>
      <c r="AM13" s="28"/>
      <c r="AN13" s="25"/>
      <c r="AO13" s="522">
        <f t="shared" si="1"/>
        <v>0</v>
      </c>
      <c r="AP13" s="524">
        <f t="shared" si="1"/>
        <v>0.15</v>
      </c>
      <c r="AQ13" s="525">
        <f t="shared" si="2"/>
        <v>-0.15</v>
      </c>
      <c r="AR13" s="636"/>
      <c r="AS13" s="349"/>
    </row>
    <row r="14" spans="2:45" s="140" customFormat="1" ht="15">
      <c r="B14" s="1827"/>
      <c r="C14" s="242" t="s">
        <v>616</v>
      </c>
      <c r="D14" s="95" t="s">
        <v>19</v>
      </c>
      <c r="E14" s="534" t="s">
        <v>17</v>
      </c>
      <c r="F14" s="1079" t="s">
        <v>680</v>
      </c>
      <c r="G14" s="1056"/>
      <c r="H14" s="1080">
        <v>45803</v>
      </c>
      <c r="I14" s="806">
        <v>46142</v>
      </c>
      <c r="J14" s="361"/>
      <c r="K14" s="3"/>
      <c r="L14" s="3"/>
      <c r="M14" s="3"/>
      <c r="N14" s="53"/>
      <c r="O14" s="3"/>
      <c r="P14" s="374"/>
      <c r="Q14" s="374">
        <v>0.2</v>
      </c>
      <c r="R14" s="503"/>
      <c r="S14" s="535">
        <v>1</v>
      </c>
      <c r="T14" s="536"/>
      <c r="U14" s="536">
        <v>1</v>
      </c>
      <c r="V14" s="536"/>
      <c r="W14" s="536">
        <v>1</v>
      </c>
      <c r="X14" s="536"/>
      <c r="Y14" s="536">
        <v>1</v>
      </c>
      <c r="Z14" s="536"/>
      <c r="AA14" s="536">
        <v>1</v>
      </c>
      <c r="AB14" s="536"/>
      <c r="AC14" s="536">
        <v>1</v>
      </c>
      <c r="AD14" s="537"/>
      <c r="AE14" s="27">
        <v>1</v>
      </c>
      <c r="AF14" s="29"/>
      <c r="AG14" s="28">
        <v>1</v>
      </c>
      <c r="AH14" s="374"/>
      <c r="AI14" s="374">
        <v>1</v>
      </c>
      <c r="AJ14" s="25"/>
      <c r="AK14" s="27">
        <v>1</v>
      </c>
      <c r="AL14" s="28"/>
      <c r="AM14" s="536">
        <v>0.8</v>
      </c>
      <c r="AN14" s="25"/>
      <c r="AO14" s="522">
        <f t="shared" si="1"/>
        <v>11</v>
      </c>
      <c r="AP14" s="524">
        <f t="shared" si="1"/>
        <v>0</v>
      </c>
      <c r="AQ14" s="525">
        <f t="shared" si="2"/>
        <v>11</v>
      </c>
      <c r="AR14" s="635"/>
      <c r="AS14" s="349"/>
    </row>
    <row r="15" spans="2:45" s="140" customFormat="1" ht="15">
      <c r="B15" s="1827"/>
      <c r="C15" s="246" t="s">
        <v>73</v>
      </c>
      <c r="D15" s="44" t="s">
        <v>13</v>
      </c>
      <c r="E15" s="350" t="s">
        <v>17</v>
      </c>
      <c r="F15" s="949" t="s">
        <v>267</v>
      </c>
      <c r="G15" s="955"/>
      <c r="H15" s="951">
        <v>45691</v>
      </c>
      <c r="I15" s="800">
        <v>46112</v>
      </c>
      <c r="J15" s="360"/>
      <c r="K15" s="40">
        <v>1</v>
      </c>
      <c r="L15" s="53">
        <f t="shared" ref="L15:L17" si="6">K15*$L$1</f>
        <v>1</v>
      </c>
      <c r="M15" s="40">
        <v>1</v>
      </c>
      <c r="N15" s="53">
        <f t="shared" si="3"/>
        <v>1</v>
      </c>
      <c r="O15" s="40">
        <v>1</v>
      </c>
      <c r="P15" s="374">
        <f t="shared" si="4"/>
        <v>1</v>
      </c>
      <c r="Q15" s="376">
        <v>1</v>
      </c>
      <c r="R15" s="506">
        <f t="shared" ref="R15:R17" si="7">$Q$1*Q15</f>
        <v>0.75</v>
      </c>
      <c r="S15" s="538">
        <v>1</v>
      </c>
      <c r="T15" s="539"/>
      <c r="U15" s="539">
        <v>1</v>
      </c>
      <c r="V15" s="539"/>
      <c r="W15" s="539">
        <v>1</v>
      </c>
      <c r="X15" s="539"/>
      <c r="Y15" s="539">
        <v>1</v>
      </c>
      <c r="Z15" s="539"/>
      <c r="AA15" s="539">
        <v>1</v>
      </c>
      <c r="AB15" s="539"/>
      <c r="AC15" s="1134">
        <v>1</v>
      </c>
      <c r="AD15" s="1135"/>
      <c r="AE15" s="1136">
        <v>1</v>
      </c>
      <c r="AF15" s="1137"/>
      <c r="AG15" s="1138">
        <v>1</v>
      </c>
      <c r="AH15" s="1139"/>
      <c r="AI15" s="1139">
        <v>1</v>
      </c>
      <c r="AJ15" s="1140"/>
      <c r="AK15" s="1136">
        <v>1</v>
      </c>
      <c r="AL15" s="1138"/>
      <c r="AM15" s="1138">
        <v>1</v>
      </c>
      <c r="AN15" s="122"/>
      <c r="AO15" s="522">
        <f t="shared" si="1"/>
        <v>15</v>
      </c>
      <c r="AP15" s="524">
        <f t="shared" si="1"/>
        <v>3.75</v>
      </c>
      <c r="AQ15" s="525">
        <f t="shared" si="2"/>
        <v>11.25</v>
      </c>
      <c r="AR15" s="635"/>
      <c r="AS15" s="349"/>
    </row>
    <row r="16" spans="2:45" s="140" customFormat="1" ht="15">
      <c r="B16" s="1827"/>
      <c r="C16" s="246" t="s">
        <v>71</v>
      </c>
      <c r="D16" s="44" t="s">
        <v>13</v>
      </c>
      <c r="E16" s="350" t="s">
        <v>17</v>
      </c>
      <c r="F16" s="949" t="s">
        <v>268</v>
      </c>
      <c r="G16" s="955"/>
      <c r="H16" s="951">
        <v>45677</v>
      </c>
      <c r="I16" s="800">
        <v>46142</v>
      </c>
      <c r="J16" s="360"/>
      <c r="K16" s="5">
        <v>1</v>
      </c>
      <c r="L16" s="53">
        <f t="shared" si="6"/>
        <v>1</v>
      </c>
      <c r="M16" s="5">
        <v>1</v>
      </c>
      <c r="N16" s="53">
        <f t="shared" si="3"/>
        <v>1</v>
      </c>
      <c r="O16" s="5">
        <v>1</v>
      </c>
      <c r="P16" s="374">
        <f t="shared" si="4"/>
        <v>1</v>
      </c>
      <c r="Q16" s="1139">
        <v>1</v>
      </c>
      <c r="R16" s="506">
        <f t="shared" si="7"/>
        <v>0.75</v>
      </c>
      <c r="S16" s="1141">
        <v>1</v>
      </c>
      <c r="T16" s="539"/>
      <c r="U16" s="1134">
        <v>1</v>
      </c>
      <c r="V16" s="539"/>
      <c r="W16" s="1134">
        <v>1</v>
      </c>
      <c r="X16" s="539"/>
      <c r="Y16" s="1134">
        <v>1</v>
      </c>
      <c r="Z16" s="539"/>
      <c r="AA16" s="1134">
        <v>1</v>
      </c>
      <c r="AB16" s="539"/>
      <c r="AC16" s="1134">
        <v>1</v>
      </c>
      <c r="AD16" s="1135"/>
      <c r="AE16" s="1136">
        <v>1</v>
      </c>
      <c r="AF16" s="1137"/>
      <c r="AG16" s="1138">
        <v>1</v>
      </c>
      <c r="AH16" s="1139"/>
      <c r="AI16" s="1139">
        <v>1</v>
      </c>
      <c r="AJ16" s="1140"/>
      <c r="AK16" s="1136">
        <v>1</v>
      </c>
      <c r="AL16" s="1138"/>
      <c r="AM16" s="1138">
        <v>1</v>
      </c>
      <c r="AN16" s="122"/>
      <c r="AO16" s="522">
        <f t="shared" si="1"/>
        <v>15</v>
      </c>
      <c r="AP16" s="524">
        <f t="shared" si="1"/>
        <v>3.75</v>
      </c>
      <c r="AQ16" s="525">
        <f t="shared" si="2"/>
        <v>11.25</v>
      </c>
      <c r="AR16" s="635"/>
      <c r="AS16" s="349"/>
    </row>
    <row r="17" spans="1:45" s="140" customFormat="1" ht="15">
      <c r="B17" s="1827"/>
      <c r="C17" s="724" t="s">
        <v>72</v>
      </c>
      <c r="D17" s="44" t="s">
        <v>13</v>
      </c>
      <c r="E17" s="491" t="s">
        <v>17</v>
      </c>
      <c r="F17" s="949" t="s">
        <v>269</v>
      </c>
      <c r="G17" s="955"/>
      <c r="H17" s="951">
        <v>45677</v>
      </c>
      <c r="I17" s="800">
        <v>46112</v>
      </c>
      <c r="J17" s="360"/>
      <c r="K17" s="40">
        <v>1</v>
      </c>
      <c r="L17" s="53">
        <f t="shared" si="6"/>
        <v>1</v>
      </c>
      <c r="M17" s="40">
        <v>1</v>
      </c>
      <c r="N17" s="53">
        <f t="shared" si="3"/>
        <v>1</v>
      </c>
      <c r="O17" s="40">
        <v>1</v>
      </c>
      <c r="P17" s="374">
        <f t="shared" si="4"/>
        <v>1</v>
      </c>
      <c r="Q17" s="376">
        <v>1</v>
      </c>
      <c r="R17" s="506">
        <f t="shared" si="7"/>
        <v>0.75</v>
      </c>
      <c r="S17" s="538">
        <v>1</v>
      </c>
      <c r="T17" s="539"/>
      <c r="U17" s="539">
        <v>1</v>
      </c>
      <c r="V17" s="539"/>
      <c r="W17" s="539">
        <v>1</v>
      </c>
      <c r="X17" s="539"/>
      <c r="Y17" s="539">
        <v>1</v>
      </c>
      <c r="Z17" s="539"/>
      <c r="AA17" s="539">
        <v>1</v>
      </c>
      <c r="AB17" s="539"/>
      <c r="AC17" s="1134">
        <v>1</v>
      </c>
      <c r="AD17" s="1135"/>
      <c r="AE17" s="1136">
        <v>1</v>
      </c>
      <c r="AF17" s="1137"/>
      <c r="AG17" s="1138">
        <v>1</v>
      </c>
      <c r="AH17" s="1139"/>
      <c r="AI17" s="1139">
        <v>1</v>
      </c>
      <c r="AJ17" s="1140"/>
      <c r="AK17" s="1136">
        <v>1</v>
      </c>
      <c r="AL17" s="1138"/>
      <c r="AM17" s="1138">
        <v>1</v>
      </c>
      <c r="AN17" s="122"/>
      <c r="AO17" s="522">
        <f t="shared" si="1"/>
        <v>15</v>
      </c>
      <c r="AP17" s="524">
        <f t="shared" si="1"/>
        <v>3.75</v>
      </c>
      <c r="AQ17" s="525">
        <f t="shared" si="2"/>
        <v>11.25</v>
      </c>
      <c r="AR17" s="635"/>
      <c r="AS17" s="349"/>
    </row>
    <row r="18" spans="1:45" s="140" customFormat="1" ht="15">
      <c r="B18" s="1827"/>
      <c r="C18" s="883" t="s">
        <v>635</v>
      </c>
      <c r="D18" s="884" t="s">
        <v>13</v>
      </c>
      <c r="E18" s="885" t="s">
        <v>17</v>
      </c>
      <c r="F18" s="950" t="s">
        <v>74</v>
      </c>
      <c r="G18" s="955"/>
      <c r="H18" s="951">
        <v>45816</v>
      </c>
      <c r="I18" s="800">
        <v>46112</v>
      </c>
      <c r="J18" s="360"/>
      <c r="K18" s="40"/>
      <c r="L18" s="53"/>
      <c r="M18" s="40"/>
      <c r="N18" s="53"/>
      <c r="O18" s="40"/>
      <c r="P18" s="374"/>
      <c r="Q18" s="376"/>
      <c r="R18" s="504"/>
      <c r="S18" s="538">
        <v>0.8</v>
      </c>
      <c r="T18" s="539"/>
      <c r="U18" s="539">
        <v>1</v>
      </c>
      <c r="V18" s="539"/>
      <c r="W18" s="539">
        <v>1</v>
      </c>
      <c r="X18" s="539"/>
      <c r="Y18" s="539">
        <v>1</v>
      </c>
      <c r="Z18" s="539"/>
      <c r="AA18" s="539">
        <v>1</v>
      </c>
      <c r="AB18" s="539"/>
      <c r="AC18" s="1134">
        <v>1</v>
      </c>
      <c r="AD18" s="1135"/>
      <c r="AE18" s="1136">
        <v>1</v>
      </c>
      <c r="AF18" s="1137"/>
      <c r="AG18" s="1138">
        <v>1</v>
      </c>
      <c r="AH18" s="1139"/>
      <c r="AI18" s="1139">
        <v>1</v>
      </c>
      <c r="AJ18" s="1140"/>
      <c r="AK18" s="1136">
        <v>1</v>
      </c>
      <c r="AL18" s="1138"/>
      <c r="AM18" s="1138">
        <v>1</v>
      </c>
      <c r="AN18" s="122"/>
      <c r="AO18" s="522">
        <f t="shared" si="1"/>
        <v>10.8</v>
      </c>
      <c r="AP18" s="524">
        <f t="shared" si="1"/>
        <v>0</v>
      </c>
      <c r="AQ18" s="525">
        <f t="shared" si="2"/>
        <v>10.8</v>
      </c>
      <c r="AR18" s="635"/>
      <c r="AS18" s="349"/>
    </row>
    <row r="19" spans="1:45" s="140" customFormat="1" ht="16" thickBot="1">
      <c r="B19" s="1827"/>
      <c r="C19" s="883" t="s">
        <v>635</v>
      </c>
      <c r="D19" s="884" t="s">
        <v>13</v>
      </c>
      <c r="E19" s="885" t="s">
        <v>17</v>
      </c>
      <c r="F19" s="950" t="s">
        <v>74</v>
      </c>
      <c r="G19" s="956"/>
      <c r="H19" s="951">
        <v>45839</v>
      </c>
      <c r="I19" s="800">
        <v>46112</v>
      </c>
      <c r="J19" s="360"/>
      <c r="K19" s="40"/>
      <c r="L19" s="53"/>
      <c r="M19" s="40"/>
      <c r="N19" s="53"/>
      <c r="O19" s="40"/>
      <c r="P19" s="374"/>
      <c r="Q19" s="376"/>
      <c r="R19" s="504"/>
      <c r="S19" s="538"/>
      <c r="T19" s="539"/>
      <c r="U19" s="539">
        <v>1</v>
      </c>
      <c r="V19" s="539"/>
      <c r="W19" s="539">
        <v>1</v>
      </c>
      <c r="X19" s="539"/>
      <c r="Y19" s="539">
        <v>1</v>
      </c>
      <c r="Z19" s="539"/>
      <c r="AA19" s="539">
        <v>1</v>
      </c>
      <c r="AB19" s="539"/>
      <c r="AC19" s="1134">
        <v>1</v>
      </c>
      <c r="AD19" s="1135"/>
      <c r="AE19" s="1136">
        <v>1</v>
      </c>
      <c r="AF19" s="1137"/>
      <c r="AG19" s="1138">
        <v>1</v>
      </c>
      <c r="AH19" s="1139"/>
      <c r="AI19" s="1139">
        <v>1</v>
      </c>
      <c r="AJ19" s="1140"/>
      <c r="AK19" s="1136">
        <v>1</v>
      </c>
      <c r="AL19" s="1138"/>
      <c r="AM19" s="1138">
        <v>1</v>
      </c>
      <c r="AN19" s="122"/>
      <c r="AO19" s="522">
        <f t="shared" si="1"/>
        <v>10</v>
      </c>
      <c r="AP19" s="524">
        <f t="shared" si="1"/>
        <v>0</v>
      </c>
      <c r="AQ19" s="525">
        <f t="shared" si="2"/>
        <v>10</v>
      </c>
      <c r="AR19" s="635"/>
      <c r="AS19" s="349"/>
    </row>
    <row r="20" spans="1:45" s="150" customFormat="1" ht="16" hidden="1" thickBot="1">
      <c r="A20" s="140"/>
      <c r="B20" s="1829"/>
      <c r="C20" s="489" t="s">
        <v>16</v>
      </c>
      <c r="D20" s="157"/>
      <c r="E20" s="437"/>
      <c r="F20" s="602"/>
      <c r="G20" s="877"/>
      <c r="H20" s="603"/>
      <c r="I20" s="356"/>
      <c r="J20" s="159">
        <f t="shared" ref="J20:O20" si="8">SUM(J6:J19)</f>
        <v>0</v>
      </c>
      <c r="K20" s="178">
        <f t="shared" si="8"/>
        <v>7</v>
      </c>
      <c r="L20" s="178">
        <f t="shared" si="8"/>
        <v>7.25</v>
      </c>
      <c r="M20" s="178">
        <f t="shared" si="8"/>
        <v>7</v>
      </c>
      <c r="N20" s="178">
        <f>SUM(N6:N19)</f>
        <v>7</v>
      </c>
      <c r="O20" s="178">
        <f t="shared" si="8"/>
        <v>7</v>
      </c>
      <c r="P20" s="178">
        <f>SUM(P6:P19)</f>
        <v>7.25</v>
      </c>
      <c r="Q20" s="375">
        <f>SUM(Q6:Q19)</f>
        <v>7.2</v>
      </c>
      <c r="R20" s="505"/>
      <c r="S20" s="540">
        <f>SUM(S6:S19)</f>
        <v>8.8000000000000007</v>
      </c>
      <c r="T20" s="541"/>
      <c r="U20" s="541">
        <f>SUM(U6:U19)</f>
        <v>10</v>
      </c>
      <c r="V20" s="541"/>
      <c r="W20" s="541">
        <f>SUM(W6:W19)</f>
        <v>10</v>
      </c>
      <c r="X20" s="541"/>
      <c r="Y20" s="541">
        <f>SUM(Y6:Y19)</f>
        <v>10</v>
      </c>
      <c r="Z20" s="541"/>
      <c r="AA20" s="541">
        <f>SUM(AA6:AA19)</f>
        <v>10</v>
      </c>
      <c r="AB20" s="541"/>
      <c r="AC20" s="541">
        <f>SUM(AC6:AC19)</f>
        <v>10</v>
      </c>
      <c r="AD20" s="542"/>
      <c r="AE20" s="161">
        <f>SUM(AE6:AE19)</f>
        <v>10</v>
      </c>
      <c r="AF20" s="159"/>
      <c r="AG20" s="178">
        <f>SUM(AG6:AG19)</f>
        <v>10</v>
      </c>
      <c r="AH20" s="375"/>
      <c r="AI20" s="375">
        <f>SUM(AI6:AI19)</f>
        <v>10</v>
      </c>
      <c r="AJ20" s="185"/>
      <c r="AK20" s="161">
        <f>SUM(AK6:AK19)</f>
        <v>10</v>
      </c>
      <c r="AL20" s="178"/>
      <c r="AM20" s="178">
        <f>SUM(AM6:AM19)</f>
        <v>7.8</v>
      </c>
      <c r="AN20" s="185"/>
      <c r="AO20" s="514">
        <f>SUM(AO6:AO19)</f>
        <v>134.80000000000001</v>
      </c>
      <c r="AP20" s="515">
        <f>SUM(AP6:AP19)</f>
        <v>26.5</v>
      </c>
      <c r="AQ20" s="516">
        <f>SUM(AQ6:AQ19)</f>
        <v>108.3</v>
      </c>
      <c r="AR20" s="637">
        <f>SUM(AR6:AR19)</f>
        <v>0</v>
      </c>
      <c r="AS20" s="349"/>
    </row>
    <row r="21" spans="1:45" s="140" customFormat="1" ht="17" customHeight="1">
      <c r="B21" s="1834" t="s">
        <v>581</v>
      </c>
      <c r="C21" s="1102" t="s">
        <v>175</v>
      </c>
      <c r="D21" s="1098" t="s">
        <v>13</v>
      </c>
      <c r="E21" s="1099" t="s">
        <v>17</v>
      </c>
      <c r="F21" s="1105" t="s">
        <v>361</v>
      </c>
      <c r="G21" s="1106" t="s">
        <v>628</v>
      </c>
      <c r="H21" s="600">
        <v>45691</v>
      </c>
      <c r="I21" s="800">
        <v>45723</v>
      </c>
      <c r="J21" s="360"/>
      <c r="K21" s="56">
        <v>1</v>
      </c>
      <c r="L21" s="53">
        <f t="shared" ref="L21:L25" si="9">K21*$L$1</f>
        <v>1</v>
      </c>
      <c r="M21" s="3">
        <v>0.25</v>
      </c>
      <c r="N21" s="383">
        <f t="shared" ref="N21:N76" si="10">M21*N$1</f>
        <v>0.25</v>
      </c>
      <c r="O21" s="48"/>
      <c r="P21" s="373"/>
      <c r="Q21" s="373"/>
      <c r="R21" s="548"/>
      <c r="S21" s="941"/>
      <c r="T21" s="536"/>
      <c r="U21" s="536"/>
      <c r="V21" s="536"/>
      <c r="W21" s="536"/>
      <c r="X21" s="536"/>
      <c r="Y21" s="536"/>
      <c r="Z21" s="536"/>
      <c r="AA21" s="536"/>
      <c r="AB21" s="536"/>
      <c r="AC21" s="536"/>
      <c r="AD21" s="537"/>
      <c r="AE21" s="27"/>
      <c r="AF21" s="29"/>
      <c r="AG21" s="28"/>
      <c r="AH21" s="374"/>
      <c r="AI21" s="374"/>
      <c r="AJ21" s="25"/>
      <c r="AK21" s="27"/>
      <c r="AL21" s="28"/>
      <c r="AM21" s="1130"/>
      <c r="AN21" s="1142"/>
      <c r="AO21" s="522">
        <f t="shared" ref="AO21:AP28" si="11">+K21+M21+O21+Q21+S21+U21+W21+Y21+AA21+AC21+AE21+AG21+AI21+AK21+AM21</f>
        <v>1.25</v>
      </c>
      <c r="AP21" s="524">
        <f t="shared" si="11"/>
        <v>1.25</v>
      </c>
      <c r="AQ21" s="525">
        <f t="shared" ref="AQ21:AQ28" si="12">AO21-AP21</f>
        <v>0</v>
      </c>
      <c r="AR21" s="638"/>
      <c r="AS21" s="349"/>
    </row>
    <row r="22" spans="1:45" s="140" customFormat="1" ht="17" customHeight="1">
      <c r="B22" s="1820"/>
      <c r="C22" s="242" t="s">
        <v>175</v>
      </c>
      <c r="D22" s="1" t="s">
        <v>13</v>
      </c>
      <c r="E22" s="350" t="s">
        <v>17</v>
      </c>
      <c r="F22" s="601" t="s">
        <v>270</v>
      </c>
      <c r="G22" s="949"/>
      <c r="H22" s="834">
        <v>45720</v>
      </c>
      <c r="I22" s="834">
        <v>46112</v>
      </c>
      <c r="J22" s="28"/>
      <c r="K22" s="357"/>
      <c r="L22" s="28"/>
      <c r="M22" s="28">
        <v>1</v>
      </c>
      <c r="N22" s="374">
        <f t="shared" si="10"/>
        <v>1</v>
      </c>
      <c r="O22" s="27">
        <v>1</v>
      </c>
      <c r="P22" s="28">
        <f t="shared" ref="P22:P25" si="13">$P$1*O22</f>
        <v>1</v>
      </c>
      <c r="Q22" s="28">
        <v>1</v>
      </c>
      <c r="R22" s="25">
        <f t="shared" ref="R22:R28" si="14">$Q$1*Q22</f>
        <v>0.75</v>
      </c>
      <c r="S22" s="29">
        <v>1</v>
      </c>
      <c r="T22" s="28"/>
      <c r="U22" s="28">
        <v>1</v>
      </c>
      <c r="V22" s="28"/>
      <c r="W22" s="28">
        <v>1</v>
      </c>
      <c r="X22" s="28"/>
      <c r="Y22" s="28">
        <v>1</v>
      </c>
      <c r="Z22" s="28"/>
      <c r="AA22" s="28">
        <v>1</v>
      </c>
      <c r="AB22" s="28"/>
      <c r="AC22" s="28">
        <v>1</v>
      </c>
      <c r="AD22" s="28"/>
      <c r="AE22" s="28">
        <v>1</v>
      </c>
      <c r="AF22" s="28"/>
      <c r="AG22" s="28">
        <v>1</v>
      </c>
      <c r="AH22" s="28"/>
      <c r="AI22" s="28">
        <v>1</v>
      </c>
      <c r="AJ22" s="28"/>
      <c r="AK22" s="29">
        <v>1</v>
      </c>
      <c r="AL22" s="28"/>
      <c r="AM22" s="1130"/>
      <c r="AN22" s="1142"/>
      <c r="AO22" s="522">
        <f t="shared" si="11"/>
        <v>13</v>
      </c>
      <c r="AP22" s="524">
        <f t="shared" si="11"/>
        <v>2.75</v>
      </c>
      <c r="AQ22" s="525">
        <f t="shared" si="12"/>
        <v>10.25</v>
      </c>
      <c r="AR22" s="638"/>
      <c r="AS22" s="349"/>
    </row>
    <row r="23" spans="1:45" s="1424" customFormat="1" ht="17" customHeight="1">
      <c r="B23" s="1820"/>
      <c r="C23" s="242" t="s">
        <v>175</v>
      </c>
      <c r="D23" s="1" t="s">
        <v>13</v>
      </c>
      <c r="E23" s="1443" t="s">
        <v>17</v>
      </c>
      <c r="F23" s="1398" t="s">
        <v>669</v>
      </c>
      <c r="G23" s="1444" t="s">
        <v>697</v>
      </c>
      <c r="H23" s="1445">
        <v>45789</v>
      </c>
      <c r="I23" s="1445">
        <v>45881</v>
      </c>
      <c r="J23" s="1446"/>
      <c r="K23" s="1447"/>
      <c r="L23" s="1446"/>
      <c r="M23" s="1446"/>
      <c r="N23" s="1431"/>
      <c r="O23" s="1448"/>
      <c r="P23" s="1446"/>
      <c r="Q23" s="1009">
        <v>0</v>
      </c>
      <c r="R23" s="1449">
        <v>0.59</v>
      </c>
      <c r="S23" s="1009">
        <v>0</v>
      </c>
      <c r="T23" s="1446"/>
      <c r="U23" s="1009">
        <v>0</v>
      </c>
      <c r="V23" s="1446"/>
      <c r="W23" s="1009">
        <v>0</v>
      </c>
      <c r="X23" s="1446"/>
      <c r="Y23" s="1446"/>
      <c r="Z23" s="1446"/>
      <c r="AA23" s="1446"/>
      <c r="AB23" s="1446"/>
      <c r="AC23" s="1446"/>
      <c r="AD23" s="1446"/>
      <c r="AE23" s="1446"/>
      <c r="AF23" s="1446"/>
      <c r="AG23" s="1446"/>
      <c r="AH23" s="1446"/>
      <c r="AI23" s="1446"/>
      <c r="AJ23" s="1446"/>
      <c r="AK23" s="1450"/>
      <c r="AL23" s="1446"/>
      <c r="AM23" s="1446"/>
      <c r="AN23" s="1449"/>
      <c r="AO23" s="1442">
        <f t="shared" si="11"/>
        <v>0</v>
      </c>
      <c r="AP23" s="518">
        <f t="shared" si="11"/>
        <v>0.59</v>
      </c>
      <c r="AQ23" s="519">
        <f t="shared" si="12"/>
        <v>-0.59</v>
      </c>
      <c r="AR23" s="638"/>
    </row>
    <row r="24" spans="1:45" s="140" customFormat="1" ht="17" customHeight="1">
      <c r="B24" s="1820"/>
      <c r="C24" s="242" t="s">
        <v>175</v>
      </c>
      <c r="D24" s="1" t="s">
        <v>22</v>
      </c>
      <c r="E24" s="350" t="s">
        <v>17</v>
      </c>
      <c r="F24" s="971" t="s">
        <v>362</v>
      </c>
      <c r="G24" s="989" t="s">
        <v>685</v>
      </c>
      <c r="H24" s="974">
        <v>45691</v>
      </c>
      <c r="I24" s="974">
        <v>46081</v>
      </c>
      <c r="J24" s="28"/>
      <c r="K24" s="419"/>
      <c r="L24" s="419">
        <v>1</v>
      </c>
      <c r="M24" s="419"/>
      <c r="N24" s="495">
        <v>1</v>
      </c>
      <c r="O24" s="1009">
        <v>0</v>
      </c>
      <c r="P24" s="419">
        <f>P1</f>
        <v>1</v>
      </c>
      <c r="Q24" s="1125">
        <v>0</v>
      </c>
      <c r="R24" s="1365">
        <f>R$1*Q1</f>
        <v>0.75</v>
      </c>
      <c r="S24" s="1360">
        <v>0</v>
      </c>
      <c r="T24" s="1125"/>
      <c r="U24" s="1125">
        <v>0</v>
      </c>
      <c r="V24" s="1125"/>
      <c r="W24" s="1125">
        <v>0</v>
      </c>
      <c r="X24" s="1125"/>
      <c r="Y24" s="1125">
        <v>0</v>
      </c>
      <c r="Z24" s="1125"/>
      <c r="AA24" s="1125">
        <v>0</v>
      </c>
      <c r="AB24" s="1125"/>
      <c r="AC24" s="1125">
        <v>0</v>
      </c>
      <c r="AD24" s="1125"/>
      <c r="AE24" s="1125">
        <v>0</v>
      </c>
      <c r="AF24" s="1125"/>
      <c r="AG24" s="1125">
        <v>0</v>
      </c>
      <c r="AH24" s="1125"/>
      <c r="AI24" s="1125">
        <v>0</v>
      </c>
      <c r="AJ24" s="1125"/>
      <c r="AK24" s="1143"/>
      <c r="AL24" s="28"/>
      <c r="AM24" s="1130"/>
      <c r="AN24" s="1142"/>
      <c r="AO24" s="517">
        <f t="shared" si="11"/>
        <v>0</v>
      </c>
      <c r="AP24" s="524">
        <f t="shared" si="11"/>
        <v>3.75</v>
      </c>
      <c r="AQ24" s="525">
        <f t="shared" si="12"/>
        <v>-3.75</v>
      </c>
      <c r="AR24" s="638"/>
      <c r="AS24" s="349"/>
    </row>
    <row r="25" spans="1:45" s="140" customFormat="1" ht="17" customHeight="1" thickBot="1">
      <c r="B25" s="1820"/>
      <c r="C25" s="242" t="s">
        <v>25</v>
      </c>
      <c r="D25" s="1" t="s">
        <v>19</v>
      </c>
      <c r="E25" s="350" t="s">
        <v>17</v>
      </c>
      <c r="F25" s="601" t="s">
        <v>271</v>
      </c>
      <c r="G25" s="599"/>
      <c r="H25" s="600">
        <v>45712</v>
      </c>
      <c r="I25" s="801">
        <v>46053</v>
      </c>
      <c r="J25" s="360"/>
      <c r="K25" s="56">
        <v>0.25</v>
      </c>
      <c r="L25" s="747">
        <f t="shared" si="9"/>
        <v>0.25</v>
      </c>
      <c r="M25" s="3">
        <v>0.25</v>
      </c>
      <c r="N25" s="390">
        <f t="shared" si="10"/>
        <v>0.25</v>
      </c>
      <c r="O25" s="15">
        <v>0.5</v>
      </c>
      <c r="P25" s="378">
        <f t="shared" si="13"/>
        <v>0.5</v>
      </c>
      <c r="Q25" s="1131">
        <v>0.5</v>
      </c>
      <c r="R25" s="557">
        <f t="shared" si="14"/>
        <v>0.375</v>
      </c>
      <c r="S25" s="1144"/>
      <c r="T25" s="536"/>
      <c r="U25" s="1128"/>
      <c r="V25" s="536"/>
      <c r="W25" s="1128"/>
      <c r="X25" s="536"/>
      <c r="Y25" s="1128"/>
      <c r="Z25" s="536"/>
      <c r="AA25" s="1128"/>
      <c r="AB25" s="536"/>
      <c r="AC25" s="1128">
        <v>0.5</v>
      </c>
      <c r="AD25" s="537"/>
      <c r="AE25" s="1129">
        <v>0.5</v>
      </c>
      <c r="AF25" s="29"/>
      <c r="AG25" s="1130">
        <v>0.5</v>
      </c>
      <c r="AH25" s="374"/>
      <c r="AI25" s="1131"/>
      <c r="AJ25" s="25"/>
      <c r="AK25" s="1129"/>
      <c r="AL25" s="28"/>
      <c r="AM25" s="1130"/>
      <c r="AN25" s="1142"/>
      <c r="AO25" s="517">
        <f t="shared" si="11"/>
        <v>3</v>
      </c>
      <c r="AP25" s="524">
        <f t="shared" si="11"/>
        <v>1.375</v>
      </c>
      <c r="AQ25" s="525">
        <f t="shared" si="12"/>
        <v>1.625</v>
      </c>
      <c r="AR25" s="638"/>
      <c r="AS25" s="349"/>
    </row>
    <row r="26" spans="1:45" s="140" customFormat="1" ht="17" hidden="1" customHeight="1">
      <c r="B26" s="1820"/>
      <c r="C26" s="242" t="s">
        <v>89</v>
      </c>
      <c r="D26" s="1" t="s">
        <v>19</v>
      </c>
      <c r="E26" s="350" t="s">
        <v>90</v>
      </c>
      <c r="F26" s="599" t="s">
        <v>402</v>
      </c>
      <c r="G26" s="599"/>
      <c r="H26" s="600">
        <v>45740</v>
      </c>
      <c r="I26" s="801">
        <v>46010</v>
      </c>
      <c r="J26" s="360"/>
      <c r="K26" s="56"/>
      <c r="L26" s="747"/>
      <c r="M26" s="56">
        <v>0.25</v>
      </c>
      <c r="N26" s="383">
        <f t="shared" si="10"/>
        <v>0.25</v>
      </c>
      <c r="O26" s="55"/>
      <c r="P26" s="400"/>
      <c r="Q26" s="400">
        <v>0.75</v>
      </c>
      <c r="R26" s="557">
        <f t="shared" si="14"/>
        <v>0.5625</v>
      </c>
      <c r="S26" s="1024"/>
      <c r="T26" s="543"/>
      <c r="U26" s="543"/>
      <c r="V26" s="543"/>
      <c r="W26" s="543"/>
      <c r="X26" s="543"/>
      <c r="Y26" s="543">
        <v>0.25</v>
      </c>
      <c r="Z26" s="543"/>
      <c r="AA26" s="543"/>
      <c r="AB26" s="543"/>
      <c r="AC26" s="543">
        <v>0.25</v>
      </c>
      <c r="AD26" s="544"/>
      <c r="AE26" s="401">
        <v>0.5</v>
      </c>
      <c r="AF26" s="399"/>
      <c r="AG26" s="357"/>
      <c r="AH26" s="400"/>
      <c r="AI26" s="400"/>
      <c r="AJ26" s="208"/>
      <c r="AK26" s="27"/>
      <c r="AL26" s="28"/>
      <c r="AM26" s="1130"/>
      <c r="AN26" s="1142"/>
      <c r="AO26" s="522">
        <f t="shared" si="11"/>
        <v>2</v>
      </c>
      <c r="AP26" s="524">
        <f t="shared" si="11"/>
        <v>0.8125</v>
      </c>
      <c r="AQ26" s="525">
        <f t="shared" si="12"/>
        <v>1.1875</v>
      </c>
      <c r="AR26" s="638" t="s">
        <v>77</v>
      </c>
      <c r="AS26" s="349"/>
    </row>
    <row r="27" spans="1:45" s="140" customFormat="1" ht="17" hidden="1" customHeight="1">
      <c r="B27" s="1820"/>
      <c r="C27" s="242" t="s">
        <v>91</v>
      </c>
      <c r="D27" s="1" t="s">
        <v>21</v>
      </c>
      <c r="E27" s="350" t="s">
        <v>90</v>
      </c>
      <c r="F27" s="599" t="s">
        <v>403</v>
      </c>
      <c r="G27" s="599"/>
      <c r="H27" s="600">
        <v>45733</v>
      </c>
      <c r="I27" s="801">
        <v>46017</v>
      </c>
      <c r="J27" s="360"/>
      <c r="K27" s="357"/>
      <c r="L27" s="357"/>
      <c r="M27" s="357">
        <v>0.25</v>
      </c>
      <c r="N27" s="383">
        <f t="shared" si="10"/>
        <v>0.25</v>
      </c>
      <c r="O27" s="401"/>
      <c r="P27" s="400"/>
      <c r="Q27" s="400"/>
      <c r="R27" s="557">
        <f t="shared" si="14"/>
        <v>0</v>
      </c>
      <c r="S27" s="1024">
        <v>0.5</v>
      </c>
      <c r="T27" s="543"/>
      <c r="U27" s="543"/>
      <c r="V27" s="543"/>
      <c r="W27" s="543"/>
      <c r="X27" s="543"/>
      <c r="Y27" s="543"/>
      <c r="Z27" s="543"/>
      <c r="AA27" s="543"/>
      <c r="AB27" s="543"/>
      <c r="AC27" s="543">
        <v>0.5</v>
      </c>
      <c r="AD27" s="544"/>
      <c r="AE27" s="401">
        <v>1</v>
      </c>
      <c r="AF27" s="399"/>
      <c r="AG27" s="357"/>
      <c r="AH27" s="400"/>
      <c r="AI27" s="400"/>
      <c r="AJ27" s="208"/>
      <c r="AK27" s="27"/>
      <c r="AL27" s="28"/>
      <c r="AM27" s="1130"/>
      <c r="AN27" s="1142"/>
      <c r="AO27" s="522">
        <f t="shared" si="11"/>
        <v>2.25</v>
      </c>
      <c r="AP27" s="524">
        <f t="shared" si="11"/>
        <v>0.25</v>
      </c>
      <c r="AQ27" s="525">
        <f t="shared" si="12"/>
        <v>2</v>
      </c>
      <c r="AR27" s="638" t="s">
        <v>42</v>
      </c>
      <c r="AS27" s="349"/>
    </row>
    <row r="28" spans="1:45" s="140" customFormat="1" ht="17" hidden="1" customHeight="1" thickBot="1">
      <c r="B28" s="1820"/>
      <c r="C28" s="258" t="s">
        <v>122</v>
      </c>
      <c r="D28" s="44" t="s">
        <v>21</v>
      </c>
      <c r="E28" s="491" t="s">
        <v>90</v>
      </c>
      <c r="F28" s="601" t="s">
        <v>404</v>
      </c>
      <c r="G28" s="599"/>
      <c r="H28" s="605">
        <v>45761</v>
      </c>
      <c r="I28" s="801">
        <v>46017</v>
      </c>
      <c r="J28" s="360"/>
      <c r="K28" s="402"/>
      <c r="L28" s="402"/>
      <c r="M28" s="402"/>
      <c r="N28" s="383"/>
      <c r="O28" s="959">
        <v>0.5</v>
      </c>
      <c r="P28" s="827">
        <f t="shared" ref="P28:P35" si="15">$P$1*O28</f>
        <v>0.5</v>
      </c>
      <c r="Q28" s="1026"/>
      <c r="R28" s="1027">
        <f t="shared" si="14"/>
        <v>0</v>
      </c>
      <c r="S28" s="1025"/>
      <c r="T28" s="545"/>
      <c r="U28" s="545"/>
      <c r="V28" s="545"/>
      <c r="W28" s="545"/>
      <c r="X28" s="545"/>
      <c r="Y28" s="545">
        <v>0.5</v>
      </c>
      <c r="Z28" s="545"/>
      <c r="AA28" s="545"/>
      <c r="AB28" s="545"/>
      <c r="AC28" s="545">
        <v>1</v>
      </c>
      <c r="AD28" s="546"/>
      <c r="AE28" s="405">
        <v>1</v>
      </c>
      <c r="AF28" s="403"/>
      <c r="AG28" s="402"/>
      <c r="AH28" s="404"/>
      <c r="AI28" s="404"/>
      <c r="AJ28" s="209"/>
      <c r="AK28" s="39"/>
      <c r="AL28" s="40"/>
      <c r="AM28" s="1138"/>
      <c r="AN28" s="1140"/>
      <c r="AO28" s="522">
        <f t="shared" si="11"/>
        <v>3</v>
      </c>
      <c r="AP28" s="524">
        <f t="shared" si="11"/>
        <v>0.5</v>
      </c>
      <c r="AQ28" s="525">
        <f t="shared" si="12"/>
        <v>2.5</v>
      </c>
      <c r="AR28" s="639" t="s">
        <v>283</v>
      </c>
      <c r="AS28" s="349"/>
    </row>
    <row r="29" spans="1:45" s="150" customFormat="1" ht="17" hidden="1" customHeight="1" thickBot="1">
      <c r="A29" s="140"/>
      <c r="B29" s="1837"/>
      <c r="C29" s="489" t="s">
        <v>16</v>
      </c>
      <c r="D29" s="157"/>
      <c r="E29" s="437"/>
      <c r="F29" s="602"/>
      <c r="G29" s="602"/>
      <c r="H29" s="603"/>
      <c r="I29" s="356"/>
      <c r="J29" s="159">
        <f t="shared" ref="J29:P29" si="16">SUM(J21:J28)</f>
        <v>0</v>
      </c>
      <c r="K29" s="178">
        <f t="shared" si="16"/>
        <v>1.25</v>
      </c>
      <c r="L29" s="178">
        <f t="shared" si="16"/>
        <v>2.25</v>
      </c>
      <c r="M29" s="178">
        <f t="shared" si="16"/>
        <v>2</v>
      </c>
      <c r="N29" s="178">
        <f t="shared" si="16"/>
        <v>3</v>
      </c>
      <c r="O29" s="178">
        <f t="shared" si="16"/>
        <v>2</v>
      </c>
      <c r="P29" s="178">
        <f t="shared" si="16"/>
        <v>3</v>
      </c>
      <c r="Q29" s="377">
        <f>SUM(Q21:Q28)</f>
        <v>2.25</v>
      </c>
      <c r="R29" s="505"/>
      <c r="S29" s="540">
        <f>SUM(S21:S28)</f>
        <v>1.5</v>
      </c>
      <c r="T29" s="541"/>
      <c r="U29" s="541">
        <f>SUM(U21:U28)</f>
        <v>1</v>
      </c>
      <c r="V29" s="541"/>
      <c r="W29" s="541">
        <f>SUM(W21:W28)</f>
        <v>1</v>
      </c>
      <c r="X29" s="541"/>
      <c r="Y29" s="541">
        <f>SUM(Y21:Y28)</f>
        <v>1.75</v>
      </c>
      <c r="Z29" s="541"/>
      <c r="AA29" s="541">
        <f>SUM(AA21:AA28)</f>
        <v>1</v>
      </c>
      <c r="AB29" s="541"/>
      <c r="AC29" s="541">
        <f>SUM(AC21:AC28)</f>
        <v>3.25</v>
      </c>
      <c r="AD29" s="542"/>
      <c r="AE29" s="161">
        <f>SUM(AE21:AE28)</f>
        <v>4</v>
      </c>
      <c r="AF29" s="159"/>
      <c r="AG29" s="178">
        <f>SUM(AG21:AG28)</f>
        <v>1.5</v>
      </c>
      <c r="AH29" s="377"/>
      <c r="AI29" s="377">
        <f>SUM(AI21:AI28)</f>
        <v>1</v>
      </c>
      <c r="AJ29" s="185"/>
      <c r="AK29" s="161">
        <f>SUM(AK21:AK28)</f>
        <v>1</v>
      </c>
      <c r="AL29" s="178"/>
      <c r="AM29" s="178">
        <f>SUM(AM21:AM28)</f>
        <v>0</v>
      </c>
      <c r="AN29" s="185"/>
      <c r="AO29" s="514">
        <f>+SUM(AO21:AO28)</f>
        <v>24.5</v>
      </c>
      <c r="AP29" s="515">
        <f>+SUM(AP21:AP28)</f>
        <v>11.2775</v>
      </c>
      <c r="AQ29" s="516">
        <f>+SUM(AQ21:AQ28)</f>
        <v>13.2225</v>
      </c>
      <c r="AR29" s="637"/>
      <c r="AS29" s="349"/>
    </row>
    <row r="30" spans="1:45" s="140" customFormat="1" ht="17" customHeight="1" thickBot="1">
      <c r="B30" s="1826" t="s">
        <v>349</v>
      </c>
      <c r="C30" s="174" t="s">
        <v>148</v>
      </c>
      <c r="D30" s="93" t="s">
        <v>77</v>
      </c>
      <c r="E30" s="493" t="s">
        <v>101</v>
      </c>
      <c r="F30" s="1402" t="s">
        <v>272</v>
      </c>
      <c r="G30" s="1402"/>
      <c r="H30" s="1403">
        <v>45691</v>
      </c>
      <c r="I30" s="1404">
        <v>45838</v>
      </c>
      <c r="J30" s="359"/>
      <c r="K30" s="7">
        <v>1</v>
      </c>
      <c r="L30" s="4">
        <f t="shared" ref="L30:L33" si="17">K30*$L$1</f>
        <v>1</v>
      </c>
      <c r="M30" s="7">
        <v>1</v>
      </c>
      <c r="N30" s="390">
        <f t="shared" ref="N30:N33" si="18">M30*N$1</f>
        <v>1</v>
      </c>
      <c r="O30" s="957">
        <v>1</v>
      </c>
      <c r="P30" s="701">
        <f t="shared" si="15"/>
        <v>1</v>
      </c>
      <c r="Q30" s="1145">
        <v>1</v>
      </c>
      <c r="R30" s="502">
        <f t="shared" ref="R30:R35" si="19">$Q$1*Q30</f>
        <v>0.75</v>
      </c>
      <c r="S30" s="1146">
        <v>1</v>
      </c>
      <c r="T30" s="547"/>
      <c r="U30" s="1147"/>
      <c r="V30" s="547"/>
      <c r="W30" s="1147"/>
      <c r="X30" s="547"/>
      <c r="Y30" s="1147"/>
      <c r="Z30" s="547"/>
      <c r="AA30" s="1147"/>
      <c r="AB30" s="547"/>
      <c r="AC30" s="1147"/>
      <c r="AD30" s="548"/>
      <c r="AE30" s="1148"/>
      <c r="AF30" s="359"/>
      <c r="AG30" s="1149"/>
      <c r="AH30" s="373"/>
      <c r="AI30" s="1145"/>
      <c r="AJ30" s="50"/>
      <c r="AK30" s="1148"/>
      <c r="AL30" s="49"/>
      <c r="AM30" s="1149"/>
      <c r="AN30" s="50"/>
      <c r="AO30" s="517">
        <f t="shared" ref="AO30:AP34" si="20">+K30+M30+O30+Q30+S30+U30+W30+Y30+AA30+AC30+AE30+AG30+AI30+AK30+AM30</f>
        <v>5</v>
      </c>
      <c r="AP30" s="524">
        <f t="shared" si="20"/>
        <v>3.75</v>
      </c>
      <c r="AQ30" s="525">
        <f t="shared" ref="AQ30:AQ45" si="21">AO30-AP30</f>
        <v>1.25</v>
      </c>
      <c r="AR30" s="640"/>
      <c r="AS30" s="349"/>
    </row>
    <row r="31" spans="1:45" s="140" customFormat="1" ht="17" customHeight="1">
      <c r="B31" s="1820"/>
      <c r="C31" s="174" t="s">
        <v>148</v>
      </c>
      <c r="D31" s="94"/>
      <c r="E31" s="493" t="s">
        <v>101</v>
      </c>
      <c r="F31" s="1405" t="s">
        <v>74</v>
      </c>
      <c r="G31" s="1405"/>
      <c r="H31" s="1406">
        <v>45838</v>
      </c>
      <c r="I31" s="1407">
        <v>45716</v>
      </c>
      <c r="J31" s="366"/>
      <c r="K31" s="4"/>
      <c r="L31" s="4"/>
      <c r="M31" s="4"/>
      <c r="N31" s="390"/>
      <c r="O31" s="214"/>
      <c r="P31" s="390"/>
      <c r="Q31" s="1179"/>
      <c r="R31" s="506"/>
      <c r="S31" s="1408"/>
      <c r="T31" s="556"/>
      <c r="U31" s="1357">
        <v>1</v>
      </c>
      <c r="V31" s="556"/>
      <c r="W31" s="1357">
        <v>1</v>
      </c>
      <c r="X31" s="556"/>
      <c r="Y31" s="1357">
        <v>1</v>
      </c>
      <c r="Z31" s="556"/>
      <c r="AA31" s="1357">
        <v>1</v>
      </c>
      <c r="AB31" s="556"/>
      <c r="AC31" s="1357">
        <v>1</v>
      </c>
      <c r="AD31" s="557"/>
      <c r="AE31" s="1359">
        <v>1</v>
      </c>
      <c r="AF31" s="366"/>
      <c r="AG31" s="1182">
        <v>1</v>
      </c>
      <c r="AH31" s="383"/>
      <c r="AI31" s="1179">
        <v>1</v>
      </c>
      <c r="AJ31" s="54"/>
      <c r="AK31" s="1359"/>
      <c r="AL31" s="53"/>
      <c r="AM31" s="1182"/>
      <c r="AN31" s="54"/>
      <c r="AO31" s="517">
        <f t="shared" si="20"/>
        <v>8</v>
      </c>
      <c r="AP31" s="524"/>
      <c r="AQ31" s="525"/>
      <c r="AR31" s="643"/>
      <c r="AS31" s="349"/>
    </row>
    <row r="32" spans="1:45" s="140" customFormat="1" ht="17" customHeight="1">
      <c r="B32" s="1820"/>
      <c r="C32" s="242" t="s">
        <v>201</v>
      </c>
      <c r="D32" s="95" t="s">
        <v>13</v>
      </c>
      <c r="E32" s="350" t="s">
        <v>101</v>
      </c>
      <c r="F32" s="599" t="s">
        <v>273</v>
      </c>
      <c r="G32" s="599"/>
      <c r="H32" s="600">
        <v>45691</v>
      </c>
      <c r="I32" s="800">
        <v>46112</v>
      </c>
      <c r="J32" s="29"/>
      <c r="K32" s="3">
        <v>1</v>
      </c>
      <c r="L32" s="4">
        <f t="shared" si="17"/>
        <v>1</v>
      </c>
      <c r="M32" s="3">
        <v>1</v>
      </c>
      <c r="N32" s="390">
        <f t="shared" si="18"/>
        <v>1</v>
      </c>
      <c r="O32" s="211">
        <v>1</v>
      </c>
      <c r="P32" s="378">
        <f t="shared" si="15"/>
        <v>1</v>
      </c>
      <c r="Q32" s="1131">
        <v>1</v>
      </c>
      <c r="R32" s="506">
        <f t="shared" si="19"/>
        <v>0.75</v>
      </c>
      <c r="S32" s="1150">
        <v>1</v>
      </c>
      <c r="T32" s="536"/>
      <c r="U32" s="1128">
        <v>1</v>
      </c>
      <c r="V32" s="536"/>
      <c r="W32" s="1128">
        <v>1</v>
      </c>
      <c r="X32" s="536"/>
      <c r="Y32" s="1128">
        <v>1</v>
      </c>
      <c r="Z32" s="536"/>
      <c r="AA32" s="1128">
        <v>1</v>
      </c>
      <c r="AB32" s="536"/>
      <c r="AC32" s="1128">
        <v>1</v>
      </c>
      <c r="AD32" s="537"/>
      <c r="AE32" s="1129">
        <v>1</v>
      </c>
      <c r="AF32" s="29"/>
      <c r="AG32" s="1130">
        <v>1</v>
      </c>
      <c r="AH32" s="374"/>
      <c r="AI32" s="1131">
        <v>1</v>
      </c>
      <c r="AJ32" s="25"/>
      <c r="AK32" s="1129">
        <v>1</v>
      </c>
      <c r="AL32" s="28"/>
      <c r="AM32" s="1130"/>
      <c r="AN32" s="25"/>
      <c r="AO32" s="517">
        <f t="shared" si="20"/>
        <v>14</v>
      </c>
      <c r="AP32" s="524" t="e">
        <f>+L32+N32+P32+#REF!+T32+V32+X32+Z32+AB32+AD32+AF32+AH32+AJ32+AL32+AN32</f>
        <v>#REF!</v>
      </c>
      <c r="AQ32" s="525" t="e">
        <f t="shared" si="21"/>
        <v>#REF!</v>
      </c>
      <c r="AR32" s="638"/>
      <c r="AS32" s="349"/>
    </row>
    <row r="33" spans="1:45" s="140" customFormat="1" ht="17" customHeight="1">
      <c r="B33" s="1827"/>
      <c r="C33" s="242" t="s">
        <v>617</v>
      </c>
      <c r="D33" s="95" t="s">
        <v>21</v>
      </c>
      <c r="E33" s="350" t="s">
        <v>101</v>
      </c>
      <c r="F33" s="599" t="s">
        <v>363</v>
      </c>
      <c r="G33" s="599"/>
      <c r="H33" s="600">
        <v>45705</v>
      </c>
      <c r="I33" s="800">
        <v>46142</v>
      </c>
      <c r="J33" s="361"/>
      <c r="K33" s="3">
        <v>0.5</v>
      </c>
      <c r="L33" s="4">
        <f t="shared" si="17"/>
        <v>0.5</v>
      </c>
      <c r="M33" s="3">
        <v>1</v>
      </c>
      <c r="N33" s="390">
        <f t="shared" si="18"/>
        <v>1</v>
      </c>
      <c r="O33" s="211">
        <v>1</v>
      </c>
      <c r="P33" s="378">
        <f t="shared" si="15"/>
        <v>1</v>
      </c>
      <c r="Q33" s="1131">
        <v>1</v>
      </c>
      <c r="R33" s="506">
        <f t="shared" si="19"/>
        <v>0.75</v>
      </c>
      <c r="S33" s="1150">
        <v>1</v>
      </c>
      <c r="T33" s="536"/>
      <c r="U33" s="1128">
        <v>1</v>
      </c>
      <c r="V33" s="536"/>
      <c r="W33" s="1128">
        <v>1</v>
      </c>
      <c r="X33" s="536"/>
      <c r="Y33" s="1128">
        <v>1</v>
      </c>
      <c r="Z33" s="536"/>
      <c r="AA33" s="1128">
        <v>1</v>
      </c>
      <c r="AB33" s="536"/>
      <c r="AC33" s="1128">
        <v>1</v>
      </c>
      <c r="AD33" s="537"/>
      <c r="AE33" s="675">
        <v>0.5</v>
      </c>
      <c r="AF33" s="676"/>
      <c r="AG33" s="674">
        <v>0</v>
      </c>
      <c r="AH33" s="495"/>
      <c r="AI33" s="674">
        <v>0</v>
      </c>
      <c r="AJ33" s="677"/>
      <c r="AK33" s="674">
        <v>0</v>
      </c>
      <c r="AL33" s="419"/>
      <c r="AM33" s="674">
        <v>0</v>
      </c>
      <c r="AN33" s="677"/>
      <c r="AO33" s="517">
        <f t="shared" si="20"/>
        <v>10</v>
      </c>
      <c r="AP33" s="524">
        <f>+L33+N33+P33+R32+T33+V33+X33+Z33+AB33+AD33+AF33+AH33+AJ33+AL33+AN33</f>
        <v>3.25</v>
      </c>
      <c r="AQ33" s="525">
        <f t="shared" si="21"/>
        <v>6.75</v>
      </c>
      <c r="AR33" s="638"/>
      <c r="AS33" s="349"/>
    </row>
    <row r="34" spans="1:45" s="140" customFormat="1" ht="17" customHeight="1">
      <c r="B34" s="1827"/>
      <c r="C34" s="242" t="s">
        <v>174</v>
      </c>
      <c r="D34" s="95" t="s">
        <v>22</v>
      </c>
      <c r="E34" s="350" t="s">
        <v>101</v>
      </c>
      <c r="F34" s="833" t="s">
        <v>364</v>
      </c>
      <c r="G34" s="831" t="s">
        <v>650</v>
      </c>
      <c r="H34" s="917">
        <v>45705</v>
      </c>
      <c r="I34" s="918">
        <v>46142</v>
      </c>
      <c r="J34" s="361"/>
      <c r="K34" s="419"/>
      <c r="L34" s="673">
        <v>1</v>
      </c>
      <c r="M34" s="419"/>
      <c r="N34" s="765">
        <v>1</v>
      </c>
      <c r="O34" s="958">
        <v>0</v>
      </c>
      <c r="P34" s="495">
        <f>P1</f>
        <v>1</v>
      </c>
      <c r="Q34" s="1126">
        <v>0</v>
      </c>
      <c r="R34" s="1366">
        <f>R$1*Q1</f>
        <v>0.75</v>
      </c>
      <c r="S34" s="1126">
        <v>0</v>
      </c>
      <c r="T34" s="1126"/>
      <c r="U34" s="1126">
        <v>0</v>
      </c>
      <c r="V34" s="1126"/>
      <c r="W34" s="1126">
        <v>0</v>
      </c>
      <c r="X34" s="1126"/>
      <c r="Y34" s="1126">
        <v>0</v>
      </c>
      <c r="Z34" s="1126"/>
      <c r="AA34" s="1126">
        <v>0</v>
      </c>
      <c r="AB34" s="1126"/>
      <c r="AC34" s="1126">
        <v>0</v>
      </c>
      <c r="AD34" s="1367"/>
      <c r="AE34" s="1126">
        <v>0</v>
      </c>
      <c r="AF34" s="1360"/>
      <c r="AG34" s="1126">
        <v>0</v>
      </c>
      <c r="AH34" s="1374"/>
      <c r="AI34" s="1126">
        <v>0</v>
      </c>
      <c r="AJ34" s="1365"/>
      <c r="AK34" s="1126">
        <v>0</v>
      </c>
      <c r="AL34" s="1125"/>
      <c r="AM34" s="1126">
        <v>0</v>
      </c>
      <c r="AN34" s="1365"/>
      <c r="AO34" s="517">
        <f t="shared" si="20"/>
        <v>0</v>
      </c>
      <c r="AP34" s="524">
        <f t="shared" si="20"/>
        <v>3.75</v>
      </c>
      <c r="AQ34" s="525">
        <f t="shared" si="21"/>
        <v>-3.75</v>
      </c>
      <c r="AR34" s="638"/>
      <c r="AS34" s="349"/>
    </row>
    <row r="35" spans="1:45" s="140" customFormat="1" ht="17" customHeight="1">
      <c r="B35" s="1827"/>
      <c r="C35" s="258" t="s">
        <v>586</v>
      </c>
      <c r="D35" s="569" t="s">
        <v>19</v>
      </c>
      <c r="E35" s="350" t="s">
        <v>101</v>
      </c>
      <c r="F35" s="1398" t="s">
        <v>585</v>
      </c>
      <c r="G35" s="1399"/>
      <c r="H35" s="1400">
        <v>45748</v>
      </c>
      <c r="I35" s="1401">
        <v>45807</v>
      </c>
      <c r="J35" s="363"/>
      <c r="K35" s="5"/>
      <c r="L35" s="43"/>
      <c r="M35" s="5"/>
      <c r="N35" s="498"/>
      <c r="O35" s="211">
        <v>1</v>
      </c>
      <c r="P35" s="378">
        <f t="shared" si="15"/>
        <v>1</v>
      </c>
      <c r="Q35" s="1139">
        <v>1</v>
      </c>
      <c r="R35" s="506">
        <f t="shared" si="19"/>
        <v>0.75</v>
      </c>
      <c r="S35" s="1141"/>
      <c r="T35" s="1134"/>
      <c r="U35" s="1134"/>
      <c r="V35" s="1134"/>
      <c r="W35" s="1134"/>
      <c r="X35" s="1134"/>
      <c r="Y35" s="1134"/>
      <c r="Z35" s="1134"/>
      <c r="AA35" s="1134"/>
      <c r="AB35" s="1134"/>
      <c r="AC35" s="1134"/>
      <c r="AD35" s="1135"/>
      <c r="AE35" s="1136"/>
      <c r="AF35" s="1137"/>
      <c r="AG35" s="1138"/>
      <c r="AH35" s="1139"/>
      <c r="AI35" s="1139"/>
      <c r="AJ35" s="1140"/>
      <c r="AK35" s="1136"/>
      <c r="AL35" s="1138"/>
      <c r="AM35" s="1138"/>
      <c r="AN35" s="1140"/>
      <c r="AO35" s="517">
        <f>+K35+M35+O35+Q35+S35+U35+W35+Y35+AA35+AC35+AE35+AG35+AI35+AK35+AM35</f>
        <v>2</v>
      </c>
      <c r="AP35" s="524">
        <f>+L35+N35+P35+R35+T35+V35+X35+Z35+AB35+AD35+AF35+AH35+AJ35+AL35+AN35</f>
        <v>1.75</v>
      </c>
      <c r="AQ35" s="525">
        <f t="shared" si="21"/>
        <v>0.25</v>
      </c>
      <c r="AR35" s="639"/>
      <c r="AS35" s="349"/>
    </row>
    <row r="36" spans="1:45" s="140" customFormat="1" ht="17" customHeight="1">
      <c r="B36" s="1827"/>
      <c r="C36" s="258" t="s">
        <v>586</v>
      </c>
      <c r="D36" s="569"/>
      <c r="E36" s="350" t="s">
        <v>101</v>
      </c>
      <c r="F36" s="1398" t="s">
        <v>74</v>
      </c>
      <c r="G36" s="1399"/>
      <c r="H36" s="1409">
        <v>45807</v>
      </c>
      <c r="I36" s="1410">
        <v>45898</v>
      </c>
      <c r="J36" s="363"/>
      <c r="K36" s="5"/>
      <c r="L36" s="43"/>
      <c r="M36" s="5"/>
      <c r="N36" s="498"/>
      <c r="O36" s="1411"/>
      <c r="P36" s="380"/>
      <c r="Q36" s="1412"/>
      <c r="R36" s="779"/>
      <c r="S36" s="1413">
        <v>1</v>
      </c>
      <c r="T36" s="1134"/>
      <c r="U36" s="1134">
        <v>1</v>
      </c>
      <c r="V36" s="1134"/>
      <c r="W36" s="1134">
        <v>1</v>
      </c>
      <c r="X36" s="1134"/>
      <c r="Y36" s="1134"/>
      <c r="Z36" s="1134"/>
      <c r="AA36" s="1134"/>
      <c r="AB36" s="1134"/>
      <c r="AC36" s="1134"/>
      <c r="AD36" s="1135"/>
      <c r="AE36" s="1412"/>
      <c r="AF36" s="1137"/>
      <c r="AG36" s="1412"/>
      <c r="AH36" s="1139"/>
      <c r="AI36" s="1412"/>
      <c r="AJ36" s="1140"/>
      <c r="AK36" s="1412"/>
      <c r="AL36" s="1138"/>
      <c r="AM36" s="1412"/>
      <c r="AN36" s="1140"/>
      <c r="AO36" s="1414"/>
      <c r="AP36" s="520"/>
      <c r="AQ36" s="521"/>
      <c r="AR36" s="639"/>
      <c r="AS36" s="349"/>
    </row>
    <row r="37" spans="1:45" s="140" customFormat="1" ht="17" customHeight="1" thickBot="1">
      <c r="B37" s="1829"/>
      <c r="C37" s="849" t="s">
        <v>174</v>
      </c>
      <c r="D37" s="850" t="s">
        <v>21</v>
      </c>
      <c r="E37" s="851" t="s">
        <v>101</v>
      </c>
      <c r="F37" s="852" t="s">
        <v>365</v>
      </c>
      <c r="G37" s="848" t="s">
        <v>636</v>
      </c>
      <c r="H37" s="853">
        <v>45839</v>
      </c>
      <c r="I37" s="854">
        <v>46142</v>
      </c>
      <c r="J37" s="363"/>
      <c r="K37" s="8"/>
      <c r="L37" s="5"/>
      <c r="M37" s="5"/>
      <c r="N37" s="827"/>
      <c r="O37" s="959"/>
      <c r="P37" s="8"/>
      <c r="Q37" s="1151"/>
      <c r="R37" s="1152"/>
      <c r="S37" s="1151"/>
      <c r="T37" s="1151"/>
      <c r="U37" s="768">
        <v>0</v>
      </c>
      <c r="V37" s="768"/>
      <c r="W37" s="768">
        <v>0</v>
      </c>
      <c r="X37" s="768"/>
      <c r="Y37" s="768">
        <v>0</v>
      </c>
      <c r="Z37" s="768"/>
      <c r="AA37" s="768">
        <v>0</v>
      </c>
      <c r="AB37" s="768"/>
      <c r="AC37" s="768">
        <v>0</v>
      </c>
      <c r="AD37" s="769"/>
      <c r="AE37" s="674">
        <v>0</v>
      </c>
      <c r="AF37" s="966"/>
      <c r="AG37" s="674">
        <v>0</v>
      </c>
      <c r="AH37" s="967"/>
      <c r="AI37" s="674">
        <v>0</v>
      </c>
      <c r="AJ37" s="968"/>
      <c r="AK37" s="674">
        <v>0</v>
      </c>
      <c r="AL37" s="832"/>
      <c r="AM37" s="674">
        <v>0</v>
      </c>
      <c r="AN37" s="122"/>
      <c r="AO37" s="824">
        <f>+K37+M37+O37+Q37+S37+U37+W37+Y37+AA37+AC37+AE37+AG37+AI37+AK37+AM37</f>
        <v>0</v>
      </c>
      <c r="AP37" s="626">
        <f>+L37+N37+P37+R37+T37+V37+X37+Z37+AB37+AD37+AF37+AH37+AJ37+AL37+AN37</f>
        <v>0</v>
      </c>
      <c r="AQ37" s="625">
        <f t="shared" si="21"/>
        <v>0</v>
      </c>
      <c r="AR37" s="639"/>
      <c r="AS37" s="349"/>
    </row>
    <row r="38" spans="1:45" s="140" customFormat="1" ht="17" hidden="1" customHeight="1">
      <c r="B38" s="1826"/>
      <c r="C38" s="422" t="s">
        <v>240</v>
      </c>
      <c r="D38" s="570" t="s">
        <v>42</v>
      </c>
      <c r="E38" s="598" t="s">
        <v>40</v>
      </c>
      <c r="F38" s="933" t="s">
        <v>572</v>
      </c>
      <c r="G38" s="927"/>
      <c r="H38" s="609">
        <v>45733</v>
      </c>
      <c r="I38" s="803">
        <v>46096</v>
      </c>
      <c r="J38" s="586"/>
      <c r="K38" s="584"/>
      <c r="L38" s="585"/>
      <c r="M38" s="585">
        <v>0.5</v>
      </c>
      <c r="N38" s="53">
        <f t="shared" si="10"/>
        <v>0.5</v>
      </c>
      <c r="O38" s="212">
        <v>1</v>
      </c>
      <c r="P38" s="383">
        <f t="shared" ref="P38:P43" si="22">$P$1*O38</f>
        <v>1</v>
      </c>
      <c r="Q38" s="1153">
        <v>1</v>
      </c>
      <c r="R38" s="506">
        <f t="shared" ref="R38:R41" si="23">$Q$1*Q38</f>
        <v>0.75</v>
      </c>
      <c r="S38" s="1154">
        <v>1</v>
      </c>
      <c r="T38" s="1155"/>
      <c r="U38" s="1155">
        <v>1</v>
      </c>
      <c r="V38" s="1155"/>
      <c r="W38" s="1155">
        <v>1</v>
      </c>
      <c r="X38" s="1155"/>
      <c r="Y38" s="1155">
        <v>1</v>
      </c>
      <c r="Z38" s="1155"/>
      <c r="AA38" s="1155">
        <v>1</v>
      </c>
      <c r="AB38" s="1155"/>
      <c r="AC38" s="1155">
        <v>1</v>
      </c>
      <c r="AD38" s="1156"/>
      <c r="AE38" s="1157">
        <v>1</v>
      </c>
      <c r="AF38" s="1158"/>
      <c r="AG38" s="1159">
        <v>1</v>
      </c>
      <c r="AH38" s="1160"/>
      <c r="AI38" s="1160">
        <v>1</v>
      </c>
      <c r="AJ38" s="1161"/>
      <c r="AK38" s="731">
        <v>0.5</v>
      </c>
      <c r="AL38" s="49"/>
      <c r="AM38" s="49"/>
      <c r="AN38" s="50"/>
      <c r="AO38" s="522">
        <f t="shared" ref="AO38:AP45" si="24">+K38+M38+O38+Q38+S38+U38+W38+Y38+AA38+AC38+AE38+AG38+AI38+AK38+AM38</f>
        <v>12</v>
      </c>
      <c r="AP38" s="524">
        <f t="shared" si="24"/>
        <v>2.25</v>
      </c>
      <c r="AQ38" s="525">
        <f t="shared" si="21"/>
        <v>9.75</v>
      </c>
      <c r="AR38" s="641"/>
      <c r="AS38" s="349"/>
    </row>
    <row r="39" spans="1:45" s="140" customFormat="1" ht="17" hidden="1" customHeight="1">
      <c r="B39" s="1820"/>
      <c r="C39" s="176" t="s">
        <v>248</v>
      </c>
      <c r="D39" s="217" t="s">
        <v>42</v>
      </c>
      <c r="E39" s="533" t="s">
        <v>40</v>
      </c>
      <c r="F39" s="934" t="s">
        <v>350</v>
      </c>
      <c r="G39" s="928"/>
      <c r="H39" s="611">
        <v>45698</v>
      </c>
      <c r="I39" s="804">
        <v>45877</v>
      </c>
      <c r="J39" s="589"/>
      <c r="K39" s="829">
        <v>0.75</v>
      </c>
      <c r="L39" s="725">
        <f t="shared" ref="L39" si="25">K39*$L$1</f>
        <v>0.75</v>
      </c>
      <c r="M39" s="583">
        <v>1</v>
      </c>
      <c r="N39" s="53">
        <f t="shared" si="10"/>
        <v>1</v>
      </c>
      <c r="O39" s="145">
        <v>1</v>
      </c>
      <c r="P39" s="374">
        <f t="shared" si="22"/>
        <v>1</v>
      </c>
      <c r="Q39" s="1162">
        <v>1</v>
      </c>
      <c r="R39" s="506">
        <f t="shared" si="23"/>
        <v>0.75</v>
      </c>
      <c r="S39" s="1163">
        <v>1</v>
      </c>
      <c r="T39" s="1164"/>
      <c r="U39" s="1164">
        <v>1</v>
      </c>
      <c r="V39" s="1164"/>
      <c r="W39" s="549">
        <v>0.25</v>
      </c>
      <c r="X39" s="549"/>
      <c r="Y39" s="549"/>
      <c r="Z39" s="549"/>
      <c r="AA39" s="549"/>
      <c r="AB39" s="549"/>
      <c r="AC39" s="549"/>
      <c r="AD39" s="550"/>
      <c r="AE39" s="283"/>
      <c r="AF39" s="362"/>
      <c r="AG39" s="219"/>
      <c r="AH39" s="379"/>
      <c r="AI39" s="379"/>
      <c r="AJ39" s="284"/>
      <c r="AK39" s="27"/>
      <c r="AL39" s="28"/>
      <c r="AM39" s="28"/>
      <c r="AN39" s="25"/>
      <c r="AO39" s="522">
        <f t="shared" si="24"/>
        <v>6</v>
      </c>
      <c r="AP39" s="524">
        <f t="shared" si="24"/>
        <v>3.5</v>
      </c>
      <c r="AQ39" s="525">
        <f t="shared" si="21"/>
        <v>2.5</v>
      </c>
      <c r="AR39" s="635"/>
      <c r="AS39" s="349"/>
    </row>
    <row r="40" spans="1:45" s="140" customFormat="1" ht="17" hidden="1" customHeight="1">
      <c r="B40" s="1820"/>
      <c r="C40" s="176" t="s">
        <v>249</v>
      </c>
      <c r="D40" s="217" t="s">
        <v>42</v>
      </c>
      <c r="E40" s="533" t="s">
        <v>40</v>
      </c>
      <c r="F40" s="934" t="s">
        <v>351</v>
      </c>
      <c r="G40" s="928"/>
      <c r="H40" s="611">
        <v>45740</v>
      </c>
      <c r="I40" s="804">
        <v>45892</v>
      </c>
      <c r="J40" s="589"/>
      <c r="K40" s="588"/>
      <c r="L40" s="583"/>
      <c r="M40" s="759">
        <v>0.25</v>
      </c>
      <c r="N40" s="53">
        <f t="shared" si="10"/>
        <v>0.25</v>
      </c>
      <c r="O40" s="145">
        <v>1</v>
      </c>
      <c r="P40" s="374">
        <f t="shared" si="22"/>
        <v>1</v>
      </c>
      <c r="Q40" s="1162">
        <v>1</v>
      </c>
      <c r="R40" s="506">
        <f t="shared" si="23"/>
        <v>0.75</v>
      </c>
      <c r="S40" s="1163">
        <v>1</v>
      </c>
      <c r="T40" s="1164"/>
      <c r="U40" s="1164">
        <v>1</v>
      </c>
      <c r="V40" s="1164"/>
      <c r="W40" s="549">
        <v>0.75</v>
      </c>
      <c r="X40" s="549"/>
      <c r="Y40" s="549"/>
      <c r="Z40" s="549"/>
      <c r="AA40" s="549"/>
      <c r="AB40" s="549"/>
      <c r="AC40" s="549"/>
      <c r="AD40" s="550"/>
      <c r="AE40" s="283"/>
      <c r="AF40" s="362"/>
      <c r="AG40" s="219"/>
      <c r="AH40" s="379"/>
      <c r="AI40" s="379"/>
      <c r="AJ40" s="284"/>
      <c r="AK40" s="27"/>
      <c r="AL40" s="28"/>
      <c r="AM40" s="28"/>
      <c r="AN40" s="25"/>
      <c r="AO40" s="522">
        <f t="shared" si="24"/>
        <v>5</v>
      </c>
      <c r="AP40" s="524">
        <f t="shared" si="24"/>
        <v>2</v>
      </c>
      <c r="AQ40" s="525">
        <f t="shared" si="21"/>
        <v>3</v>
      </c>
      <c r="AR40" s="635"/>
      <c r="AS40" s="349"/>
    </row>
    <row r="41" spans="1:45" s="140" customFormat="1" ht="17" hidden="1" customHeight="1">
      <c r="B41" s="1820"/>
      <c r="C41" s="176" t="s">
        <v>250</v>
      </c>
      <c r="D41" s="217" t="s">
        <v>42</v>
      </c>
      <c r="E41" s="533" t="s">
        <v>40</v>
      </c>
      <c r="F41" s="934" t="s">
        <v>610</v>
      </c>
      <c r="G41" s="928"/>
      <c r="H41" s="611">
        <v>45761</v>
      </c>
      <c r="I41" s="804">
        <v>46035</v>
      </c>
      <c r="J41" s="362"/>
      <c r="K41" s="219"/>
      <c r="L41" s="734"/>
      <c r="M41" s="734"/>
      <c r="N41" s="53"/>
      <c r="O41" s="145">
        <v>0.5</v>
      </c>
      <c r="P41" s="374">
        <f t="shared" si="22"/>
        <v>0.5</v>
      </c>
      <c r="Q41" s="1162">
        <v>1</v>
      </c>
      <c r="R41" s="506">
        <f t="shared" si="23"/>
        <v>0.75</v>
      </c>
      <c r="S41" s="1163">
        <v>1</v>
      </c>
      <c r="T41" s="1165"/>
      <c r="U41" s="1165">
        <v>1</v>
      </c>
      <c r="V41" s="1165"/>
      <c r="W41" s="1165">
        <v>1</v>
      </c>
      <c r="X41" s="1165"/>
      <c r="Y41" s="1165">
        <v>1</v>
      </c>
      <c r="Z41" s="1165"/>
      <c r="AA41" s="549">
        <v>1</v>
      </c>
      <c r="AB41" s="549"/>
      <c r="AC41" s="549">
        <v>1</v>
      </c>
      <c r="AD41" s="550"/>
      <c r="AE41" s="1166">
        <v>1</v>
      </c>
      <c r="AF41" s="1167"/>
      <c r="AG41" s="1164">
        <v>0.5</v>
      </c>
      <c r="AH41" s="1168"/>
      <c r="AI41" s="379"/>
      <c r="AJ41" s="284"/>
      <c r="AK41" s="27"/>
      <c r="AL41" s="28"/>
      <c r="AM41" s="28"/>
      <c r="AN41" s="25"/>
      <c r="AO41" s="522">
        <f t="shared" si="24"/>
        <v>9</v>
      </c>
      <c r="AP41" s="524">
        <f t="shared" si="24"/>
        <v>1.25</v>
      </c>
      <c r="AQ41" s="525">
        <f t="shared" si="21"/>
        <v>7.75</v>
      </c>
      <c r="AR41" s="635"/>
      <c r="AS41" s="349"/>
    </row>
    <row r="42" spans="1:45" s="140" customFormat="1" ht="17" hidden="1" customHeight="1">
      <c r="B42" s="1820"/>
      <c r="C42" s="904" t="s">
        <v>241</v>
      </c>
      <c r="D42" s="905" t="s">
        <v>42</v>
      </c>
      <c r="E42" s="533" t="s">
        <v>40</v>
      </c>
      <c r="F42" s="934" t="s">
        <v>665</v>
      </c>
      <c r="G42" s="929"/>
      <c r="H42" s="611">
        <v>45796</v>
      </c>
      <c r="I42" s="804">
        <v>45918</v>
      </c>
      <c r="J42" s="362"/>
      <c r="K42" s="219"/>
      <c r="L42" s="734"/>
      <c r="M42" s="734"/>
      <c r="N42" s="53"/>
      <c r="O42" s="145"/>
      <c r="P42" s="587"/>
      <c r="Q42" s="1162">
        <v>0.5</v>
      </c>
      <c r="R42" s="1169"/>
      <c r="S42" s="1163">
        <v>1</v>
      </c>
      <c r="T42" s="1164"/>
      <c r="U42" s="1164">
        <v>1</v>
      </c>
      <c r="V42" s="1164"/>
      <c r="W42" s="1164">
        <v>1</v>
      </c>
      <c r="X42" s="1170"/>
      <c r="Y42" s="1164">
        <v>0.5</v>
      </c>
      <c r="Z42" s="1164"/>
      <c r="AA42" s="1164"/>
      <c r="AB42" s="1164"/>
      <c r="AC42" s="549"/>
      <c r="AD42" s="550"/>
      <c r="AE42" s="283"/>
      <c r="AF42" s="362"/>
      <c r="AG42" s="219"/>
      <c r="AH42" s="379"/>
      <c r="AI42" s="379"/>
      <c r="AJ42" s="284"/>
      <c r="AK42" s="27"/>
      <c r="AL42" s="28"/>
      <c r="AM42" s="28"/>
      <c r="AN42" s="25"/>
      <c r="AO42" s="522">
        <f t="shared" si="24"/>
        <v>4</v>
      </c>
      <c r="AP42" s="524">
        <f t="shared" si="24"/>
        <v>0</v>
      </c>
      <c r="AQ42" s="525">
        <f t="shared" si="21"/>
        <v>4</v>
      </c>
      <c r="AR42" s="635"/>
      <c r="AS42" s="349"/>
    </row>
    <row r="43" spans="1:45" s="140" customFormat="1" ht="17" hidden="1" customHeight="1">
      <c r="B43" s="1820"/>
      <c r="C43" s="292" t="s">
        <v>242</v>
      </c>
      <c r="D43" s="905" t="s">
        <v>42</v>
      </c>
      <c r="E43" s="533" t="s">
        <v>40</v>
      </c>
      <c r="F43" s="934" t="s">
        <v>611</v>
      </c>
      <c r="G43" s="928"/>
      <c r="H43" s="611">
        <v>45761</v>
      </c>
      <c r="I43" s="804">
        <v>45821</v>
      </c>
      <c r="J43" s="362"/>
      <c r="K43" s="219"/>
      <c r="L43" s="734"/>
      <c r="M43" s="583"/>
      <c r="N43" s="53"/>
      <c r="O43" s="145">
        <v>0.5</v>
      </c>
      <c r="P43" s="374">
        <f t="shared" si="22"/>
        <v>0.5</v>
      </c>
      <c r="Q43" s="1162">
        <v>1</v>
      </c>
      <c r="R43" s="506">
        <f>$Q$1*Q43</f>
        <v>0.75</v>
      </c>
      <c r="S43" s="1163">
        <v>0.5</v>
      </c>
      <c r="T43" s="1164"/>
      <c r="U43" s="1164"/>
      <c r="V43" s="1164"/>
      <c r="W43" s="1164"/>
      <c r="X43" s="1164"/>
      <c r="Y43" s="1164"/>
      <c r="Z43" s="1164"/>
      <c r="AA43" s="549"/>
      <c r="AB43" s="549"/>
      <c r="AC43" s="549"/>
      <c r="AD43" s="550"/>
      <c r="AE43" s="283"/>
      <c r="AF43" s="362"/>
      <c r="AG43" s="219"/>
      <c r="AH43" s="379"/>
      <c r="AI43" s="379"/>
      <c r="AJ43" s="284"/>
      <c r="AK43" s="27"/>
      <c r="AL43" s="28"/>
      <c r="AM43" s="28"/>
      <c r="AN43" s="25"/>
      <c r="AO43" s="522">
        <f t="shared" si="24"/>
        <v>2</v>
      </c>
      <c r="AP43" s="524">
        <f t="shared" si="24"/>
        <v>1.25</v>
      </c>
      <c r="AQ43" s="525">
        <f t="shared" si="21"/>
        <v>0.75</v>
      </c>
      <c r="AR43" s="635"/>
      <c r="AS43" s="349"/>
    </row>
    <row r="44" spans="1:45" s="140" customFormat="1" ht="17" hidden="1" customHeight="1">
      <c r="B44" s="1820"/>
      <c r="C44" s="858" t="s">
        <v>667</v>
      </c>
      <c r="D44" s="905" t="s">
        <v>42</v>
      </c>
      <c r="E44" s="533" t="s">
        <v>40</v>
      </c>
      <c r="F44" s="934" t="s">
        <v>666</v>
      </c>
      <c r="G44" s="929"/>
      <c r="H44" s="611">
        <v>45785</v>
      </c>
      <c r="I44" s="804">
        <v>45906</v>
      </c>
      <c r="J44" s="362"/>
      <c r="K44" s="219"/>
      <c r="L44" s="734"/>
      <c r="M44" s="734"/>
      <c r="N44" s="53"/>
      <c r="O44" s="145"/>
      <c r="P44" s="587"/>
      <c r="Q44" s="1162">
        <v>0.8</v>
      </c>
      <c r="R44" s="1169"/>
      <c r="S44" s="1163">
        <v>1</v>
      </c>
      <c r="T44" s="1170"/>
      <c r="U44" s="1164">
        <v>1</v>
      </c>
      <c r="V44" s="1164"/>
      <c r="W44" s="1164">
        <v>1</v>
      </c>
      <c r="X44" s="1164"/>
      <c r="Y44" s="1164">
        <v>0.2</v>
      </c>
      <c r="Z44" s="1164"/>
      <c r="AA44" s="549"/>
      <c r="AB44" s="549"/>
      <c r="AC44" s="549"/>
      <c r="AD44" s="550"/>
      <c r="AE44" s="283"/>
      <c r="AF44" s="362"/>
      <c r="AG44" s="219"/>
      <c r="AH44" s="379"/>
      <c r="AI44" s="379"/>
      <c r="AJ44" s="284"/>
      <c r="AK44" s="27"/>
      <c r="AL44" s="28"/>
      <c r="AM44" s="28"/>
      <c r="AN44" s="25"/>
      <c r="AO44" s="522">
        <f t="shared" si="24"/>
        <v>4</v>
      </c>
      <c r="AP44" s="524">
        <f t="shared" si="24"/>
        <v>0</v>
      </c>
      <c r="AQ44" s="525">
        <f t="shared" si="21"/>
        <v>4</v>
      </c>
      <c r="AR44" s="635"/>
      <c r="AS44" s="349"/>
    </row>
    <row r="45" spans="1:45" s="140" customFormat="1" ht="17" hidden="1" customHeight="1" thickBot="1">
      <c r="B45" s="1829"/>
      <c r="C45" s="694" t="s">
        <v>245</v>
      </c>
      <c r="D45" s="935" t="s">
        <v>43</v>
      </c>
      <c r="E45" s="860" t="s">
        <v>40</v>
      </c>
      <c r="F45" s="783" t="s">
        <v>612</v>
      </c>
      <c r="G45" s="928"/>
      <c r="H45" s="611">
        <v>45785</v>
      </c>
      <c r="I45" s="804">
        <v>45906</v>
      </c>
      <c r="J45" s="362"/>
      <c r="K45" s="219"/>
      <c r="L45" s="219"/>
      <c r="M45" s="219"/>
      <c r="N45" s="53"/>
      <c r="O45" s="145"/>
      <c r="P45" s="587"/>
      <c r="Q45" s="1162">
        <v>0.75</v>
      </c>
      <c r="R45" s="1169"/>
      <c r="S45" s="1163">
        <v>1</v>
      </c>
      <c r="T45" s="1164"/>
      <c r="U45" s="1164">
        <v>1</v>
      </c>
      <c r="V45" s="1164"/>
      <c r="W45" s="1164">
        <v>1</v>
      </c>
      <c r="X45" s="1164"/>
      <c r="Y45" s="1164">
        <v>0.2</v>
      </c>
      <c r="Z45" s="1164"/>
      <c r="AA45" s="549"/>
      <c r="AB45" s="549"/>
      <c r="AC45" s="549"/>
      <c r="AD45" s="550"/>
      <c r="AE45" s="283"/>
      <c r="AF45" s="362"/>
      <c r="AG45" s="219"/>
      <c r="AH45" s="379"/>
      <c r="AI45" s="379"/>
      <c r="AJ45" s="284"/>
      <c r="AK45" s="27"/>
      <c r="AL45" s="28"/>
      <c r="AM45" s="28"/>
      <c r="AN45" s="25"/>
      <c r="AO45" s="522">
        <f t="shared" si="24"/>
        <v>3.95</v>
      </c>
      <c r="AP45" s="524">
        <f t="shared" si="24"/>
        <v>0</v>
      </c>
      <c r="AQ45" s="525">
        <f t="shared" si="21"/>
        <v>3.95</v>
      </c>
      <c r="AR45" s="635"/>
      <c r="AS45" s="727"/>
    </row>
    <row r="46" spans="1:45" s="150" customFormat="1" ht="17" hidden="1" customHeight="1" thickBot="1">
      <c r="A46" s="140"/>
      <c r="B46" s="1829"/>
      <c r="C46" s="930" t="s">
        <v>16</v>
      </c>
      <c r="D46" s="931"/>
      <c r="E46" s="932"/>
      <c r="F46" s="877"/>
      <c r="G46" s="602"/>
      <c r="H46" s="603"/>
      <c r="I46" s="356"/>
      <c r="J46" s="159">
        <f t="shared" ref="J46:Q46" si="26">SUM(J30:J45)</f>
        <v>0</v>
      </c>
      <c r="K46" s="178">
        <f t="shared" si="26"/>
        <v>3.25</v>
      </c>
      <c r="L46" s="178">
        <f t="shared" si="26"/>
        <v>4.25</v>
      </c>
      <c r="M46" s="178">
        <f t="shared" si="26"/>
        <v>4.75</v>
      </c>
      <c r="N46" s="178">
        <f t="shared" si="26"/>
        <v>5.75</v>
      </c>
      <c r="O46" s="178">
        <f t="shared" si="26"/>
        <v>8</v>
      </c>
      <c r="P46" s="178">
        <f t="shared" si="26"/>
        <v>9</v>
      </c>
      <c r="Q46" s="377">
        <f t="shared" si="26"/>
        <v>11.05</v>
      </c>
      <c r="R46" s="505"/>
      <c r="S46" s="540">
        <f>SUM(S30:S45)</f>
        <v>11.5</v>
      </c>
      <c r="T46" s="541"/>
      <c r="U46" s="541">
        <f>SUM(U30:U45)</f>
        <v>11</v>
      </c>
      <c r="V46" s="541"/>
      <c r="W46" s="541">
        <f>SUM(W30:W45)</f>
        <v>10</v>
      </c>
      <c r="X46" s="541"/>
      <c r="Y46" s="541">
        <f>SUM(Y30:Y45)</f>
        <v>5.9</v>
      </c>
      <c r="Z46" s="541"/>
      <c r="AA46" s="541">
        <f>SUM(AA30:AA45)</f>
        <v>5</v>
      </c>
      <c r="AB46" s="541"/>
      <c r="AC46" s="541">
        <f>SUM(AC30:AC45)</f>
        <v>5</v>
      </c>
      <c r="AD46" s="542"/>
      <c r="AE46" s="161">
        <f>SUM(AE30:AE45)</f>
        <v>4.5</v>
      </c>
      <c r="AF46" s="159"/>
      <c r="AG46" s="178">
        <f>SUM(AG30:AG45)</f>
        <v>3.5</v>
      </c>
      <c r="AH46" s="377"/>
      <c r="AI46" s="377">
        <f>SUM(AI30:AI45)</f>
        <v>3</v>
      </c>
      <c r="AJ46" s="185"/>
      <c r="AK46" s="161">
        <f>SUM(AK30:AK45)</f>
        <v>1.5</v>
      </c>
      <c r="AL46" s="178"/>
      <c r="AM46" s="178">
        <f>SUM(AM30:AM45)</f>
        <v>0</v>
      </c>
      <c r="AN46" s="185"/>
      <c r="AO46" s="514">
        <f>SUM(AO30:AO45)</f>
        <v>84.95</v>
      </c>
      <c r="AP46" s="515" t="e">
        <f>SUM(AP30:AP45)</f>
        <v>#REF!</v>
      </c>
      <c r="AQ46" s="516" t="e">
        <f>SUM(AQ30:AQ45)</f>
        <v>#REF!</v>
      </c>
      <c r="AR46" s="637"/>
      <c r="AS46" s="349"/>
    </row>
    <row r="47" spans="1:45" s="140" customFormat="1" ht="17" customHeight="1" thickBot="1">
      <c r="B47" s="1830" t="s">
        <v>39</v>
      </c>
      <c r="C47" s="153" t="s">
        <v>146</v>
      </c>
      <c r="D47" s="628" t="s">
        <v>13</v>
      </c>
      <c r="E47" s="629" t="s">
        <v>101</v>
      </c>
      <c r="F47" s="630" t="s">
        <v>274</v>
      </c>
      <c r="G47" s="630"/>
      <c r="H47" s="632">
        <v>45705</v>
      </c>
      <c r="I47" s="805">
        <v>46068</v>
      </c>
      <c r="J47" s="693"/>
      <c r="K47" s="154"/>
      <c r="L47" s="154">
        <v>1</v>
      </c>
      <c r="M47" s="154">
        <v>1</v>
      </c>
      <c r="N47" s="990">
        <f t="shared" ref="N47" si="27">M47*N$1</f>
        <v>1</v>
      </c>
      <c r="O47" s="991">
        <v>1</v>
      </c>
      <c r="P47" s="154">
        <f t="shared" ref="P47" si="28">$P$1*O47</f>
        <v>1</v>
      </c>
      <c r="Q47" s="1171">
        <v>1</v>
      </c>
      <c r="R47" s="692">
        <f>$Q$1*Q47</f>
        <v>0.75</v>
      </c>
      <c r="S47" s="1172">
        <v>1</v>
      </c>
      <c r="T47" s="1173"/>
      <c r="U47" s="1173">
        <v>1</v>
      </c>
      <c r="V47" s="1173"/>
      <c r="W47" s="1173">
        <v>1</v>
      </c>
      <c r="X47" s="1173"/>
      <c r="Y47" s="1173">
        <v>1</v>
      </c>
      <c r="Z47" s="1173"/>
      <c r="AA47" s="1173">
        <v>1</v>
      </c>
      <c r="AB47" s="1173"/>
      <c r="AC47" s="1173">
        <v>1</v>
      </c>
      <c r="AD47" s="1174"/>
      <c r="AE47" s="1175">
        <v>1</v>
      </c>
      <c r="AF47" s="1176"/>
      <c r="AG47" s="1177">
        <v>1</v>
      </c>
      <c r="AH47" s="1171"/>
      <c r="AI47" s="1171">
        <v>1</v>
      </c>
      <c r="AJ47" s="510"/>
      <c r="AK47" s="1175">
        <v>0.5</v>
      </c>
      <c r="AL47" s="1177"/>
      <c r="AM47" s="1177"/>
      <c r="AN47" s="1178"/>
      <c r="AO47" s="517">
        <f t="shared" ref="AO47:AP55" si="29">+K47+M47+O47+Q47+S47+U47+W47+Y47+AA47+AC47+AE47+AG47+AI47+AK47+AM47</f>
        <v>12.5</v>
      </c>
      <c r="AP47" s="524">
        <f t="shared" si="29"/>
        <v>3.75</v>
      </c>
      <c r="AQ47" s="525">
        <f t="shared" ref="AQ47:AQ55" si="30">AO47-AP47</f>
        <v>8.75</v>
      </c>
      <c r="AR47" s="639"/>
      <c r="AS47" s="349"/>
    </row>
    <row r="48" spans="1:45" s="140" customFormat="1" ht="17" hidden="1" customHeight="1">
      <c r="B48" s="1831"/>
      <c r="C48" s="170" t="s">
        <v>92</v>
      </c>
      <c r="D48" s="17" t="s">
        <v>13</v>
      </c>
      <c r="E48" s="490" t="s">
        <v>93</v>
      </c>
      <c r="F48" s="1389" t="s">
        <v>302</v>
      </c>
      <c r="G48" s="1389"/>
      <c r="H48" s="1390">
        <v>45803</v>
      </c>
      <c r="I48" s="803">
        <v>46112</v>
      </c>
      <c r="J48" s="580"/>
      <c r="K48" s="4"/>
      <c r="L48" s="4"/>
      <c r="M48" s="4"/>
      <c r="N48" s="53"/>
      <c r="O48" s="212"/>
      <c r="P48" s="390"/>
      <c r="Q48" s="1179">
        <v>0.25</v>
      </c>
      <c r="R48" s="1180"/>
      <c r="S48" s="1150">
        <v>1</v>
      </c>
      <c r="T48" s="1128"/>
      <c r="U48" s="1128">
        <v>1</v>
      </c>
      <c r="V48" s="1128"/>
      <c r="W48" s="1128">
        <v>1</v>
      </c>
      <c r="X48" s="1128"/>
      <c r="Y48" s="1128">
        <v>1</v>
      </c>
      <c r="Z48" s="1128"/>
      <c r="AA48" s="1128">
        <v>1</v>
      </c>
      <c r="AB48" s="1128"/>
      <c r="AC48" s="1128">
        <v>1</v>
      </c>
      <c r="AD48" s="1181"/>
      <c r="AE48" s="1129">
        <v>1</v>
      </c>
      <c r="AF48" s="1143"/>
      <c r="AG48" s="1130">
        <v>1</v>
      </c>
      <c r="AH48" s="1131"/>
      <c r="AI48" s="1131">
        <v>1</v>
      </c>
      <c r="AJ48" s="1142"/>
      <c r="AK48" s="1129">
        <v>1</v>
      </c>
      <c r="AL48" s="1182"/>
      <c r="AM48" s="1182">
        <v>0.75</v>
      </c>
      <c r="AN48" s="1183"/>
      <c r="AO48" s="522">
        <f t="shared" si="29"/>
        <v>11</v>
      </c>
      <c r="AP48" s="524">
        <f t="shared" si="29"/>
        <v>0</v>
      </c>
      <c r="AQ48" s="525">
        <f t="shared" si="30"/>
        <v>11</v>
      </c>
      <c r="AR48" s="639"/>
      <c r="AS48" s="349"/>
    </row>
    <row r="49" spans="1:45" s="140" customFormat="1" ht="17" hidden="1" customHeight="1">
      <c r="B49" s="1831"/>
      <c r="C49" s="171" t="s">
        <v>94</v>
      </c>
      <c r="D49" s="1" t="s">
        <v>13</v>
      </c>
      <c r="E49" s="350" t="s">
        <v>93</v>
      </c>
      <c r="F49" s="599" t="s">
        <v>74</v>
      </c>
      <c r="G49" s="613"/>
      <c r="H49" s="614">
        <v>45946</v>
      </c>
      <c r="I49" s="806">
        <v>46096</v>
      </c>
      <c r="J49" s="361"/>
      <c r="K49" s="3"/>
      <c r="L49" s="3"/>
      <c r="M49" s="3"/>
      <c r="N49" s="53"/>
      <c r="O49" s="145"/>
      <c r="P49" s="378"/>
      <c r="Q49" s="1131"/>
      <c r="R49" s="1184"/>
      <c r="S49" s="1150"/>
      <c r="T49" s="1128"/>
      <c r="U49" s="1128"/>
      <c r="V49" s="1128"/>
      <c r="W49" s="1128"/>
      <c r="X49" s="1128"/>
      <c r="Y49" s="1128"/>
      <c r="Z49" s="1128"/>
      <c r="AA49" s="1128">
        <v>0.5</v>
      </c>
      <c r="AB49" s="1128"/>
      <c r="AC49" s="1128">
        <v>1</v>
      </c>
      <c r="AD49" s="1181"/>
      <c r="AE49" s="1129">
        <v>1</v>
      </c>
      <c r="AF49" s="1143"/>
      <c r="AG49" s="1130">
        <v>1</v>
      </c>
      <c r="AH49" s="1131"/>
      <c r="AI49" s="1131">
        <v>1</v>
      </c>
      <c r="AJ49" s="1142"/>
      <c r="AK49" s="1129">
        <v>0.5</v>
      </c>
      <c r="AL49" s="1130"/>
      <c r="AM49" s="1130"/>
      <c r="AN49" s="1142"/>
      <c r="AO49" s="522">
        <f t="shared" si="29"/>
        <v>5</v>
      </c>
      <c r="AP49" s="524">
        <f t="shared" si="29"/>
        <v>0</v>
      </c>
      <c r="AQ49" s="525">
        <f t="shared" si="30"/>
        <v>5</v>
      </c>
      <c r="AR49" s="639"/>
      <c r="AS49" s="349"/>
    </row>
    <row r="50" spans="1:45" s="140" customFormat="1" ht="17" hidden="1" customHeight="1">
      <c r="B50" s="1831"/>
      <c r="C50" s="1806" t="s">
        <v>539</v>
      </c>
      <c r="D50" s="1" t="s">
        <v>13</v>
      </c>
      <c r="E50" s="350" t="s">
        <v>93</v>
      </c>
      <c r="F50" s="613" t="s">
        <v>405</v>
      </c>
      <c r="G50" s="1389"/>
      <c r="H50" s="1390">
        <v>45779</v>
      </c>
      <c r="I50" s="800">
        <v>46096</v>
      </c>
      <c r="J50" s="361"/>
      <c r="K50" s="3"/>
      <c r="L50" s="3"/>
      <c r="M50" s="3"/>
      <c r="N50" s="53"/>
      <c r="O50" s="145"/>
      <c r="P50" s="378"/>
      <c r="Q50" s="1131">
        <v>1</v>
      </c>
      <c r="R50" s="506">
        <f>$Q$1*Q50</f>
        <v>0.75</v>
      </c>
      <c r="S50" s="1150">
        <v>1</v>
      </c>
      <c r="T50" s="1128"/>
      <c r="U50" s="1128">
        <v>1</v>
      </c>
      <c r="V50" s="1128"/>
      <c r="W50" s="1128">
        <v>1</v>
      </c>
      <c r="X50" s="1128"/>
      <c r="Y50" s="1128">
        <v>1</v>
      </c>
      <c r="Z50" s="1128"/>
      <c r="AA50" s="1128">
        <v>1</v>
      </c>
      <c r="AB50" s="1128"/>
      <c r="AC50" s="1128">
        <v>1</v>
      </c>
      <c r="AD50" s="1181"/>
      <c r="AE50" s="1129">
        <v>1</v>
      </c>
      <c r="AF50" s="1143"/>
      <c r="AG50" s="1130">
        <v>1</v>
      </c>
      <c r="AH50" s="1131"/>
      <c r="AI50" s="1131">
        <v>1</v>
      </c>
      <c r="AJ50" s="1142"/>
      <c r="AK50" s="1129">
        <v>0.5</v>
      </c>
      <c r="AL50" s="1130"/>
      <c r="AM50" s="1130"/>
      <c r="AN50" s="1142"/>
      <c r="AO50" s="522">
        <f t="shared" si="29"/>
        <v>10.5</v>
      </c>
      <c r="AP50" s="524">
        <f t="shared" si="29"/>
        <v>0.75</v>
      </c>
      <c r="AQ50" s="525">
        <f t="shared" si="30"/>
        <v>9.75</v>
      </c>
      <c r="AR50" s="638"/>
      <c r="AS50" s="349"/>
    </row>
    <row r="51" spans="1:45" s="140" customFormat="1" ht="17" hidden="1" customHeight="1">
      <c r="B51" s="1831"/>
      <c r="C51" s="1807"/>
      <c r="D51" s="1" t="s">
        <v>13</v>
      </c>
      <c r="E51" s="350" t="s">
        <v>93</v>
      </c>
      <c r="F51" s="613" t="s">
        <v>302</v>
      </c>
      <c r="G51" s="613"/>
      <c r="H51" s="614">
        <v>45810</v>
      </c>
      <c r="I51" s="800">
        <v>46096</v>
      </c>
      <c r="J51" s="361"/>
      <c r="K51" s="3"/>
      <c r="L51" s="3"/>
      <c r="M51" s="3"/>
      <c r="N51" s="53"/>
      <c r="O51" s="145"/>
      <c r="P51" s="378"/>
      <c r="Q51" s="1131"/>
      <c r="R51" s="1184"/>
      <c r="S51" s="1150">
        <v>1</v>
      </c>
      <c r="T51" s="1128"/>
      <c r="U51" s="1128">
        <v>1</v>
      </c>
      <c r="V51" s="1128"/>
      <c r="W51" s="1128">
        <v>1</v>
      </c>
      <c r="X51" s="1128"/>
      <c r="Y51" s="1128">
        <v>1</v>
      </c>
      <c r="Z51" s="1128"/>
      <c r="AA51" s="1128">
        <v>1</v>
      </c>
      <c r="AB51" s="1128"/>
      <c r="AC51" s="1128">
        <v>1</v>
      </c>
      <c r="AD51" s="1181"/>
      <c r="AE51" s="1129">
        <v>1</v>
      </c>
      <c r="AF51" s="1143"/>
      <c r="AG51" s="1130">
        <v>1</v>
      </c>
      <c r="AH51" s="1131"/>
      <c r="AI51" s="1131">
        <v>1</v>
      </c>
      <c r="AJ51" s="1142"/>
      <c r="AK51" s="1129">
        <v>0.5</v>
      </c>
      <c r="AL51" s="1130"/>
      <c r="AM51" s="1130"/>
      <c r="AN51" s="1142"/>
      <c r="AO51" s="522">
        <f t="shared" si="29"/>
        <v>9.5</v>
      </c>
      <c r="AP51" s="524">
        <f t="shared" si="29"/>
        <v>0</v>
      </c>
      <c r="AQ51" s="525">
        <f t="shared" si="30"/>
        <v>9.5</v>
      </c>
      <c r="AR51" s="638"/>
      <c r="AS51" s="349"/>
    </row>
    <row r="52" spans="1:45" s="140" customFormat="1" ht="17" hidden="1" customHeight="1">
      <c r="B52" s="1831"/>
      <c r="C52" s="1807"/>
      <c r="D52" s="1" t="s">
        <v>19</v>
      </c>
      <c r="E52" s="350" t="s">
        <v>93</v>
      </c>
      <c r="F52" s="613" t="s">
        <v>302</v>
      </c>
      <c r="G52" s="613"/>
      <c r="H52" s="614">
        <v>45810</v>
      </c>
      <c r="I52" s="800">
        <v>46096</v>
      </c>
      <c r="J52" s="361"/>
      <c r="K52" s="3"/>
      <c r="L52" s="3"/>
      <c r="M52" s="3"/>
      <c r="N52" s="53"/>
      <c r="O52" s="145"/>
      <c r="P52" s="378"/>
      <c r="Q52" s="1131"/>
      <c r="R52" s="1184"/>
      <c r="S52" s="1150">
        <v>1</v>
      </c>
      <c r="T52" s="1128"/>
      <c r="U52" s="1128">
        <v>1</v>
      </c>
      <c r="V52" s="1128"/>
      <c r="W52" s="1128">
        <v>1</v>
      </c>
      <c r="X52" s="1128"/>
      <c r="Y52" s="1128">
        <v>1</v>
      </c>
      <c r="Z52" s="1128"/>
      <c r="AA52" s="1128">
        <v>1</v>
      </c>
      <c r="AB52" s="1128"/>
      <c r="AC52" s="1128">
        <v>1</v>
      </c>
      <c r="AD52" s="1181"/>
      <c r="AE52" s="1129">
        <v>1</v>
      </c>
      <c r="AF52" s="1143"/>
      <c r="AG52" s="1130">
        <v>1</v>
      </c>
      <c r="AH52" s="1131"/>
      <c r="AI52" s="1131">
        <v>1</v>
      </c>
      <c r="AJ52" s="1142"/>
      <c r="AK52" s="1129">
        <v>0.5</v>
      </c>
      <c r="AL52" s="1130"/>
      <c r="AM52" s="1130"/>
      <c r="AN52" s="1142"/>
      <c r="AO52" s="522">
        <f t="shared" si="29"/>
        <v>9.5</v>
      </c>
      <c r="AP52" s="524">
        <f t="shared" si="29"/>
        <v>0</v>
      </c>
      <c r="AQ52" s="525">
        <f t="shared" si="30"/>
        <v>9.5</v>
      </c>
      <c r="AR52" s="638"/>
      <c r="AS52" s="349"/>
    </row>
    <row r="53" spans="1:45" s="140" customFormat="1" ht="17" hidden="1" customHeight="1">
      <c r="B53" s="1831"/>
      <c r="C53" s="1807"/>
      <c r="D53" s="1" t="s">
        <v>21</v>
      </c>
      <c r="E53" s="350" t="s">
        <v>93</v>
      </c>
      <c r="F53" s="613" t="s">
        <v>302</v>
      </c>
      <c r="G53" s="613"/>
      <c r="H53" s="614">
        <v>45810</v>
      </c>
      <c r="I53" s="800">
        <v>46096</v>
      </c>
      <c r="J53" s="361"/>
      <c r="K53" s="3"/>
      <c r="L53" s="3"/>
      <c r="M53" s="3"/>
      <c r="N53" s="53"/>
      <c r="O53" s="145"/>
      <c r="P53" s="378"/>
      <c r="Q53" s="1131"/>
      <c r="R53" s="1184"/>
      <c r="S53" s="1150">
        <v>1</v>
      </c>
      <c r="T53" s="1128"/>
      <c r="U53" s="1128">
        <v>1</v>
      </c>
      <c r="V53" s="1128"/>
      <c r="W53" s="1128">
        <v>1</v>
      </c>
      <c r="X53" s="1128"/>
      <c r="Y53" s="1128">
        <v>1</v>
      </c>
      <c r="Z53" s="1128"/>
      <c r="AA53" s="1128">
        <v>1</v>
      </c>
      <c r="AB53" s="1128"/>
      <c r="AC53" s="1128">
        <v>1</v>
      </c>
      <c r="AD53" s="1181"/>
      <c r="AE53" s="1129">
        <v>1</v>
      </c>
      <c r="AF53" s="1143"/>
      <c r="AG53" s="1130">
        <v>1</v>
      </c>
      <c r="AH53" s="1131"/>
      <c r="AI53" s="1131">
        <v>1</v>
      </c>
      <c r="AJ53" s="1142"/>
      <c r="AK53" s="1129">
        <v>0.5</v>
      </c>
      <c r="AL53" s="1130"/>
      <c r="AM53" s="1130"/>
      <c r="AN53" s="1142"/>
      <c r="AO53" s="522">
        <f t="shared" si="29"/>
        <v>9.5</v>
      </c>
      <c r="AP53" s="524">
        <f t="shared" si="29"/>
        <v>0</v>
      </c>
      <c r="AQ53" s="525">
        <f t="shared" si="30"/>
        <v>9.5</v>
      </c>
      <c r="AR53" s="638"/>
      <c r="AS53" s="349"/>
    </row>
    <row r="54" spans="1:45" s="140" customFormat="1" ht="17" hidden="1" customHeight="1">
      <c r="B54" s="1831"/>
      <c r="C54" s="1808"/>
      <c r="D54" s="44" t="s">
        <v>22</v>
      </c>
      <c r="E54" s="350" t="s">
        <v>93</v>
      </c>
      <c r="F54" s="601" t="s">
        <v>302</v>
      </c>
      <c r="G54" s="601"/>
      <c r="H54" s="600">
        <v>45810</v>
      </c>
      <c r="I54" s="800">
        <v>46096</v>
      </c>
      <c r="J54" s="363"/>
      <c r="K54" s="5"/>
      <c r="L54" s="5"/>
      <c r="M54" s="5"/>
      <c r="N54" s="53"/>
      <c r="O54" s="145"/>
      <c r="P54" s="380"/>
      <c r="Q54" s="1139"/>
      <c r="R54" s="1185"/>
      <c r="S54" s="1150">
        <v>1</v>
      </c>
      <c r="T54" s="1128"/>
      <c r="U54" s="1128">
        <v>1</v>
      </c>
      <c r="V54" s="1128"/>
      <c r="W54" s="1128">
        <v>1</v>
      </c>
      <c r="X54" s="1128"/>
      <c r="Y54" s="1128">
        <v>1</v>
      </c>
      <c r="Z54" s="1128"/>
      <c r="AA54" s="1128">
        <v>1</v>
      </c>
      <c r="AB54" s="1128"/>
      <c r="AC54" s="1128">
        <v>1</v>
      </c>
      <c r="AD54" s="1181"/>
      <c r="AE54" s="1129">
        <v>1</v>
      </c>
      <c r="AF54" s="1143"/>
      <c r="AG54" s="1130">
        <v>1</v>
      </c>
      <c r="AH54" s="1131"/>
      <c r="AI54" s="1131">
        <v>1</v>
      </c>
      <c r="AJ54" s="1142"/>
      <c r="AK54" s="1129">
        <v>0.5</v>
      </c>
      <c r="AL54" s="1138"/>
      <c r="AM54" s="1138"/>
      <c r="AN54" s="1140"/>
      <c r="AO54" s="522">
        <f t="shared" si="29"/>
        <v>9.5</v>
      </c>
      <c r="AP54" s="524">
        <f t="shared" si="29"/>
        <v>0</v>
      </c>
      <c r="AQ54" s="525">
        <f t="shared" si="30"/>
        <v>9.5</v>
      </c>
      <c r="AR54" s="638"/>
      <c r="AS54" s="349"/>
    </row>
    <row r="55" spans="1:45" s="140" customFormat="1" ht="17" hidden="1" customHeight="1" thickBot="1">
      <c r="B55" s="1831"/>
      <c r="C55" s="572" t="s">
        <v>538</v>
      </c>
      <c r="D55" s="44" t="s">
        <v>19</v>
      </c>
      <c r="E55" s="491" t="s">
        <v>93</v>
      </c>
      <c r="F55" s="601" t="s">
        <v>406</v>
      </c>
      <c r="G55" s="604"/>
      <c r="H55" s="615">
        <v>45824</v>
      </c>
      <c r="I55" s="807">
        <v>45976</v>
      </c>
      <c r="J55" s="363"/>
      <c r="K55" s="5"/>
      <c r="L55" s="5"/>
      <c r="M55" s="5"/>
      <c r="N55" s="53"/>
      <c r="O55" s="145"/>
      <c r="P55" s="380"/>
      <c r="Q55" s="1139"/>
      <c r="R55" s="1185"/>
      <c r="S55" s="1141">
        <v>0.5</v>
      </c>
      <c r="T55" s="1134"/>
      <c r="U55" s="1134">
        <v>1</v>
      </c>
      <c r="V55" s="1134"/>
      <c r="W55" s="1134">
        <v>1</v>
      </c>
      <c r="X55" s="1134"/>
      <c r="Y55" s="1134">
        <v>1</v>
      </c>
      <c r="Z55" s="1134"/>
      <c r="AA55" s="1134">
        <v>1</v>
      </c>
      <c r="AB55" s="1134"/>
      <c r="AC55" s="1134">
        <v>0.5</v>
      </c>
      <c r="AD55" s="1135"/>
      <c r="AE55" s="1136"/>
      <c r="AF55" s="1137"/>
      <c r="AG55" s="1138"/>
      <c r="AH55" s="1139"/>
      <c r="AI55" s="1139"/>
      <c r="AJ55" s="1140"/>
      <c r="AK55" s="1136"/>
      <c r="AL55" s="1138"/>
      <c r="AM55" s="1138"/>
      <c r="AN55" s="1140"/>
      <c r="AO55" s="522">
        <f t="shared" si="29"/>
        <v>5</v>
      </c>
      <c r="AP55" s="524">
        <f t="shared" si="29"/>
        <v>0</v>
      </c>
      <c r="AQ55" s="525">
        <f t="shared" si="30"/>
        <v>5</v>
      </c>
      <c r="AR55" s="639"/>
      <c r="AS55" s="349"/>
    </row>
    <row r="56" spans="1:45" s="150" customFormat="1" ht="17" hidden="1" customHeight="1" thickBot="1">
      <c r="A56" s="140"/>
      <c r="B56" s="1832"/>
      <c r="C56" s="489" t="s">
        <v>16</v>
      </c>
      <c r="D56" s="157"/>
      <c r="E56" s="437"/>
      <c r="F56" s="602"/>
      <c r="G56" s="602"/>
      <c r="H56" s="603"/>
      <c r="I56" s="356"/>
      <c r="J56" s="159">
        <f t="shared" ref="J56" si="31">SUM(J48:J55)</f>
        <v>0</v>
      </c>
      <c r="K56" s="159">
        <f>SUM(K47:K55)</f>
        <v>0</v>
      </c>
      <c r="L56" s="159">
        <f>SUM(L47:L55)</f>
        <v>1</v>
      </c>
      <c r="M56" s="178">
        <f t="shared" ref="M56:AG56" si="32">SUM(M47:M55)</f>
        <v>1</v>
      </c>
      <c r="N56" s="178">
        <f t="shared" si="32"/>
        <v>1</v>
      </c>
      <c r="O56" s="198">
        <f t="shared" si="32"/>
        <v>1</v>
      </c>
      <c r="P56" s="198">
        <f t="shared" si="32"/>
        <v>1</v>
      </c>
      <c r="Q56" s="699">
        <f t="shared" si="32"/>
        <v>2.25</v>
      </c>
      <c r="R56" s="507"/>
      <c r="S56" s="540">
        <f t="shared" si="32"/>
        <v>7.5</v>
      </c>
      <c r="T56" s="541"/>
      <c r="U56" s="541">
        <f t="shared" si="32"/>
        <v>8</v>
      </c>
      <c r="V56" s="541"/>
      <c r="W56" s="541">
        <f t="shared" si="32"/>
        <v>8</v>
      </c>
      <c r="X56" s="541"/>
      <c r="Y56" s="541">
        <f t="shared" si="32"/>
        <v>8</v>
      </c>
      <c r="Z56" s="541"/>
      <c r="AA56" s="541">
        <f t="shared" si="32"/>
        <v>8.5</v>
      </c>
      <c r="AB56" s="541"/>
      <c r="AC56" s="541">
        <f t="shared" si="32"/>
        <v>8.5</v>
      </c>
      <c r="AD56" s="542"/>
      <c r="AE56" s="161">
        <f t="shared" si="32"/>
        <v>8</v>
      </c>
      <c r="AF56" s="159"/>
      <c r="AG56" s="159">
        <f t="shared" si="32"/>
        <v>8</v>
      </c>
      <c r="AH56" s="377"/>
      <c r="AI56" s="377">
        <f t="shared" ref="AI56" si="33">SUM(AI47:AI55)</f>
        <v>8</v>
      </c>
      <c r="AJ56" s="185"/>
      <c r="AK56" s="161">
        <f t="shared" ref="AK56" si="34">SUM(AK47:AK55)</f>
        <v>4.5</v>
      </c>
      <c r="AL56" s="178"/>
      <c r="AM56" s="178">
        <f t="shared" ref="AM56" si="35">SUM(AM47:AM55)</f>
        <v>0.75</v>
      </c>
      <c r="AN56" s="185"/>
      <c r="AO56" s="161">
        <f>+SUM(AO47:AO55)</f>
        <v>82</v>
      </c>
      <c r="AP56" s="178">
        <f t="shared" ref="AP56:AQ56" si="36">+SUM(AP47:AP55)</f>
        <v>4.5</v>
      </c>
      <c r="AQ56" s="185">
        <f t="shared" si="36"/>
        <v>77.5</v>
      </c>
      <c r="AR56" s="637"/>
      <c r="AS56" s="349"/>
    </row>
    <row r="57" spans="1:45" s="140" customFormat="1" ht="17" customHeight="1">
      <c r="B57" s="1876" t="s">
        <v>203</v>
      </c>
      <c r="C57" s="167" t="s">
        <v>504</v>
      </c>
      <c r="D57" s="631" t="s">
        <v>13</v>
      </c>
      <c r="E57" s="493" t="s">
        <v>101</v>
      </c>
      <c r="F57" s="612" t="s">
        <v>275</v>
      </c>
      <c r="G57" s="612"/>
      <c r="H57" s="607">
        <v>45691</v>
      </c>
      <c r="I57" s="803">
        <v>46142</v>
      </c>
      <c r="J57" s="364"/>
      <c r="K57" s="821">
        <v>1</v>
      </c>
      <c r="L57" s="4">
        <f t="shared" ref="L57:L58" si="37">K57*$L$1</f>
        <v>1</v>
      </c>
      <c r="M57" s="821">
        <v>1</v>
      </c>
      <c r="N57" s="390">
        <f t="shared" ref="N57" si="38">M57*N$1</f>
        <v>1</v>
      </c>
      <c r="O57" s="957">
        <v>1</v>
      </c>
      <c r="P57" s="7">
        <f t="shared" ref="P57:P62" si="39">$P$1*O57</f>
        <v>1</v>
      </c>
      <c r="Q57" s="1186"/>
      <c r="R57" s="50">
        <f t="shared" ref="R57:R62" si="40">$Q$1*Q57</f>
        <v>0</v>
      </c>
      <c r="S57" s="1187"/>
      <c r="T57" s="551"/>
      <c r="U57" s="1188"/>
      <c r="V57" s="551"/>
      <c r="W57" s="1188"/>
      <c r="X57" s="551"/>
      <c r="Y57" s="1188"/>
      <c r="Z57" s="551"/>
      <c r="AA57" s="1188"/>
      <c r="AB57" s="551"/>
      <c r="AC57" s="1188"/>
      <c r="AD57" s="552"/>
      <c r="AE57" s="1189"/>
      <c r="AF57" s="364"/>
      <c r="AG57" s="1190"/>
      <c r="AH57" s="381"/>
      <c r="AI57" s="1191"/>
      <c r="AJ57" s="213"/>
      <c r="AK57" s="1189"/>
      <c r="AL57" s="212"/>
      <c r="AM57" s="1190"/>
      <c r="AN57" s="213"/>
      <c r="AO57" s="517">
        <f t="shared" ref="AO57:AP65" si="41">+K57+M57+O57+Q57+S57+U57+W57+Y57+AA57+AC57+AE57+AG57+AI57+AK57+AM57</f>
        <v>3</v>
      </c>
      <c r="AP57" s="524">
        <f t="shared" si="41"/>
        <v>3</v>
      </c>
      <c r="AQ57" s="525">
        <f t="shared" ref="AQ57:AQ65" si="42">AO57-AP57</f>
        <v>0</v>
      </c>
      <c r="AR57" s="638"/>
      <c r="AS57" s="349"/>
    </row>
    <row r="58" spans="1:45" s="140" customFormat="1" ht="17" hidden="1" customHeight="1">
      <c r="B58" s="1827"/>
      <c r="C58" s="169" t="s">
        <v>210</v>
      </c>
      <c r="D58" s="142" t="s">
        <v>13</v>
      </c>
      <c r="E58" s="350" t="s">
        <v>102</v>
      </c>
      <c r="F58" s="599" t="s">
        <v>204</v>
      </c>
      <c r="G58" s="599"/>
      <c r="H58" s="600">
        <v>45691</v>
      </c>
      <c r="I58" s="803">
        <v>46142</v>
      </c>
      <c r="J58" s="365"/>
      <c r="K58" s="145">
        <v>1</v>
      </c>
      <c r="L58" s="53">
        <f t="shared" si="37"/>
        <v>1</v>
      </c>
      <c r="M58" s="145">
        <v>1</v>
      </c>
      <c r="N58" s="383">
        <f t="shared" si="10"/>
        <v>1</v>
      </c>
      <c r="O58" s="211">
        <v>1</v>
      </c>
      <c r="P58" s="28">
        <f t="shared" si="39"/>
        <v>1</v>
      </c>
      <c r="Q58" s="145">
        <v>1</v>
      </c>
      <c r="R58" s="25">
        <f t="shared" si="40"/>
        <v>0.75</v>
      </c>
      <c r="S58" s="960">
        <v>1</v>
      </c>
      <c r="T58" s="553"/>
      <c r="U58" s="553">
        <v>1</v>
      </c>
      <c r="V58" s="553"/>
      <c r="W58" s="553">
        <v>1</v>
      </c>
      <c r="X58" s="553"/>
      <c r="Y58" s="553">
        <v>1</v>
      </c>
      <c r="Z58" s="553"/>
      <c r="AA58" s="553">
        <v>1</v>
      </c>
      <c r="AB58" s="553"/>
      <c r="AC58" s="553">
        <v>1</v>
      </c>
      <c r="AD58" s="554"/>
      <c r="AE58" s="211">
        <v>1</v>
      </c>
      <c r="AF58" s="365"/>
      <c r="AG58" s="145">
        <v>1</v>
      </c>
      <c r="AH58" s="382"/>
      <c r="AI58" s="382">
        <v>1</v>
      </c>
      <c r="AJ58" s="144"/>
      <c r="AK58" s="211">
        <v>1</v>
      </c>
      <c r="AL58" s="145"/>
      <c r="AM58" s="145">
        <v>1</v>
      </c>
      <c r="AN58" s="144"/>
      <c r="AO58" s="522">
        <f t="shared" si="41"/>
        <v>15</v>
      </c>
      <c r="AP58" s="524">
        <f t="shared" si="41"/>
        <v>3.75</v>
      </c>
      <c r="AQ58" s="525">
        <f t="shared" si="42"/>
        <v>11.25</v>
      </c>
      <c r="AR58" s="638"/>
      <c r="AS58" s="349"/>
    </row>
    <row r="59" spans="1:45" s="140" customFormat="1" ht="17" hidden="1" customHeight="1">
      <c r="B59" s="1827"/>
      <c r="C59" s="169" t="s">
        <v>212</v>
      </c>
      <c r="D59" s="142" t="s">
        <v>21</v>
      </c>
      <c r="E59" s="350" t="s">
        <v>102</v>
      </c>
      <c r="F59" s="599" t="s">
        <v>582</v>
      </c>
      <c r="G59" s="599"/>
      <c r="H59" s="614">
        <v>45748</v>
      </c>
      <c r="I59" s="806">
        <v>45989</v>
      </c>
      <c r="J59" s="365"/>
      <c r="K59" s="145"/>
      <c r="L59" s="145"/>
      <c r="M59" s="145"/>
      <c r="N59" s="374"/>
      <c r="O59" s="211">
        <v>1</v>
      </c>
      <c r="P59" s="28">
        <f t="shared" si="39"/>
        <v>1</v>
      </c>
      <c r="Q59" s="145">
        <v>1</v>
      </c>
      <c r="R59" s="25">
        <f t="shared" si="40"/>
        <v>0.75</v>
      </c>
      <c r="S59" s="960">
        <v>1</v>
      </c>
      <c r="T59" s="553"/>
      <c r="U59" s="553">
        <v>1</v>
      </c>
      <c r="V59" s="553"/>
      <c r="W59" s="553">
        <v>1</v>
      </c>
      <c r="X59" s="553"/>
      <c r="Y59" s="553">
        <v>1</v>
      </c>
      <c r="Z59" s="553"/>
      <c r="AA59" s="553">
        <v>1</v>
      </c>
      <c r="AB59" s="553"/>
      <c r="AC59" s="553">
        <v>1</v>
      </c>
      <c r="AD59" s="554"/>
      <c r="AE59" s="211"/>
      <c r="AF59" s="365"/>
      <c r="AG59" s="145"/>
      <c r="AH59" s="382"/>
      <c r="AI59" s="382"/>
      <c r="AJ59" s="144"/>
      <c r="AK59" s="211"/>
      <c r="AL59" s="145"/>
      <c r="AM59" s="145"/>
      <c r="AN59" s="144"/>
      <c r="AO59" s="522">
        <f t="shared" si="41"/>
        <v>8</v>
      </c>
      <c r="AP59" s="524">
        <f t="shared" si="41"/>
        <v>1.75</v>
      </c>
      <c r="AQ59" s="525">
        <f t="shared" si="42"/>
        <v>6.25</v>
      </c>
      <c r="AR59" s="638"/>
      <c r="AS59" s="349"/>
    </row>
    <row r="60" spans="1:45" s="140" customFormat="1" ht="17" hidden="1" customHeight="1">
      <c r="B60" s="1827"/>
      <c r="C60" s="207" t="s">
        <v>213</v>
      </c>
      <c r="D60" s="142" t="s">
        <v>13</v>
      </c>
      <c r="E60" s="350" t="s">
        <v>102</v>
      </c>
      <c r="F60" s="896" t="s">
        <v>206</v>
      </c>
      <c r="G60" s="896" t="s">
        <v>389</v>
      </c>
      <c r="H60" s="614">
        <v>45748</v>
      </c>
      <c r="I60" s="806">
        <v>45869</v>
      </c>
      <c r="J60" s="365"/>
      <c r="K60" s="145"/>
      <c r="L60" s="145"/>
      <c r="M60" s="145"/>
      <c r="N60" s="383"/>
      <c r="O60" s="211">
        <v>1</v>
      </c>
      <c r="P60" s="28">
        <f t="shared" si="39"/>
        <v>1</v>
      </c>
      <c r="Q60" s="145">
        <v>1</v>
      </c>
      <c r="R60" s="25">
        <f t="shared" si="40"/>
        <v>0.75</v>
      </c>
      <c r="S60" s="960">
        <v>1</v>
      </c>
      <c r="T60" s="553"/>
      <c r="U60" s="553">
        <v>1</v>
      </c>
      <c r="V60" s="553"/>
      <c r="W60" s="553"/>
      <c r="X60" s="553"/>
      <c r="Y60" s="553"/>
      <c r="Z60" s="553"/>
      <c r="AA60" s="553"/>
      <c r="AB60" s="553"/>
      <c r="AC60" s="553"/>
      <c r="AD60" s="554"/>
      <c r="AE60" s="211"/>
      <c r="AF60" s="365"/>
      <c r="AG60" s="145"/>
      <c r="AH60" s="382"/>
      <c r="AI60" s="382"/>
      <c r="AJ60" s="144"/>
      <c r="AK60" s="211"/>
      <c r="AL60" s="145"/>
      <c r="AM60" s="145"/>
      <c r="AN60" s="144"/>
      <c r="AO60" s="522">
        <f t="shared" si="41"/>
        <v>4</v>
      </c>
      <c r="AP60" s="524">
        <f t="shared" si="41"/>
        <v>1.75</v>
      </c>
      <c r="AQ60" s="525">
        <f t="shared" si="42"/>
        <v>2.25</v>
      </c>
      <c r="AR60" s="638"/>
      <c r="AS60" s="349"/>
    </row>
    <row r="61" spans="1:45" s="140" customFormat="1" ht="17" hidden="1" customHeight="1">
      <c r="B61" s="1827"/>
      <c r="C61" s="207" t="s">
        <v>214</v>
      </c>
      <c r="D61" s="142" t="s">
        <v>21</v>
      </c>
      <c r="E61" s="350" t="s">
        <v>102</v>
      </c>
      <c r="F61" s="599" t="s">
        <v>207</v>
      </c>
      <c r="G61" s="599"/>
      <c r="H61" s="600">
        <v>45691</v>
      </c>
      <c r="I61" s="800">
        <v>46142</v>
      </c>
      <c r="J61" s="365"/>
      <c r="K61" s="145">
        <v>1</v>
      </c>
      <c r="L61" s="53">
        <f t="shared" ref="L61" si="43">K61*$L$1</f>
        <v>1</v>
      </c>
      <c r="M61" s="145">
        <v>1</v>
      </c>
      <c r="N61" s="383">
        <f t="shared" si="10"/>
        <v>1</v>
      </c>
      <c r="O61" s="211">
        <v>1</v>
      </c>
      <c r="P61" s="28">
        <f t="shared" si="39"/>
        <v>1</v>
      </c>
      <c r="Q61" s="145">
        <v>1</v>
      </c>
      <c r="R61" s="25">
        <f t="shared" si="40"/>
        <v>0.75</v>
      </c>
      <c r="S61" s="960">
        <v>1</v>
      </c>
      <c r="T61" s="553"/>
      <c r="U61" s="553">
        <v>1</v>
      </c>
      <c r="V61" s="553"/>
      <c r="W61" s="553">
        <v>1</v>
      </c>
      <c r="X61" s="553"/>
      <c r="Y61" s="553">
        <v>1</v>
      </c>
      <c r="Z61" s="553"/>
      <c r="AA61" s="553">
        <v>1</v>
      </c>
      <c r="AB61" s="553"/>
      <c r="AC61" s="553">
        <v>1</v>
      </c>
      <c r="AD61" s="554"/>
      <c r="AE61" s="211">
        <v>1</v>
      </c>
      <c r="AF61" s="365"/>
      <c r="AG61" s="145">
        <v>1</v>
      </c>
      <c r="AH61" s="382"/>
      <c r="AI61" s="382">
        <v>1</v>
      </c>
      <c r="AJ61" s="144"/>
      <c r="AK61" s="211">
        <v>1</v>
      </c>
      <c r="AL61" s="145"/>
      <c r="AM61" s="145">
        <v>1</v>
      </c>
      <c r="AN61" s="144"/>
      <c r="AO61" s="522">
        <f t="shared" si="41"/>
        <v>15</v>
      </c>
      <c r="AP61" s="524">
        <f t="shared" si="41"/>
        <v>3.75</v>
      </c>
      <c r="AQ61" s="525">
        <f t="shared" si="42"/>
        <v>11.25</v>
      </c>
      <c r="AR61" s="638"/>
      <c r="AS61" s="349"/>
    </row>
    <row r="62" spans="1:45" s="140" customFormat="1" ht="17" hidden="1" customHeight="1">
      <c r="B62" s="1827"/>
      <c r="C62" s="169" t="s">
        <v>215</v>
      </c>
      <c r="D62" s="142" t="s">
        <v>13</v>
      </c>
      <c r="E62" s="350" t="s">
        <v>102</v>
      </c>
      <c r="F62" s="896" t="s">
        <v>208</v>
      </c>
      <c r="G62" s="896" t="s">
        <v>389</v>
      </c>
      <c r="H62" s="600">
        <v>45748</v>
      </c>
      <c r="I62" s="800">
        <v>45898</v>
      </c>
      <c r="J62" s="365"/>
      <c r="K62" s="145"/>
      <c r="L62" s="145"/>
      <c r="M62" s="145"/>
      <c r="N62" s="383"/>
      <c r="O62" s="211">
        <v>1</v>
      </c>
      <c r="P62" s="28">
        <f t="shared" si="39"/>
        <v>1</v>
      </c>
      <c r="Q62" s="145">
        <v>1</v>
      </c>
      <c r="R62" s="25">
        <f t="shared" si="40"/>
        <v>0.75</v>
      </c>
      <c r="S62" s="960">
        <v>1</v>
      </c>
      <c r="T62" s="553"/>
      <c r="U62" s="553">
        <v>1</v>
      </c>
      <c r="V62" s="553"/>
      <c r="W62" s="553">
        <v>1</v>
      </c>
      <c r="X62" s="553"/>
      <c r="Y62" s="553"/>
      <c r="Z62" s="553"/>
      <c r="AA62" s="553"/>
      <c r="AB62" s="553"/>
      <c r="AC62" s="553"/>
      <c r="AD62" s="554"/>
      <c r="AE62" s="211"/>
      <c r="AF62" s="365"/>
      <c r="AG62" s="145"/>
      <c r="AH62" s="382"/>
      <c r="AI62" s="382"/>
      <c r="AJ62" s="144"/>
      <c r="AK62" s="211"/>
      <c r="AL62" s="145"/>
      <c r="AM62" s="145"/>
      <c r="AN62" s="144"/>
      <c r="AO62" s="522">
        <f t="shared" si="41"/>
        <v>5</v>
      </c>
      <c r="AP62" s="524">
        <f t="shared" si="41"/>
        <v>1.75</v>
      </c>
      <c r="AQ62" s="525">
        <f t="shared" si="42"/>
        <v>3.25</v>
      </c>
      <c r="AR62" s="638"/>
      <c r="AS62" s="349"/>
    </row>
    <row r="63" spans="1:45" s="140" customFormat="1" ht="17" hidden="1" customHeight="1">
      <c r="B63" s="1827"/>
      <c r="C63" s="169" t="s">
        <v>216</v>
      </c>
      <c r="D63" s="142" t="s">
        <v>22</v>
      </c>
      <c r="E63" s="350" t="s">
        <v>102</v>
      </c>
      <c r="F63" s="833" t="s">
        <v>209</v>
      </c>
      <c r="G63" s="833" t="s">
        <v>678</v>
      </c>
      <c r="H63" s="917">
        <v>45839</v>
      </c>
      <c r="I63" s="918">
        <v>45898</v>
      </c>
      <c r="J63" s="365"/>
      <c r="K63" s="145"/>
      <c r="L63" s="145"/>
      <c r="M63" s="145"/>
      <c r="N63" s="383"/>
      <c r="O63" s="211"/>
      <c r="P63" s="145"/>
      <c r="Q63" s="145"/>
      <c r="R63" s="144"/>
      <c r="S63" s="960"/>
      <c r="T63" s="553"/>
      <c r="U63" s="1126">
        <v>0</v>
      </c>
      <c r="V63" s="1384"/>
      <c r="W63" s="1126">
        <v>0</v>
      </c>
      <c r="X63" s="1384"/>
      <c r="Y63" s="553"/>
      <c r="Z63" s="553"/>
      <c r="AA63" s="553"/>
      <c r="AB63" s="553"/>
      <c r="AC63" s="553"/>
      <c r="AD63" s="554"/>
      <c r="AE63" s="211"/>
      <c r="AF63" s="365"/>
      <c r="AG63" s="145"/>
      <c r="AH63" s="382"/>
      <c r="AI63" s="382"/>
      <c r="AJ63" s="144"/>
      <c r="AK63" s="211"/>
      <c r="AL63" s="145"/>
      <c r="AM63" s="145"/>
      <c r="AN63" s="144"/>
      <c r="AO63" s="522">
        <f t="shared" si="41"/>
        <v>0</v>
      </c>
      <c r="AP63" s="524">
        <f t="shared" si="41"/>
        <v>0</v>
      </c>
      <c r="AQ63" s="525">
        <f t="shared" si="42"/>
        <v>0</v>
      </c>
      <c r="AR63" s="638"/>
      <c r="AS63" s="349"/>
    </row>
    <row r="64" spans="1:45" s="140" customFormat="1" ht="17" customHeight="1">
      <c r="B64" s="1827"/>
      <c r="C64" s="169" t="s">
        <v>217</v>
      </c>
      <c r="D64" s="142" t="s">
        <v>21</v>
      </c>
      <c r="E64" s="350" t="s">
        <v>101</v>
      </c>
      <c r="F64" s="896" t="s">
        <v>276</v>
      </c>
      <c r="G64" s="896" t="s">
        <v>389</v>
      </c>
      <c r="H64" s="600">
        <v>45720</v>
      </c>
      <c r="I64" s="800">
        <v>46356</v>
      </c>
      <c r="J64" s="388"/>
      <c r="K64" s="822"/>
      <c r="L64" s="822"/>
      <c r="M64" s="822">
        <v>1</v>
      </c>
      <c r="N64" s="390">
        <v>1</v>
      </c>
      <c r="O64" s="15">
        <v>1</v>
      </c>
      <c r="P64" s="3">
        <f>P1</f>
        <v>1</v>
      </c>
      <c r="Q64" s="1130">
        <v>1</v>
      </c>
      <c r="R64" s="25">
        <f>$Q$1*Q64</f>
        <v>0.75</v>
      </c>
      <c r="S64" s="1192">
        <v>1</v>
      </c>
      <c r="T64" s="1193"/>
      <c r="U64" s="1193">
        <v>1</v>
      </c>
      <c r="V64" s="1193"/>
      <c r="W64" s="1193">
        <v>1</v>
      </c>
      <c r="X64" s="1193"/>
      <c r="Y64" s="1193">
        <v>1</v>
      </c>
      <c r="Z64" s="1193"/>
      <c r="AA64" s="1193">
        <v>1</v>
      </c>
      <c r="AB64" s="1193"/>
      <c r="AC64" s="674">
        <v>0</v>
      </c>
      <c r="AD64" s="1194"/>
      <c r="AE64" s="1195"/>
      <c r="AF64" s="1196"/>
      <c r="AG64" s="1197"/>
      <c r="AH64" s="1198"/>
      <c r="AI64" s="1198"/>
      <c r="AJ64" s="1199"/>
      <c r="AK64" s="1195"/>
      <c r="AL64" s="1197"/>
      <c r="AM64" s="1200"/>
      <c r="AN64" s="1201"/>
      <c r="AO64" s="517">
        <f t="shared" si="41"/>
        <v>8</v>
      </c>
      <c r="AP64" s="524">
        <f t="shared" si="41"/>
        <v>2.75</v>
      </c>
      <c r="AQ64" s="525">
        <f t="shared" si="42"/>
        <v>5.25</v>
      </c>
      <c r="AR64" s="638"/>
      <c r="AS64" s="349"/>
    </row>
    <row r="65" spans="1:45" s="140" customFormat="1" ht="17" customHeight="1" thickBot="1">
      <c r="B65" s="1827"/>
      <c r="C65" s="855" t="s">
        <v>218</v>
      </c>
      <c r="D65" s="856" t="s">
        <v>21</v>
      </c>
      <c r="E65" s="851" t="s">
        <v>101</v>
      </c>
      <c r="F65" s="852" t="s">
        <v>277</v>
      </c>
      <c r="G65" s="848" t="s">
        <v>636</v>
      </c>
      <c r="H65" s="853">
        <v>45839</v>
      </c>
      <c r="I65" s="857">
        <v>46081</v>
      </c>
      <c r="J65" s="577"/>
      <c r="K65" s="823"/>
      <c r="L65" s="823"/>
      <c r="M65" s="823"/>
      <c r="N65" s="827"/>
      <c r="O65" s="961"/>
      <c r="P65" s="8"/>
      <c r="Q65" s="1202"/>
      <c r="R65" s="962"/>
      <c r="S65" s="1203"/>
      <c r="T65" s="575"/>
      <c r="U65" s="1204">
        <v>1</v>
      </c>
      <c r="V65" s="575"/>
      <c r="W65" s="1204">
        <v>1</v>
      </c>
      <c r="X65" s="575"/>
      <c r="Y65" s="1204">
        <v>1</v>
      </c>
      <c r="Z65" s="575"/>
      <c r="AA65" s="1204">
        <v>1</v>
      </c>
      <c r="AB65" s="575"/>
      <c r="AC65" s="1204">
        <v>1</v>
      </c>
      <c r="AD65" s="576"/>
      <c r="AE65" s="1205">
        <v>1</v>
      </c>
      <c r="AF65" s="577"/>
      <c r="AG65" s="1206">
        <v>1</v>
      </c>
      <c r="AH65" s="574"/>
      <c r="AI65" s="1207">
        <v>1</v>
      </c>
      <c r="AJ65" s="578"/>
      <c r="AK65" s="1205">
        <v>1</v>
      </c>
      <c r="AL65" s="573"/>
      <c r="AM65" s="1206">
        <v>1</v>
      </c>
      <c r="AN65" s="578"/>
      <c r="AO65" s="517">
        <f t="shared" si="41"/>
        <v>10</v>
      </c>
      <c r="AP65" s="524">
        <f t="shared" si="41"/>
        <v>0</v>
      </c>
      <c r="AQ65" s="525">
        <f t="shared" si="42"/>
        <v>10</v>
      </c>
      <c r="AR65" s="639"/>
      <c r="AS65" s="349"/>
    </row>
    <row r="66" spans="1:45" s="150" customFormat="1" ht="17" hidden="1" customHeight="1" thickBot="1">
      <c r="A66" s="140"/>
      <c r="B66" s="1827"/>
      <c r="C66" s="678" t="s">
        <v>16</v>
      </c>
      <c r="D66" s="698"/>
      <c r="E66" s="680"/>
      <c r="F66" s="681"/>
      <c r="G66" s="681"/>
      <c r="H66" s="682"/>
      <c r="I66" s="808"/>
      <c r="J66" s="368">
        <f t="shared" ref="J66:AM66" si="44">SUM(J57:J65)</f>
        <v>0</v>
      </c>
      <c r="K66" s="198">
        <f t="shared" si="44"/>
        <v>3</v>
      </c>
      <c r="L66" s="198">
        <f t="shared" si="44"/>
        <v>3</v>
      </c>
      <c r="M66" s="198">
        <f t="shared" si="44"/>
        <v>4</v>
      </c>
      <c r="N66" s="384">
        <f t="shared" si="44"/>
        <v>4</v>
      </c>
      <c r="O66" s="161">
        <f t="shared" si="44"/>
        <v>7</v>
      </c>
      <c r="P66" s="178">
        <f t="shared" si="44"/>
        <v>7</v>
      </c>
      <c r="Q66" s="377">
        <f t="shared" si="44"/>
        <v>6</v>
      </c>
      <c r="R66" s="542"/>
      <c r="S66" s="963">
        <f t="shared" si="44"/>
        <v>6</v>
      </c>
      <c r="T66" s="560"/>
      <c r="U66" s="560">
        <f t="shared" si="44"/>
        <v>7</v>
      </c>
      <c r="V66" s="560"/>
      <c r="W66" s="560">
        <f t="shared" si="44"/>
        <v>6</v>
      </c>
      <c r="X66" s="560"/>
      <c r="Y66" s="560">
        <f t="shared" si="44"/>
        <v>5</v>
      </c>
      <c r="Z66" s="560"/>
      <c r="AA66" s="560">
        <f t="shared" si="44"/>
        <v>5</v>
      </c>
      <c r="AB66" s="560"/>
      <c r="AC66" s="560">
        <f t="shared" si="44"/>
        <v>4</v>
      </c>
      <c r="AD66" s="561"/>
      <c r="AE66" s="389">
        <f t="shared" si="44"/>
        <v>3</v>
      </c>
      <c r="AF66" s="368"/>
      <c r="AG66" s="198">
        <f t="shared" si="44"/>
        <v>3</v>
      </c>
      <c r="AH66" s="699"/>
      <c r="AI66" s="699">
        <f t="shared" si="44"/>
        <v>3</v>
      </c>
      <c r="AJ66" s="372"/>
      <c r="AK66" s="389">
        <f t="shared" si="44"/>
        <v>3</v>
      </c>
      <c r="AL66" s="198"/>
      <c r="AM66" s="198">
        <f t="shared" si="44"/>
        <v>3</v>
      </c>
      <c r="AN66" s="372"/>
      <c r="AO66" s="683">
        <f>+SUM(AO57:AO65)</f>
        <v>68</v>
      </c>
      <c r="AP66" s="684">
        <f t="shared" ref="AP66:AQ66" si="45">+SUM(AP57:AP65)</f>
        <v>18.5</v>
      </c>
      <c r="AQ66" s="685">
        <f t="shared" si="45"/>
        <v>49.5</v>
      </c>
      <c r="AR66" s="648"/>
      <c r="AS66" s="349"/>
    </row>
    <row r="67" spans="1:45" s="140" customFormat="1" ht="17" hidden="1" customHeight="1">
      <c r="B67" s="1877" t="s">
        <v>20</v>
      </c>
      <c r="C67" s="174" t="s">
        <v>505</v>
      </c>
      <c r="D67" s="93" t="s">
        <v>13</v>
      </c>
      <c r="E67" s="493" t="s">
        <v>56</v>
      </c>
      <c r="F67" s="606" t="s">
        <v>329</v>
      </c>
      <c r="G67" s="606"/>
      <c r="H67" s="607">
        <v>45691</v>
      </c>
      <c r="I67" s="799">
        <v>46127</v>
      </c>
      <c r="J67" s="359"/>
      <c r="K67" s="7">
        <v>1</v>
      </c>
      <c r="L67" s="49">
        <f t="shared" ref="L67:L70" si="46">K67*$L$1</f>
        <v>1</v>
      </c>
      <c r="M67" s="7">
        <v>1</v>
      </c>
      <c r="N67" s="373">
        <f t="shared" si="10"/>
        <v>1</v>
      </c>
      <c r="O67" s="13">
        <v>1</v>
      </c>
      <c r="P67" s="373">
        <f t="shared" ref="P67:P76" si="47">$P$1*O67</f>
        <v>1</v>
      </c>
      <c r="Q67" s="1145">
        <v>1</v>
      </c>
      <c r="R67" s="548">
        <f t="shared" ref="R67:R95" si="48">$Q$1*Q67</f>
        <v>0.75</v>
      </c>
      <c r="S67" s="1208">
        <v>1</v>
      </c>
      <c r="T67" s="1147"/>
      <c r="U67" s="1147">
        <v>1</v>
      </c>
      <c r="V67" s="1147"/>
      <c r="W67" s="1147">
        <v>1</v>
      </c>
      <c r="X67" s="1147"/>
      <c r="Y67" s="1147">
        <v>1</v>
      </c>
      <c r="Z67" s="1147"/>
      <c r="AA67" s="1147">
        <v>1</v>
      </c>
      <c r="AB67" s="1147"/>
      <c r="AC67" s="1147">
        <v>1</v>
      </c>
      <c r="AD67" s="1209"/>
      <c r="AE67" s="1148">
        <v>1</v>
      </c>
      <c r="AF67" s="1210"/>
      <c r="AG67" s="1149">
        <v>1</v>
      </c>
      <c r="AH67" s="1145"/>
      <c r="AI67" s="1145">
        <v>1</v>
      </c>
      <c r="AJ67" s="1211"/>
      <c r="AK67" s="1148">
        <v>1</v>
      </c>
      <c r="AL67" s="1149"/>
      <c r="AM67" s="1149">
        <v>0.5</v>
      </c>
      <c r="AN67" s="1211"/>
      <c r="AO67" s="511">
        <f t="shared" ref="AO67:AQ90" si="49">+K67+M67+O67+Q67+S67+U67+W67+Y67+AA67+AC67+AE67+AG67+AI67+AK67+AM67</f>
        <v>14.5</v>
      </c>
      <c r="AP67" s="512">
        <f t="shared" si="49"/>
        <v>3.75</v>
      </c>
      <c r="AQ67" s="513">
        <f t="shared" ref="AQ67:AQ95" si="50">AO67-AP67</f>
        <v>10.75</v>
      </c>
      <c r="AR67" s="640" t="s">
        <v>77</v>
      </c>
      <c r="AS67" s="349"/>
    </row>
    <row r="68" spans="1:45" s="140" customFormat="1" ht="17" hidden="1" customHeight="1">
      <c r="B68" s="1878"/>
      <c r="C68" s="355" t="s">
        <v>332</v>
      </c>
      <c r="D68" s="94" t="s">
        <v>19</v>
      </c>
      <c r="E68" s="350" t="s">
        <v>56</v>
      </c>
      <c r="F68" s="599" t="s">
        <v>333</v>
      </c>
      <c r="G68" s="599"/>
      <c r="H68" s="600">
        <v>45705</v>
      </c>
      <c r="I68" s="800">
        <v>46127</v>
      </c>
      <c r="J68" s="29"/>
      <c r="K68" s="353">
        <v>0.5</v>
      </c>
      <c r="L68" s="28">
        <f t="shared" si="46"/>
        <v>0.5</v>
      </c>
      <c r="M68" s="3">
        <v>1</v>
      </c>
      <c r="N68" s="383">
        <f t="shared" si="10"/>
        <v>1</v>
      </c>
      <c r="O68" s="15">
        <v>1</v>
      </c>
      <c r="P68" s="374">
        <f t="shared" si="47"/>
        <v>1</v>
      </c>
      <c r="Q68" s="1131">
        <v>1</v>
      </c>
      <c r="R68" s="557">
        <f t="shared" si="48"/>
        <v>0.75</v>
      </c>
      <c r="S68" s="1212">
        <v>1</v>
      </c>
      <c r="T68" s="1128"/>
      <c r="U68" s="1128">
        <v>1</v>
      </c>
      <c r="V68" s="1128"/>
      <c r="W68" s="1128">
        <v>1</v>
      </c>
      <c r="X68" s="1128"/>
      <c r="Y68" s="1128">
        <v>1</v>
      </c>
      <c r="Z68" s="1128"/>
      <c r="AA68" s="1128">
        <v>1</v>
      </c>
      <c r="AB68" s="1128"/>
      <c r="AC68" s="1128">
        <v>1</v>
      </c>
      <c r="AD68" s="1181"/>
      <c r="AE68" s="1129">
        <v>1</v>
      </c>
      <c r="AF68" s="1143"/>
      <c r="AG68" s="1130">
        <v>1</v>
      </c>
      <c r="AH68" s="1131"/>
      <c r="AI68" s="1131">
        <v>1</v>
      </c>
      <c r="AJ68" s="1142"/>
      <c r="AK68" s="1129">
        <v>1</v>
      </c>
      <c r="AL68" s="1130"/>
      <c r="AM68" s="1130">
        <v>0.5</v>
      </c>
      <c r="AN68" s="1142"/>
      <c r="AO68" s="522">
        <f t="shared" si="49"/>
        <v>14</v>
      </c>
      <c r="AP68" s="524">
        <f t="shared" si="49"/>
        <v>3.25</v>
      </c>
      <c r="AQ68" s="525">
        <f t="shared" si="50"/>
        <v>10.75</v>
      </c>
      <c r="AR68" s="644" t="s">
        <v>77</v>
      </c>
      <c r="AS68" s="349"/>
    </row>
    <row r="69" spans="1:45" s="140" customFormat="1" ht="17" hidden="1" customHeight="1">
      <c r="B69" s="1878"/>
      <c r="C69" s="1888" t="s">
        <v>540</v>
      </c>
      <c r="D69" s="1" t="s">
        <v>19</v>
      </c>
      <c r="E69" s="350" t="s">
        <v>56</v>
      </c>
      <c r="F69" s="599" t="s">
        <v>334</v>
      </c>
      <c r="G69" s="599"/>
      <c r="H69" s="600">
        <v>45691</v>
      </c>
      <c r="I69" s="800">
        <v>46096</v>
      </c>
      <c r="J69" s="29"/>
      <c r="K69" s="3">
        <v>1</v>
      </c>
      <c r="L69" s="28">
        <f t="shared" si="46"/>
        <v>1</v>
      </c>
      <c r="M69" s="3">
        <v>1</v>
      </c>
      <c r="N69" s="383">
        <f t="shared" si="10"/>
        <v>1</v>
      </c>
      <c r="O69" s="15">
        <v>1</v>
      </c>
      <c r="P69" s="374">
        <f t="shared" si="47"/>
        <v>1</v>
      </c>
      <c r="Q69" s="1131">
        <v>1</v>
      </c>
      <c r="R69" s="557">
        <f t="shared" si="48"/>
        <v>0.75</v>
      </c>
      <c r="S69" s="1212">
        <v>1</v>
      </c>
      <c r="T69" s="1128"/>
      <c r="U69" s="1128">
        <v>1</v>
      </c>
      <c r="V69" s="1128"/>
      <c r="W69" s="1128">
        <v>1</v>
      </c>
      <c r="X69" s="1128"/>
      <c r="Y69" s="1128">
        <v>1</v>
      </c>
      <c r="Z69" s="1128"/>
      <c r="AA69" s="1128">
        <v>1</v>
      </c>
      <c r="AB69" s="1128"/>
      <c r="AC69" s="1128">
        <v>1</v>
      </c>
      <c r="AD69" s="1181"/>
      <c r="AE69" s="1129">
        <v>0.5</v>
      </c>
      <c r="AF69" s="1143"/>
      <c r="AG69" s="1130"/>
      <c r="AH69" s="1131"/>
      <c r="AI69" s="1131"/>
      <c r="AJ69" s="1142"/>
      <c r="AK69" s="1129"/>
      <c r="AL69" s="1130"/>
      <c r="AM69" s="1130"/>
      <c r="AN69" s="1142"/>
      <c r="AO69" s="721">
        <f t="shared" si="49"/>
        <v>10.5</v>
      </c>
      <c r="AP69" s="722">
        <f t="shared" si="49"/>
        <v>3.75</v>
      </c>
      <c r="AQ69" s="723">
        <f t="shared" si="50"/>
        <v>6.75</v>
      </c>
      <c r="AR69" s="638" t="s">
        <v>77</v>
      </c>
      <c r="AS69" s="349"/>
    </row>
    <row r="70" spans="1:45" s="140" customFormat="1" ht="17" hidden="1" customHeight="1" thickBot="1">
      <c r="B70" s="1899"/>
      <c r="C70" s="1889"/>
      <c r="D70" s="1" t="s">
        <v>19</v>
      </c>
      <c r="E70" s="350" t="s">
        <v>56</v>
      </c>
      <c r="F70" s="599" t="s">
        <v>335</v>
      </c>
      <c r="G70" s="599"/>
      <c r="H70" s="600">
        <v>45691</v>
      </c>
      <c r="I70" s="800">
        <v>46081</v>
      </c>
      <c r="J70" s="29"/>
      <c r="K70" s="3">
        <v>1</v>
      </c>
      <c r="L70" s="28">
        <f t="shared" si="46"/>
        <v>1</v>
      </c>
      <c r="M70" s="3">
        <v>1</v>
      </c>
      <c r="N70" s="383">
        <f t="shared" si="10"/>
        <v>1</v>
      </c>
      <c r="O70" s="15">
        <v>1</v>
      </c>
      <c r="P70" s="374">
        <f t="shared" si="47"/>
        <v>1</v>
      </c>
      <c r="Q70" s="1131">
        <v>1</v>
      </c>
      <c r="R70" s="557">
        <f t="shared" si="48"/>
        <v>0.75</v>
      </c>
      <c r="S70" s="1212">
        <v>1</v>
      </c>
      <c r="T70" s="1128"/>
      <c r="U70" s="1128">
        <v>1</v>
      </c>
      <c r="V70" s="1128"/>
      <c r="W70" s="1128">
        <v>1</v>
      </c>
      <c r="X70" s="1128"/>
      <c r="Y70" s="1128">
        <v>1</v>
      </c>
      <c r="Z70" s="1128"/>
      <c r="AA70" s="1128">
        <v>1</v>
      </c>
      <c r="AB70" s="1128"/>
      <c r="AC70" s="1128">
        <v>1</v>
      </c>
      <c r="AD70" s="1181"/>
      <c r="AE70" s="1129"/>
      <c r="AF70" s="1143"/>
      <c r="AG70" s="1130"/>
      <c r="AH70" s="1131"/>
      <c r="AI70" s="1213"/>
      <c r="AJ70" s="1214"/>
      <c r="AK70" s="1129"/>
      <c r="AL70" s="1130"/>
      <c r="AM70" s="1130"/>
      <c r="AN70" s="1142"/>
      <c r="AO70" s="721">
        <f t="shared" si="49"/>
        <v>10</v>
      </c>
      <c r="AP70" s="722">
        <f t="shared" si="49"/>
        <v>3.75</v>
      </c>
      <c r="AQ70" s="723">
        <f t="shared" si="50"/>
        <v>6.25</v>
      </c>
      <c r="AR70" s="638" t="s">
        <v>77</v>
      </c>
      <c r="AS70" s="349"/>
    </row>
    <row r="71" spans="1:45" s="140" customFormat="1" ht="17" hidden="1" customHeight="1" thickBot="1">
      <c r="B71" s="1900"/>
      <c r="C71" s="1889"/>
      <c r="D71" s="1" t="s">
        <v>21</v>
      </c>
      <c r="E71" s="350" t="s">
        <v>56</v>
      </c>
      <c r="F71" s="599" t="s">
        <v>580</v>
      </c>
      <c r="G71" s="599"/>
      <c r="H71" s="600">
        <v>45733</v>
      </c>
      <c r="I71" s="800">
        <v>46096</v>
      </c>
      <c r="J71" s="29"/>
      <c r="K71" s="353"/>
      <c r="L71" s="353"/>
      <c r="M71" s="353">
        <v>0.5</v>
      </c>
      <c r="N71" s="383">
        <f t="shared" si="10"/>
        <v>0.5</v>
      </c>
      <c r="O71" s="15">
        <v>1</v>
      </c>
      <c r="P71" s="374">
        <f t="shared" si="47"/>
        <v>1</v>
      </c>
      <c r="Q71" s="1131">
        <v>1</v>
      </c>
      <c r="R71" s="557">
        <f t="shared" si="48"/>
        <v>0.75</v>
      </c>
      <c r="S71" s="1212">
        <v>1</v>
      </c>
      <c r="T71" s="1128"/>
      <c r="U71" s="1128">
        <v>1</v>
      </c>
      <c r="V71" s="1128"/>
      <c r="W71" s="1128">
        <v>1</v>
      </c>
      <c r="X71" s="1128"/>
      <c r="Y71" s="1215">
        <v>0.5</v>
      </c>
      <c r="Z71" s="1128"/>
      <c r="AA71" s="1128"/>
      <c r="AB71" s="1128"/>
      <c r="AC71" s="1128"/>
      <c r="AD71" s="1181"/>
      <c r="AE71" s="1129"/>
      <c r="AF71" s="1143"/>
      <c r="AG71" s="1130"/>
      <c r="AH71" s="1131"/>
      <c r="AI71" s="1131"/>
      <c r="AJ71" s="1142"/>
      <c r="AK71" s="1129"/>
      <c r="AL71" s="1130"/>
      <c r="AM71" s="1130"/>
      <c r="AN71" s="1142"/>
      <c r="AO71" s="721">
        <f t="shared" si="49"/>
        <v>6</v>
      </c>
      <c r="AP71" s="722">
        <f t="shared" si="49"/>
        <v>2.25</v>
      </c>
      <c r="AQ71" s="723">
        <f t="shared" si="50"/>
        <v>3.75</v>
      </c>
      <c r="AR71" s="644" t="s">
        <v>42</v>
      </c>
      <c r="AS71" s="349"/>
    </row>
    <row r="72" spans="1:45" s="140" customFormat="1" ht="17" hidden="1" customHeight="1">
      <c r="B72" s="1877"/>
      <c r="C72" s="1889"/>
      <c r="D72" s="1" t="s">
        <v>21</v>
      </c>
      <c r="E72" s="350" t="s">
        <v>56</v>
      </c>
      <c r="F72" s="599" t="s">
        <v>336</v>
      </c>
      <c r="G72" s="599"/>
      <c r="H72" s="600">
        <v>45691</v>
      </c>
      <c r="I72" s="800">
        <v>46068</v>
      </c>
      <c r="J72" s="29"/>
      <c r="K72" s="3">
        <v>1</v>
      </c>
      <c r="L72" s="28">
        <f t="shared" ref="L72" si="51">K72*$L$1</f>
        <v>1</v>
      </c>
      <c r="M72" s="3">
        <v>1</v>
      </c>
      <c r="N72" s="383">
        <f t="shared" si="10"/>
        <v>1</v>
      </c>
      <c r="O72" s="15">
        <v>1</v>
      </c>
      <c r="P72" s="374">
        <f t="shared" si="47"/>
        <v>1</v>
      </c>
      <c r="Q72" s="1131">
        <v>1</v>
      </c>
      <c r="R72" s="557">
        <f t="shared" si="48"/>
        <v>0.75</v>
      </c>
      <c r="S72" s="1212">
        <v>1</v>
      </c>
      <c r="T72" s="1128"/>
      <c r="U72" s="1128">
        <v>1</v>
      </c>
      <c r="V72" s="1128"/>
      <c r="W72" s="1128">
        <v>1</v>
      </c>
      <c r="X72" s="1128"/>
      <c r="Y72" s="1128">
        <v>1</v>
      </c>
      <c r="Z72" s="1128"/>
      <c r="AA72" s="1128">
        <v>1</v>
      </c>
      <c r="AB72" s="1128"/>
      <c r="AC72" s="1128"/>
      <c r="AD72" s="1181"/>
      <c r="AE72" s="1129"/>
      <c r="AF72" s="1143"/>
      <c r="AG72" s="1130"/>
      <c r="AH72" s="1131"/>
      <c r="AI72" s="1131"/>
      <c r="AJ72" s="1142"/>
      <c r="AK72" s="1129"/>
      <c r="AL72" s="1130"/>
      <c r="AM72" s="1130"/>
      <c r="AN72" s="1142"/>
      <c r="AO72" s="721">
        <f t="shared" si="49"/>
        <v>9</v>
      </c>
      <c r="AP72" s="722">
        <f t="shared" si="49"/>
        <v>3.75</v>
      </c>
      <c r="AQ72" s="723">
        <f t="shared" si="50"/>
        <v>5.25</v>
      </c>
      <c r="AR72" s="638" t="s">
        <v>42</v>
      </c>
      <c r="AS72" s="349"/>
    </row>
    <row r="73" spans="1:45" s="140" customFormat="1" ht="17" hidden="1" customHeight="1">
      <c r="B73" s="1878"/>
      <c r="C73" s="1889"/>
      <c r="D73" s="1" t="s">
        <v>21</v>
      </c>
      <c r="E73" s="350" t="s">
        <v>56</v>
      </c>
      <c r="F73" s="599" t="s">
        <v>550</v>
      </c>
      <c r="G73" s="599"/>
      <c r="H73" s="600">
        <v>45720</v>
      </c>
      <c r="I73" s="800">
        <v>46387</v>
      </c>
      <c r="J73" s="29"/>
      <c r="K73" s="3"/>
      <c r="L73" s="28"/>
      <c r="M73" s="56">
        <v>0.75</v>
      </c>
      <c r="N73" s="383">
        <f t="shared" si="10"/>
        <v>0.75</v>
      </c>
      <c r="O73" s="15">
        <v>1</v>
      </c>
      <c r="P73" s="374">
        <f t="shared" si="47"/>
        <v>1</v>
      </c>
      <c r="Q73" s="1131">
        <v>1</v>
      </c>
      <c r="R73" s="557">
        <f t="shared" si="48"/>
        <v>0.75</v>
      </c>
      <c r="S73" s="1212">
        <v>1</v>
      </c>
      <c r="T73" s="1128"/>
      <c r="U73" s="1128">
        <v>1</v>
      </c>
      <c r="V73" s="1128"/>
      <c r="W73" s="1128">
        <v>1</v>
      </c>
      <c r="X73" s="1128"/>
      <c r="Y73" s="1128">
        <v>1</v>
      </c>
      <c r="Z73" s="1128"/>
      <c r="AA73" s="1128">
        <v>1</v>
      </c>
      <c r="AB73" s="1128"/>
      <c r="AC73" s="1128">
        <v>1</v>
      </c>
      <c r="AD73" s="1181"/>
      <c r="AE73" s="1129">
        <v>1</v>
      </c>
      <c r="AF73" s="1143"/>
      <c r="AG73" s="1130">
        <v>0.25</v>
      </c>
      <c r="AH73" s="1131"/>
      <c r="AI73" s="1131"/>
      <c r="AJ73" s="1142"/>
      <c r="AK73" s="1129"/>
      <c r="AL73" s="1130"/>
      <c r="AM73" s="1130"/>
      <c r="AN73" s="1142"/>
      <c r="AO73" s="721">
        <f t="shared" si="49"/>
        <v>10</v>
      </c>
      <c r="AP73" s="722">
        <f t="shared" si="49"/>
        <v>2.5</v>
      </c>
      <c r="AQ73" s="723">
        <f t="shared" si="50"/>
        <v>7.5</v>
      </c>
      <c r="AR73" s="638" t="s">
        <v>42</v>
      </c>
      <c r="AS73" s="349"/>
    </row>
    <row r="74" spans="1:45" s="140" customFormat="1" ht="17" hidden="1" customHeight="1">
      <c r="B74" s="1878"/>
      <c r="C74" s="1889"/>
      <c r="D74" s="1" t="s">
        <v>21</v>
      </c>
      <c r="E74" s="350" t="s">
        <v>56</v>
      </c>
      <c r="F74" s="599" t="s">
        <v>551</v>
      </c>
      <c r="G74" s="599"/>
      <c r="H74" s="600">
        <v>45720</v>
      </c>
      <c r="I74" s="800">
        <v>46387</v>
      </c>
      <c r="J74" s="29"/>
      <c r="K74" s="3"/>
      <c r="L74" s="28"/>
      <c r="M74" s="56">
        <v>0.75</v>
      </c>
      <c r="N74" s="383">
        <f t="shared" si="10"/>
        <v>0.75</v>
      </c>
      <c r="O74" s="15">
        <v>1</v>
      </c>
      <c r="P74" s="374">
        <f t="shared" si="47"/>
        <v>1</v>
      </c>
      <c r="Q74" s="1131">
        <v>1</v>
      </c>
      <c r="R74" s="557">
        <f t="shared" si="48"/>
        <v>0.75</v>
      </c>
      <c r="S74" s="1212">
        <v>1</v>
      </c>
      <c r="T74" s="1128"/>
      <c r="U74" s="1128">
        <v>1</v>
      </c>
      <c r="V74" s="1128"/>
      <c r="W74" s="1128">
        <v>1</v>
      </c>
      <c r="X74" s="1128"/>
      <c r="Y74" s="1128">
        <v>0.25</v>
      </c>
      <c r="Z74" s="1128"/>
      <c r="AA74" s="1128"/>
      <c r="AB74" s="1128"/>
      <c r="AC74" s="1128"/>
      <c r="AD74" s="1181"/>
      <c r="AE74" s="1129"/>
      <c r="AF74" s="1143"/>
      <c r="AG74" s="1130"/>
      <c r="AH74" s="1131"/>
      <c r="AI74" s="1131"/>
      <c r="AJ74" s="1142"/>
      <c r="AK74" s="1129"/>
      <c r="AL74" s="1130"/>
      <c r="AM74" s="1130"/>
      <c r="AN74" s="1142"/>
      <c r="AO74" s="721">
        <f t="shared" si="49"/>
        <v>6</v>
      </c>
      <c r="AP74" s="722">
        <f t="shared" si="49"/>
        <v>2.5</v>
      </c>
      <c r="AQ74" s="723">
        <f t="shared" si="50"/>
        <v>3.5</v>
      </c>
      <c r="AR74" s="638" t="s">
        <v>42</v>
      </c>
      <c r="AS74" s="349"/>
    </row>
    <row r="75" spans="1:45" s="140" customFormat="1" ht="17" hidden="1" customHeight="1">
      <c r="B75" s="1878"/>
      <c r="C75" s="1889"/>
      <c r="D75" s="1" t="s">
        <v>22</v>
      </c>
      <c r="E75" s="350" t="s">
        <v>56</v>
      </c>
      <c r="F75" s="599" t="s">
        <v>337</v>
      </c>
      <c r="G75" s="599"/>
      <c r="H75" s="600">
        <v>45691</v>
      </c>
      <c r="I75" s="800">
        <v>46387</v>
      </c>
      <c r="J75" s="29"/>
      <c r="K75" s="3">
        <v>1</v>
      </c>
      <c r="L75" s="28">
        <f t="shared" ref="L75:L76" si="52">K75*$L$1</f>
        <v>1</v>
      </c>
      <c r="M75" s="3">
        <v>1</v>
      </c>
      <c r="N75" s="383">
        <f t="shared" si="10"/>
        <v>1</v>
      </c>
      <c r="O75" s="15">
        <v>1</v>
      </c>
      <c r="P75" s="374">
        <f t="shared" si="47"/>
        <v>1</v>
      </c>
      <c r="Q75" s="1131">
        <v>1</v>
      </c>
      <c r="R75" s="557">
        <f t="shared" si="48"/>
        <v>0.75</v>
      </c>
      <c r="S75" s="1212">
        <v>1</v>
      </c>
      <c r="T75" s="1128"/>
      <c r="U75" s="1128">
        <v>1</v>
      </c>
      <c r="V75" s="1128"/>
      <c r="W75" s="1128">
        <v>1</v>
      </c>
      <c r="X75" s="1128"/>
      <c r="Y75" s="1128">
        <v>1</v>
      </c>
      <c r="Z75" s="1128"/>
      <c r="AA75" s="1128">
        <v>1</v>
      </c>
      <c r="AB75" s="1128"/>
      <c r="AC75" s="1128">
        <v>1</v>
      </c>
      <c r="AD75" s="1181"/>
      <c r="AE75" s="1129"/>
      <c r="AF75" s="1143"/>
      <c r="AG75" s="1130"/>
      <c r="AH75" s="1131"/>
      <c r="AI75" s="1131"/>
      <c r="AJ75" s="1142"/>
      <c r="AK75" s="1129"/>
      <c r="AL75" s="1130"/>
      <c r="AM75" s="1130"/>
      <c r="AN75" s="1142"/>
      <c r="AO75" s="721">
        <f t="shared" si="49"/>
        <v>10</v>
      </c>
      <c r="AP75" s="722">
        <f t="shared" si="49"/>
        <v>3.75</v>
      </c>
      <c r="AQ75" s="723">
        <f t="shared" si="50"/>
        <v>6.25</v>
      </c>
      <c r="AR75" s="643" t="s">
        <v>43</v>
      </c>
      <c r="AS75" s="349"/>
    </row>
    <row r="76" spans="1:45" s="140" customFormat="1" ht="17" hidden="1" customHeight="1" thickBot="1">
      <c r="B76" s="1878"/>
      <c r="C76" s="1889"/>
      <c r="D76" s="1" t="s">
        <v>22</v>
      </c>
      <c r="E76" s="350" t="s">
        <v>56</v>
      </c>
      <c r="F76" s="599" t="s">
        <v>338</v>
      </c>
      <c r="G76" s="599"/>
      <c r="H76" s="600">
        <v>45691</v>
      </c>
      <c r="I76" s="800">
        <v>46295</v>
      </c>
      <c r="J76" s="29"/>
      <c r="K76" s="3">
        <v>1</v>
      </c>
      <c r="L76" s="28">
        <f t="shared" si="52"/>
        <v>1</v>
      </c>
      <c r="M76" s="3">
        <v>1</v>
      </c>
      <c r="N76" s="374">
        <f t="shared" si="10"/>
        <v>1</v>
      </c>
      <c r="O76" s="15">
        <v>1</v>
      </c>
      <c r="P76" s="374">
        <f t="shared" si="47"/>
        <v>1</v>
      </c>
      <c r="Q76" s="1131">
        <v>1</v>
      </c>
      <c r="R76" s="557">
        <f t="shared" si="48"/>
        <v>0.75</v>
      </c>
      <c r="S76" s="1212">
        <v>1</v>
      </c>
      <c r="T76" s="1128"/>
      <c r="U76" s="1128">
        <v>1</v>
      </c>
      <c r="V76" s="1128"/>
      <c r="W76" s="1128">
        <v>1</v>
      </c>
      <c r="X76" s="1128"/>
      <c r="Y76" s="1128">
        <v>1</v>
      </c>
      <c r="Z76" s="1128"/>
      <c r="AA76" s="1128">
        <v>1</v>
      </c>
      <c r="AB76" s="1128"/>
      <c r="AC76" s="1128"/>
      <c r="AD76" s="1181"/>
      <c r="AE76" s="1129"/>
      <c r="AF76" s="1143"/>
      <c r="AG76" s="1130"/>
      <c r="AH76" s="1131"/>
      <c r="AI76" s="1131"/>
      <c r="AJ76" s="1142"/>
      <c r="AK76" s="1129"/>
      <c r="AL76" s="1130"/>
      <c r="AM76" s="1130"/>
      <c r="AN76" s="1142"/>
      <c r="AO76" s="721">
        <f t="shared" si="49"/>
        <v>9</v>
      </c>
      <c r="AP76" s="722">
        <f t="shared" si="49"/>
        <v>3.75</v>
      </c>
      <c r="AQ76" s="723">
        <f t="shared" si="50"/>
        <v>5.25</v>
      </c>
      <c r="AR76" s="697" t="s">
        <v>43</v>
      </c>
      <c r="AS76" s="349"/>
    </row>
    <row r="77" spans="1:45" s="140" customFormat="1" ht="17" hidden="1" customHeight="1">
      <c r="B77" s="1878"/>
      <c r="C77" s="1889"/>
      <c r="D77" s="17" t="s">
        <v>19</v>
      </c>
      <c r="E77" s="490" t="s">
        <v>56</v>
      </c>
      <c r="F77" s="764" t="s">
        <v>596</v>
      </c>
      <c r="G77" s="764" t="s">
        <v>557</v>
      </c>
      <c r="H77" s="919">
        <v>45748</v>
      </c>
      <c r="I77" s="918">
        <v>46022</v>
      </c>
      <c r="J77" s="580"/>
      <c r="K77" s="4"/>
      <c r="L77" s="4"/>
      <c r="M77" s="4"/>
      <c r="N77" s="390"/>
      <c r="O77" s="958">
        <v>0</v>
      </c>
      <c r="P77" s="765">
        <f>$O$1*$P$1</f>
        <v>1</v>
      </c>
      <c r="Q77" s="1126">
        <v>0</v>
      </c>
      <c r="R77" s="1368">
        <f>R$1*Q1</f>
        <v>0.75</v>
      </c>
      <c r="S77" s="1361">
        <v>0</v>
      </c>
      <c r="T77" s="1369"/>
      <c r="U77" s="1126">
        <v>0</v>
      </c>
      <c r="V77" s="1369"/>
      <c r="W77" s="1126">
        <v>0</v>
      </c>
      <c r="X77" s="1369"/>
      <c r="Y77" s="1126">
        <v>0</v>
      </c>
      <c r="Z77" s="1369"/>
      <c r="AA77" s="1126">
        <v>0</v>
      </c>
      <c r="AB77" s="1369"/>
      <c r="AC77" s="1126">
        <v>0</v>
      </c>
      <c r="AD77" s="1368"/>
      <c r="AE77" s="1361">
        <v>0</v>
      </c>
      <c r="AF77" s="1370"/>
      <c r="AG77" s="536"/>
      <c r="AH77" s="383"/>
      <c r="AI77" s="536"/>
      <c r="AJ77" s="54"/>
      <c r="AK77" s="1380"/>
      <c r="AL77" s="53"/>
      <c r="AM77" s="536"/>
      <c r="AN77" s="1183"/>
      <c r="AO77" s="522">
        <f t="shared" si="49"/>
        <v>0</v>
      </c>
      <c r="AP77" s="524">
        <f t="shared" si="49"/>
        <v>1.75</v>
      </c>
      <c r="AQ77" s="525">
        <f t="shared" si="50"/>
        <v>-1.75</v>
      </c>
      <c r="AR77" s="643" t="s">
        <v>43</v>
      </c>
      <c r="AS77" s="349"/>
    </row>
    <row r="78" spans="1:45" s="140" customFormat="1" ht="17" hidden="1" customHeight="1">
      <c r="B78" s="1900"/>
      <c r="C78" s="1889"/>
      <c r="D78" s="902" t="s">
        <v>19</v>
      </c>
      <c r="E78" s="1397" t="s">
        <v>661</v>
      </c>
      <c r="F78" s="1085" t="s">
        <v>662</v>
      </c>
      <c r="G78" s="764" t="s">
        <v>557</v>
      </c>
      <c r="H78" s="920">
        <v>45810</v>
      </c>
      <c r="I78" s="921">
        <v>46022</v>
      </c>
      <c r="J78" s="796"/>
      <c r="K78" s="43"/>
      <c r="L78" s="43"/>
      <c r="M78" s="43"/>
      <c r="N78" s="498"/>
      <c r="O78" s="958"/>
      <c r="P78" s="903"/>
      <c r="Q78" s="536"/>
      <c r="R78" s="557"/>
      <c r="S78" s="1361"/>
      <c r="T78" s="1387"/>
      <c r="U78" s="1126"/>
      <c r="V78" s="1387"/>
      <c r="W78" s="1126"/>
      <c r="X78" s="1387"/>
      <c r="Y78" s="1126"/>
      <c r="Z78" s="1387"/>
      <c r="AA78" s="1126"/>
      <c r="AB78" s="1387"/>
      <c r="AC78" s="1126"/>
      <c r="AD78" s="1371"/>
      <c r="AE78" s="1361"/>
      <c r="AF78" s="1388"/>
      <c r="AG78" s="536"/>
      <c r="AH78" s="900"/>
      <c r="AI78" s="536"/>
      <c r="AJ78" s="780"/>
      <c r="AK78" s="1380"/>
      <c r="AL78" s="744"/>
      <c r="AM78" s="536"/>
      <c r="AN78" s="1216"/>
      <c r="AO78" s="523"/>
      <c r="AP78" s="520"/>
      <c r="AQ78" s="521"/>
      <c r="AR78" s="687"/>
      <c r="AS78" s="349"/>
    </row>
    <row r="79" spans="1:45" s="140" customFormat="1" ht="17" hidden="1" customHeight="1" thickBot="1">
      <c r="B79" s="1899"/>
      <c r="C79" s="1889"/>
      <c r="D79" s="44" t="s">
        <v>19</v>
      </c>
      <c r="E79" s="491" t="s">
        <v>56</v>
      </c>
      <c r="F79" s="971" t="s">
        <v>597</v>
      </c>
      <c r="G79" s="971" t="s">
        <v>557</v>
      </c>
      <c r="H79" s="973">
        <v>45748</v>
      </c>
      <c r="I79" s="921">
        <v>46022</v>
      </c>
      <c r="J79" s="793"/>
      <c r="K79" s="8"/>
      <c r="L79" s="8"/>
      <c r="M79" s="8"/>
      <c r="N79" s="964"/>
      <c r="O79" s="965">
        <v>0</v>
      </c>
      <c r="P79" s="832">
        <f>$O$1*$P$1</f>
        <v>1</v>
      </c>
      <c r="Q79" s="1127">
        <v>0</v>
      </c>
      <c r="R79" s="1371">
        <f>R$1*Q1</f>
        <v>0.75</v>
      </c>
      <c r="S79" s="1362">
        <v>0</v>
      </c>
      <c r="T79" s="1127"/>
      <c r="U79" s="1127">
        <v>0</v>
      </c>
      <c r="V79" s="1127"/>
      <c r="W79" s="1127">
        <v>0</v>
      </c>
      <c r="X79" s="1127"/>
      <c r="Y79" s="1127">
        <v>0</v>
      </c>
      <c r="Z79" s="1127"/>
      <c r="AA79" s="1127">
        <v>0</v>
      </c>
      <c r="AB79" s="1127"/>
      <c r="AC79" s="1127">
        <v>0</v>
      </c>
      <c r="AD79" s="1372"/>
      <c r="AE79" s="1362">
        <v>0</v>
      </c>
      <c r="AF79" s="1373"/>
      <c r="AG79" s="539"/>
      <c r="AH79" s="376"/>
      <c r="AI79" s="539"/>
      <c r="AJ79" s="122"/>
      <c r="AK79" s="1381"/>
      <c r="AL79" s="592"/>
      <c r="AM79" s="596"/>
      <c r="AN79" s="1217"/>
      <c r="AO79" s="624">
        <f t="shared" si="49"/>
        <v>0</v>
      </c>
      <c r="AP79" s="626">
        <f t="shared" si="49"/>
        <v>1.75</v>
      </c>
      <c r="AQ79" s="625">
        <f t="shared" si="50"/>
        <v>-1.75</v>
      </c>
      <c r="AR79" s="697" t="s">
        <v>43</v>
      </c>
      <c r="AS79" s="349"/>
    </row>
    <row r="80" spans="1:45" s="140" customFormat="1" ht="17" hidden="1" customHeight="1">
      <c r="B80" s="1878"/>
      <c r="C80" s="1890" t="s">
        <v>344</v>
      </c>
      <c r="D80" s="93" t="s">
        <v>21</v>
      </c>
      <c r="E80" s="9" t="s">
        <v>56</v>
      </c>
      <c r="F80" s="970" t="s">
        <v>339</v>
      </c>
      <c r="G80" s="493"/>
      <c r="H80" s="975">
        <v>45726</v>
      </c>
      <c r="I80" s="976">
        <v>46127</v>
      </c>
      <c r="J80" s="366"/>
      <c r="K80" s="700"/>
      <c r="L80" s="700"/>
      <c r="M80" s="700">
        <v>0.75</v>
      </c>
      <c r="N80" s="383">
        <f t="shared" ref="N80:N139" si="53">M80*N$1</f>
        <v>0.75</v>
      </c>
      <c r="O80" s="13">
        <v>1</v>
      </c>
      <c r="P80" s="49">
        <f t="shared" ref="P80:P107" si="54">$P$1*O80</f>
        <v>1</v>
      </c>
      <c r="Q80" s="1149">
        <v>1</v>
      </c>
      <c r="R80" s="373">
        <f t="shared" si="48"/>
        <v>0.75</v>
      </c>
      <c r="S80" s="1148">
        <v>1</v>
      </c>
      <c r="T80" s="1149"/>
      <c r="U80" s="1149">
        <v>1</v>
      </c>
      <c r="V80" s="1149"/>
      <c r="W80" s="1149">
        <v>1</v>
      </c>
      <c r="X80" s="1149"/>
      <c r="Y80" s="1149">
        <v>1</v>
      </c>
      <c r="Z80" s="1149"/>
      <c r="AA80" s="1149">
        <v>1</v>
      </c>
      <c r="AB80" s="1149"/>
      <c r="AC80" s="1149">
        <v>1</v>
      </c>
      <c r="AD80" s="1145"/>
      <c r="AE80" s="1148">
        <v>1</v>
      </c>
      <c r="AF80" s="1149"/>
      <c r="AG80" s="1149">
        <v>1</v>
      </c>
      <c r="AH80" s="1149"/>
      <c r="AI80" s="1149">
        <v>1</v>
      </c>
      <c r="AJ80" s="1211"/>
      <c r="AK80" s="1218">
        <v>1</v>
      </c>
      <c r="AL80" s="1182"/>
      <c r="AM80" s="1182">
        <v>0.5</v>
      </c>
      <c r="AN80" s="1183"/>
      <c r="AO80" s="719">
        <f t="shared" si="49"/>
        <v>13.25</v>
      </c>
      <c r="AP80" s="524">
        <f t="shared" si="49"/>
        <v>2.5</v>
      </c>
      <c r="AQ80" s="525">
        <f t="shared" si="50"/>
        <v>10.75</v>
      </c>
      <c r="AR80" s="643" t="s">
        <v>283</v>
      </c>
      <c r="AS80" s="349"/>
    </row>
    <row r="81" spans="1:45" s="140" customFormat="1" ht="17" hidden="1" customHeight="1">
      <c r="B81" s="1878"/>
      <c r="C81" s="1891"/>
      <c r="D81" s="1" t="s">
        <v>21</v>
      </c>
      <c r="E81" s="1" t="s">
        <v>56</v>
      </c>
      <c r="F81" s="11" t="s">
        <v>577</v>
      </c>
      <c r="G81" s="350"/>
      <c r="H81" s="977">
        <v>45726</v>
      </c>
      <c r="I81" s="978">
        <v>46112</v>
      </c>
      <c r="J81" s="29"/>
      <c r="K81" s="354"/>
      <c r="L81" s="354"/>
      <c r="M81" s="354">
        <v>0.75</v>
      </c>
      <c r="N81" s="383">
        <f t="shared" si="53"/>
        <v>0.75</v>
      </c>
      <c r="O81" s="15">
        <v>1</v>
      </c>
      <c r="P81" s="28">
        <f t="shared" si="54"/>
        <v>1</v>
      </c>
      <c r="Q81" s="1130">
        <v>1</v>
      </c>
      <c r="R81" s="374">
        <f t="shared" si="48"/>
        <v>0.75</v>
      </c>
      <c r="S81" s="1129">
        <v>1</v>
      </c>
      <c r="T81" s="1130"/>
      <c r="U81" s="1130">
        <v>1</v>
      </c>
      <c r="V81" s="1130"/>
      <c r="W81" s="1130">
        <v>1</v>
      </c>
      <c r="X81" s="1130"/>
      <c r="Y81" s="1130">
        <v>1</v>
      </c>
      <c r="Z81" s="1130"/>
      <c r="AA81" s="1130">
        <v>1</v>
      </c>
      <c r="AB81" s="1130"/>
      <c r="AC81" s="1130">
        <v>1</v>
      </c>
      <c r="AD81" s="1131"/>
      <c r="AE81" s="1129">
        <v>1</v>
      </c>
      <c r="AF81" s="1130"/>
      <c r="AG81" s="1130">
        <v>1</v>
      </c>
      <c r="AH81" s="1130"/>
      <c r="AI81" s="1219">
        <v>1</v>
      </c>
      <c r="AJ81" s="1214"/>
      <c r="AK81" s="1220">
        <v>1</v>
      </c>
      <c r="AL81" s="1219"/>
      <c r="AM81" s="1130">
        <v>0.5</v>
      </c>
      <c r="AN81" s="1142"/>
      <c r="AO81" s="719">
        <f t="shared" si="49"/>
        <v>13.25</v>
      </c>
      <c r="AP81" s="524">
        <f t="shared" si="49"/>
        <v>2.5</v>
      </c>
      <c r="AQ81" s="525">
        <f t="shared" si="50"/>
        <v>10.75</v>
      </c>
      <c r="AR81" s="638" t="s">
        <v>283</v>
      </c>
      <c r="AS81" s="349"/>
    </row>
    <row r="82" spans="1:45" s="140" customFormat="1" ht="17" hidden="1" customHeight="1">
      <c r="B82" s="1878"/>
      <c r="C82" s="1891"/>
      <c r="D82" s="1" t="s">
        <v>21</v>
      </c>
      <c r="E82" s="1" t="s">
        <v>56</v>
      </c>
      <c r="F82" s="11" t="s">
        <v>340</v>
      </c>
      <c r="G82" s="350"/>
      <c r="H82" s="977">
        <v>45748</v>
      </c>
      <c r="I82" s="978">
        <v>46112</v>
      </c>
      <c r="J82" s="29"/>
      <c r="K82" s="354"/>
      <c r="L82" s="354"/>
      <c r="M82" s="354"/>
      <c r="N82" s="383"/>
      <c r="O82" s="15">
        <v>1</v>
      </c>
      <c r="P82" s="28">
        <f t="shared" si="54"/>
        <v>1</v>
      </c>
      <c r="Q82" s="1130">
        <v>1</v>
      </c>
      <c r="R82" s="374">
        <f t="shared" si="48"/>
        <v>0.75</v>
      </c>
      <c r="S82" s="1129">
        <v>1</v>
      </c>
      <c r="T82" s="1130"/>
      <c r="U82" s="1130">
        <v>1</v>
      </c>
      <c r="V82" s="1130"/>
      <c r="W82" s="1130">
        <v>1</v>
      </c>
      <c r="X82" s="1130"/>
      <c r="Y82" s="1130">
        <v>1</v>
      </c>
      <c r="Z82" s="1130"/>
      <c r="AA82" s="1130">
        <v>1</v>
      </c>
      <c r="AB82" s="1130"/>
      <c r="AC82" s="1130">
        <v>1</v>
      </c>
      <c r="AD82" s="1131"/>
      <c r="AE82" s="1129">
        <v>1</v>
      </c>
      <c r="AF82" s="1130"/>
      <c r="AG82" s="1219">
        <v>1</v>
      </c>
      <c r="AH82" s="1219"/>
      <c r="AI82" s="1219">
        <v>0.5</v>
      </c>
      <c r="AJ82" s="1214"/>
      <c r="AK82" s="1220"/>
      <c r="AL82" s="1219"/>
      <c r="AM82" s="1130"/>
      <c r="AN82" s="1142"/>
      <c r="AO82" s="719">
        <f t="shared" si="49"/>
        <v>10.5</v>
      </c>
      <c r="AP82" s="524">
        <f t="shared" si="49"/>
        <v>1.75</v>
      </c>
      <c r="AQ82" s="525">
        <f t="shared" si="50"/>
        <v>8.75</v>
      </c>
      <c r="AR82" s="638" t="s">
        <v>42</v>
      </c>
      <c r="AS82" s="349"/>
    </row>
    <row r="83" spans="1:45" s="140" customFormat="1" ht="17" hidden="1" customHeight="1">
      <c r="B83" s="1878"/>
      <c r="C83" s="1891"/>
      <c r="D83" s="1" t="s">
        <v>22</v>
      </c>
      <c r="E83" s="1" t="s">
        <v>56</v>
      </c>
      <c r="F83" s="11" t="s">
        <v>326</v>
      </c>
      <c r="G83" s="350"/>
      <c r="H83" s="977">
        <v>45726</v>
      </c>
      <c r="I83" s="978">
        <v>46112</v>
      </c>
      <c r="J83" s="29"/>
      <c r="K83" s="354"/>
      <c r="L83" s="354"/>
      <c r="M83" s="354">
        <v>0.75</v>
      </c>
      <c r="N83" s="383">
        <f t="shared" si="53"/>
        <v>0.75</v>
      </c>
      <c r="O83" s="15">
        <v>1</v>
      </c>
      <c r="P83" s="28">
        <f t="shared" si="54"/>
        <v>1</v>
      </c>
      <c r="Q83" s="1130">
        <v>1</v>
      </c>
      <c r="R83" s="374">
        <f t="shared" si="48"/>
        <v>0.75</v>
      </c>
      <c r="S83" s="1129">
        <v>1</v>
      </c>
      <c r="T83" s="1130"/>
      <c r="U83" s="1130">
        <v>1</v>
      </c>
      <c r="V83" s="1130"/>
      <c r="W83" s="1130">
        <v>1</v>
      </c>
      <c r="X83" s="1130"/>
      <c r="Y83" s="1130">
        <v>1</v>
      </c>
      <c r="Z83" s="1130"/>
      <c r="AA83" s="1130">
        <v>1</v>
      </c>
      <c r="AB83" s="1130"/>
      <c r="AC83" s="1130">
        <v>1</v>
      </c>
      <c r="AD83" s="1131"/>
      <c r="AE83" s="1129">
        <v>1</v>
      </c>
      <c r="AF83" s="1130"/>
      <c r="AG83" s="1130">
        <v>1</v>
      </c>
      <c r="AH83" s="1130"/>
      <c r="AI83" s="1130">
        <v>1</v>
      </c>
      <c r="AJ83" s="1142"/>
      <c r="AK83" s="1143">
        <v>1</v>
      </c>
      <c r="AL83" s="1130"/>
      <c r="AM83" s="1130">
        <v>0.5</v>
      </c>
      <c r="AN83" s="1142"/>
      <c r="AO83" s="719">
        <f t="shared" si="49"/>
        <v>13.25</v>
      </c>
      <c r="AP83" s="524">
        <f t="shared" si="49"/>
        <v>2.5</v>
      </c>
      <c r="AQ83" s="525">
        <f t="shared" si="50"/>
        <v>10.75</v>
      </c>
      <c r="AR83" s="638" t="s">
        <v>43</v>
      </c>
      <c r="AS83" s="349"/>
    </row>
    <row r="84" spans="1:45" s="140" customFormat="1" ht="17" hidden="1" customHeight="1">
      <c r="B84" s="1878"/>
      <c r="C84" s="1891"/>
      <c r="D84" s="1" t="s">
        <v>22</v>
      </c>
      <c r="E84" s="1" t="s">
        <v>56</v>
      </c>
      <c r="F84" s="11" t="s">
        <v>341</v>
      </c>
      <c r="G84" s="350"/>
      <c r="H84" s="977">
        <v>45748</v>
      </c>
      <c r="I84" s="978">
        <v>46356</v>
      </c>
      <c r="J84" s="29"/>
      <c r="K84" s="354"/>
      <c r="L84" s="354"/>
      <c r="M84" s="354"/>
      <c r="N84" s="383"/>
      <c r="O84" s="15">
        <v>1</v>
      </c>
      <c r="P84" s="28">
        <f t="shared" si="54"/>
        <v>1</v>
      </c>
      <c r="Q84" s="1130">
        <v>1</v>
      </c>
      <c r="R84" s="374">
        <f t="shared" si="48"/>
        <v>0.75</v>
      </c>
      <c r="S84" s="1129">
        <v>1</v>
      </c>
      <c r="T84" s="1130"/>
      <c r="U84" s="1130">
        <v>1</v>
      </c>
      <c r="V84" s="1130"/>
      <c r="W84" s="1130">
        <v>1</v>
      </c>
      <c r="X84" s="1130"/>
      <c r="Y84" s="1130">
        <v>1</v>
      </c>
      <c r="Z84" s="1130"/>
      <c r="AA84" s="1130">
        <v>1</v>
      </c>
      <c r="AB84" s="1130"/>
      <c r="AC84" s="1130"/>
      <c r="AD84" s="1131"/>
      <c r="AE84" s="1129"/>
      <c r="AF84" s="1130"/>
      <c r="AG84" s="1130"/>
      <c r="AH84" s="1130"/>
      <c r="AI84" s="1130"/>
      <c r="AJ84" s="1142"/>
      <c r="AK84" s="1143"/>
      <c r="AL84" s="1130"/>
      <c r="AM84" s="1130"/>
      <c r="AN84" s="1142"/>
      <c r="AO84" s="719">
        <f t="shared" si="49"/>
        <v>7</v>
      </c>
      <c r="AP84" s="524">
        <f t="shared" si="49"/>
        <v>1.75</v>
      </c>
      <c r="AQ84" s="525">
        <f t="shared" si="50"/>
        <v>5.25</v>
      </c>
      <c r="AR84" s="638" t="s">
        <v>43</v>
      </c>
      <c r="AS84" s="349"/>
    </row>
    <row r="85" spans="1:45" s="140" customFormat="1" ht="17" hidden="1" customHeight="1">
      <c r="B85" s="1878"/>
      <c r="C85" s="1891"/>
      <c r="D85" s="1" t="s">
        <v>22</v>
      </c>
      <c r="E85" s="1" t="s">
        <v>56</v>
      </c>
      <c r="F85" s="11" t="s">
        <v>342</v>
      </c>
      <c r="G85" s="350"/>
      <c r="H85" s="977">
        <v>45726</v>
      </c>
      <c r="I85" s="978">
        <v>46356</v>
      </c>
      <c r="J85" s="29"/>
      <c r="K85" s="354"/>
      <c r="L85" s="354"/>
      <c r="M85" s="354">
        <v>0.75</v>
      </c>
      <c r="N85" s="383">
        <f t="shared" si="53"/>
        <v>0.75</v>
      </c>
      <c r="O85" s="15">
        <v>1</v>
      </c>
      <c r="P85" s="28">
        <f t="shared" si="54"/>
        <v>1</v>
      </c>
      <c r="Q85" s="1130">
        <v>1</v>
      </c>
      <c r="R85" s="374">
        <f t="shared" si="48"/>
        <v>0.75</v>
      </c>
      <c r="S85" s="1129">
        <v>1</v>
      </c>
      <c r="T85" s="1130"/>
      <c r="U85" s="1130">
        <v>1</v>
      </c>
      <c r="V85" s="1130"/>
      <c r="W85" s="1130">
        <v>1</v>
      </c>
      <c r="X85" s="1130"/>
      <c r="Y85" s="1130">
        <v>1</v>
      </c>
      <c r="Z85" s="1130"/>
      <c r="AA85" s="1130">
        <v>1</v>
      </c>
      <c r="AB85" s="1130"/>
      <c r="AC85" s="1130">
        <v>1</v>
      </c>
      <c r="AD85" s="1213"/>
      <c r="AE85" s="1129"/>
      <c r="AF85" s="1130"/>
      <c r="AG85" s="1130"/>
      <c r="AH85" s="1130"/>
      <c r="AI85" s="1130"/>
      <c r="AJ85" s="1142"/>
      <c r="AK85" s="1143"/>
      <c r="AL85" s="1130"/>
      <c r="AM85" s="1130"/>
      <c r="AN85" s="1142"/>
      <c r="AO85" s="719">
        <f t="shared" si="49"/>
        <v>8.75</v>
      </c>
      <c r="AP85" s="524">
        <f t="shared" si="49"/>
        <v>2.5</v>
      </c>
      <c r="AQ85" s="525">
        <f t="shared" si="50"/>
        <v>6.25</v>
      </c>
      <c r="AR85" s="638" t="s">
        <v>43</v>
      </c>
      <c r="AS85" s="349"/>
    </row>
    <row r="86" spans="1:45" s="140" customFormat="1" ht="17" hidden="1" customHeight="1" thickBot="1">
      <c r="B86" s="1900"/>
      <c r="C86" s="1891"/>
      <c r="D86" s="1" t="s">
        <v>22</v>
      </c>
      <c r="E86" s="1" t="s">
        <v>56</v>
      </c>
      <c r="F86" s="11" t="s">
        <v>343</v>
      </c>
      <c r="G86" s="350"/>
      <c r="H86" s="977">
        <v>45748</v>
      </c>
      <c r="I86" s="978">
        <v>46341</v>
      </c>
      <c r="J86" s="360"/>
      <c r="K86" s="5"/>
      <c r="L86" s="5"/>
      <c r="M86" s="5"/>
      <c r="N86" s="595"/>
      <c r="O86" s="15">
        <v>1</v>
      </c>
      <c r="P86" s="28">
        <f t="shared" si="54"/>
        <v>1</v>
      </c>
      <c r="Q86" s="1130">
        <v>1</v>
      </c>
      <c r="R86" s="374">
        <f t="shared" si="48"/>
        <v>0.75</v>
      </c>
      <c r="S86" s="1129">
        <v>1</v>
      </c>
      <c r="T86" s="1130"/>
      <c r="U86" s="1130">
        <v>1</v>
      </c>
      <c r="V86" s="1130"/>
      <c r="W86" s="1130">
        <v>1</v>
      </c>
      <c r="X86" s="1130"/>
      <c r="Y86" s="1130">
        <v>1</v>
      </c>
      <c r="Z86" s="1130"/>
      <c r="AA86" s="1130">
        <v>1</v>
      </c>
      <c r="AB86" s="1130"/>
      <c r="AC86" s="1130"/>
      <c r="AD86" s="1213"/>
      <c r="AE86" s="1129"/>
      <c r="AF86" s="1130"/>
      <c r="AG86" s="1130"/>
      <c r="AH86" s="1130"/>
      <c r="AI86" s="1130"/>
      <c r="AJ86" s="1142"/>
      <c r="AK86" s="1137"/>
      <c r="AL86" s="1138"/>
      <c r="AM86" s="1138"/>
      <c r="AN86" s="1140"/>
      <c r="AO86" s="720">
        <f t="shared" si="49"/>
        <v>7</v>
      </c>
      <c r="AP86" s="520">
        <f t="shared" si="49"/>
        <v>1.75</v>
      </c>
      <c r="AQ86" s="521">
        <f t="shared" si="50"/>
        <v>5.25</v>
      </c>
      <c r="AR86" s="639" t="s">
        <v>42</v>
      </c>
      <c r="AS86" s="349"/>
    </row>
    <row r="87" spans="1:45" s="140" customFormat="1" ht="17" hidden="1" customHeight="1" thickBot="1">
      <c r="B87" s="1900"/>
      <c r="C87" s="1892"/>
      <c r="D87" s="95" t="s">
        <v>22</v>
      </c>
      <c r="E87" s="95" t="s">
        <v>56</v>
      </c>
      <c r="F87" s="1086" t="s">
        <v>660</v>
      </c>
      <c r="G87" s="972" t="s">
        <v>557</v>
      </c>
      <c r="H87" s="979">
        <v>45810</v>
      </c>
      <c r="I87" s="980">
        <v>46022</v>
      </c>
      <c r="J87" s="898"/>
      <c r="K87" s="43"/>
      <c r="L87" s="43"/>
      <c r="M87" s="43"/>
      <c r="N87" s="900"/>
      <c r="O87" s="15"/>
      <c r="P87" s="28"/>
      <c r="Q87" s="28"/>
      <c r="R87" s="374"/>
      <c r="S87" s="1363">
        <v>0</v>
      </c>
      <c r="T87" s="1125"/>
      <c r="U87" s="1125">
        <v>0</v>
      </c>
      <c r="V87" s="1125"/>
      <c r="W87" s="1125">
        <v>0</v>
      </c>
      <c r="X87" s="1125"/>
      <c r="Y87" s="1125">
        <v>0</v>
      </c>
      <c r="Z87" s="1125"/>
      <c r="AA87" s="1125">
        <v>0</v>
      </c>
      <c r="AB87" s="1125"/>
      <c r="AC87" s="1125">
        <v>0</v>
      </c>
      <c r="AD87" s="1385"/>
      <c r="AE87" s="1363">
        <v>0</v>
      </c>
      <c r="AF87" s="1125"/>
      <c r="AG87" s="1130"/>
      <c r="AH87" s="1130"/>
      <c r="AI87" s="1130"/>
      <c r="AJ87" s="1142"/>
      <c r="AK87" s="1221"/>
      <c r="AL87" s="1222"/>
      <c r="AM87" s="1222"/>
      <c r="AN87" s="1216"/>
      <c r="AO87" s="825">
        <f t="shared" si="49"/>
        <v>0</v>
      </c>
      <c r="AP87" s="825">
        <f t="shared" si="49"/>
        <v>0</v>
      </c>
      <c r="AQ87" s="825">
        <f t="shared" si="49"/>
        <v>0</v>
      </c>
      <c r="AR87" s="687"/>
      <c r="AS87" s="349"/>
    </row>
    <row r="88" spans="1:45" s="140" customFormat="1" ht="17" hidden="1" customHeight="1" thickBot="1">
      <c r="B88" s="1900"/>
      <c r="C88" s="1893"/>
      <c r="D88" s="569" t="s">
        <v>22</v>
      </c>
      <c r="E88" s="569" t="s">
        <v>56</v>
      </c>
      <c r="F88" s="1087" t="s">
        <v>660</v>
      </c>
      <c r="G88" s="1075" t="s">
        <v>557</v>
      </c>
      <c r="H88" s="981">
        <v>45810</v>
      </c>
      <c r="I88" s="982">
        <v>46022</v>
      </c>
      <c r="J88" s="898"/>
      <c r="K88" s="43"/>
      <c r="L88" s="43"/>
      <c r="M88" s="43"/>
      <c r="N88" s="900"/>
      <c r="O88" s="21"/>
      <c r="P88" s="592"/>
      <c r="Q88" s="592"/>
      <c r="R88" s="595"/>
      <c r="S88" s="1375">
        <v>0</v>
      </c>
      <c r="T88" s="1376"/>
      <c r="U88" s="1376">
        <v>0</v>
      </c>
      <c r="V88" s="1376"/>
      <c r="W88" s="1376">
        <v>0</v>
      </c>
      <c r="X88" s="1376"/>
      <c r="Y88" s="1376">
        <v>0</v>
      </c>
      <c r="Z88" s="1376"/>
      <c r="AA88" s="1376">
        <v>0</v>
      </c>
      <c r="AB88" s="1376"/>
      <c r="AC88" s="1376">
        <v>0</v>
      </c>
      <c r="AD88" s="1386"/>
      <c r="AE88" s="1375">
        <v>0</v>
      </c>
      <c r="AF88" s="1376"/>
      <c r="AG88" s="1223"/>
      <c r="AH88" s="1223"/>
      <c r="AI88" s="1223"/>
      <c r="AJ88" s="1217"/>
      <c r="AK88" s="1221"/>
      <c r="AL88" s="1222"/>
      <c r="AM88" s="1222"/>
      <c r="AN88" s="1216"/>
      <c r="AO88" s="825">
        <f t="shared" si="49"/>
        <v>0</v>
      </c>
      <c r="AP88" s="825">
        <f t="shared" si="49"/>
        <v>0</v>
      </c>
      <c r="AQ88" s="825">
        <f t="shared" si="49"/>
        <v>0</v>
      </c>
      <c r="AR88" s="687"/>
      <c r="AS88" s="349"/>
    </row>
    <row r="89" spans="1:45" s="140" customFormat="1" ht="17" customHeight="1">
      <c r="B89" s="1877"/>
      <c r="C89" s="1894" t="s">
        <v>671</v>
      </c>
      <c r="D89" s="936" t="s">
        <v>19</v>
      </c>
      <c r="E89" s="953" t="s">
        <v>17</v>
      </c>
      <c r="F89" s="953" t="s">
        <v>278</v>
      </c>
      <c r="G89" s="1076"/>
      <c r="H89" s="840">
        <v>45691</v>
      </c>
      <c r="I89" s="803">
        <v>46096</v>
      </c>
      <c r="J89" s="794"/>
      <c r="K89" s="531">
        <v>1</v>
      </c>
      <c r="L89" s="7">
        <f t="shared" ref="L89:L90" si="55">K89*$L$1</f>
        <v>1</v>
      </c>
      <c r="M89" s="531">
        <v>1</v>
      </c>
      <c r="N89" s="4">
        <f t="shared" ref="N89:N90" si="56">M89*N$1</f>
        <v>1</v>
      </c>
      <c r="O89" s="128">
        <v>1</v>
      </c>
      <c r="P89" s="390">
        <f t="shared" si="54"/>
        <v>1</v>
      </c>
      <c r="Q89" s="1224">
        <v>1</v>
      </c>
      <c r="R89" s="506">
        <f t="shared" si="48"/>
        <v>0.75</v>
      </c>
      <c r="S89" s="1225">
        <v>1</v>
      </c>
      <c r="T89" s="1226"/>
      <c r="U89" s="1226">
        <v>1</v>
      </c>
      <c r="V89" s="1226"/>
      <c r="W89" s="1226">
        <v>1</v>
      </c>
      <c r="X89" s="1226"/>
      <c r="Y89" s="1226">
        <v>1</v>
      </c>
      <c r="Z89" s="1226"/>
      <c r="AA89" s="1226">
        <v>1</v>
      </c>
      <c r="AB89" s="1226"/>
      <c r="AC89" s="1226">
        <v>1</v>
      </c>
      <c r="AD89" s="1227"/>
      <c r="AE89" s="1228">
        <v>1</v>
      </c>
      <c r="AF89" s="1229"/>
      <c r="AG89" s="1229">
        <v>1</v>
      </c>
      <c r="AH89" s="1230"/>
      <c r="AI89" s="1224">
        <v>1</v>
      </c>
      <c r="AJ89" s="1231"/>
      <c r="AK89" s="1232">
        <v>0.5</v>
      </c>
      <c r="AL89" s="1233"/>
      <c r="AM89" s="1149"/>
      <c r="AN89" s="1211"/>
      <c r="AO89" s="825">
        <f t="shared" si="49"/>
        <v>13.5</v>
      </c>
      <c r="AP89" s="512">
        <f t="shared" si="49"/>
        <v>3.75</v>
      </c>
      <c r="AQ89" s="513">
        <f t="shared" si="50"/>
        <v>9.75</v>
      </c>
      <c r="AR89" s="645"/>
      <c r="AS89" s="349"/>
    </row>
    <row r="90" spans="1:45" s="140" customFormat="1" ht="17" customHeight="1" thickBot="1">
      <c r="B90" s="1899"/>
      <c r="C90" s="1895"/>
      <c r="D90" s="104" t="s">
        <v>19</v>
      </c>
      <c r="E90" s="880" t="s">
        <v>17</v>
      </c>
      <c r="F90" s="880" t="s">
        <v>345</v>
      </c>
      <c r="G90" s="1077"/>
      <c r="H90" s="1074">
        <v>45691</v>
      </c>
      <c r="I90" s="802">
        <v>46081</v>
      </c>
      <c r="J90" s="795"/>
      <c r="K90" s="579">
        <v>1</v>
      </c>
      <c r="L90" s="778">
        <f t="shared" si="55"/>
        <v>1</v>
      </c>
      <c r="M90" s="579">
        <v>1</v>
      </c>
      <c r="N90" s="8">
        <f t="shared" si="56"/>
        <v>1</v>
      </c>
      <c r="O90" s="579">
        <v>1</v>
      </c>
      <c r="P90" s="8">
        <f t="shared" si="54"/>
        <v>1</v>
      </c>
      <c r="Q90" s="1234">
        <v>1</v>
      </c>
      <c r="R90" s="506">
        <f t="shared" si="48"/>
        <v>0.75</v>
      </c>
      <c r="S90" s="1235">
        <v>1</v>
      </c>
      <c r="T90" s="1236"/>
      <c r="U90" s="1236">
        <v>1</v>
      </c>
      <c r="V90" s="1236"/>
      <c r="W90" s="1236">
        <v>1</v>
      </c>
      <c r="X90" s="1236"/>
      <c r="Y90" s="1236">
        <v>1</v>
      </c>
      <c r="Z90" s="1236"/>
      <c r="AA90" s="1236">
        <v>1</v>
      </c>
      <c r="AB90" s="1236"/>
      <c r="AC90" s="1236">
        <v>1</v>
      </c>
      <c r="AD90" s="1237"/>
      <c r="AE90" s="1238">
        <v>1</v>
      </c>
      <c r="AF90" s="1239"/>
      <c r="AG90" s="1239">
        <v>1</v>
      </c>
      <c r="AH90" s="1240"/>
      <c r="AI90" s="1234">
        <v>1</v>
      </c>
      <c r="AJ90" s="1241"/>
      <c r="AK90" s="1238"/>
      <c r="AL90" s="1242"/>
      <c r="AM90" s="1223"/>
      <c r="AN90" s="1243"/>
      <c r="AO90" s="826">
        <f t="shared" si="49"/>
        <v>13</v>
      </c>
      <c r="AP90" s="690">
        <f t="shared" si="49"/>
        <v>3.75</v>
      </c>
      <c r="AQ90" s="691">
        <f t="shared" si="50"/>
        <v>9.25</v>
      </c>
      <c r="AR90" s="646"/>
      <c r="AS90" s="349"/>
    </row>
    <row r="91" spans="1:45" s="140" customFormat="1" ht="17" hidden="1" customHeight="1">
      <c r="B91" s="1900"/>
      <c r="C91" s="1896"/>
      <c r="D91" s="1078" t="s">
        <v>19</v>
      </c>
      <c r="E91" s="1417" t="s">
        <v>59</v>
      </c>
      <c r="F91" s="1417" t="s">
        <v>692</v>
      </c>
      <c r="G91" s="1418" t="s">
        <v>672</v>
      </c>
      <c r="H91" s="1419">
        <v>45761</v>
      </c>
      <c r="I91" s="1420">
        <v>45790</v>
      </c>
      <c r="J91" s="1421"/>
      <c r="K91" s="1422"/>
      <c r="L91" s="43"/>
      <c r="M91" s="1422"/>
      <c r="N91" s="43"/>
      <c r="O91" s="1422">
        <v>0.5</v>
      </c>
      <c r="P91" s="380"/>
      <c r="Q91" s="1247">
        <v>0.5</v>
      </c>
      <c r="R91" s="506"/>
      <c r="S91" s="1248"/>
      <c r="T91" s="1249"/>
      <c r="U91" s="1249"/>
      <c r="V91" s="1249"/>
      <c r="W91" s="1249"/>
      <c r="X91" s="1249"/>
      <c r="Y91" s="1249"/>
      <c r="Z91" s="1249"/>
      <c r="AA91" s="1249"/>
      <c r="AB91" s="1249"/>
      <c r="AC91" s="1249"/>
      <c r="AD91" s="1250"/>
      <c r="AE91" s="1251"/>
      <c r="AF91" s="1252"/>
      <c r="AG91" s="1252"/>
      <c r="AH91" s="1252"/>
      <c r="AI91" s="1247"/>
      <c r="AJ91" s="1253"/>
      <c r="AK91" s="1251"/>
      <c r="AL91" s="1254"/>
      <c r="AM91" s="1222"/>
      <c r="AN91" s="1216"/>
      <c r="AO91" s="517">
        <f t="shared" ref="AO91:AP95" si="57">+K91+M91+O91+Q91+S91+U91+W91+Y91+AA91+AC91+AE91+AG91+AI91+AK91+AM91</f>
        <v>1</v>
      </c>
      <c r="AP91" s="518">
        <f t="shared" si="57"/>
        <v>0</v>
      </c>
      <c r="AQ91" s="519">
        <f t="shared" si="50"/>
        <v>1</v>
      </c>
      <c r="AR91" s="1423"/>
      <c r="AS91" s="349"/>
    </row>
    <row r="92" spans="1:45" s="140" customFormat="1" ht="17" hidden="1" customHeight="1" thickBot="1">
      <c r="B92" s="1900"/>
      <c r="C92" s="1896"/>
      <c r="D92" s="1078" t="s">
        <v>21</v>
      </c>
      <c r="E92" s="1417" t="s">
        <v>59</v>
      </c>
      <c r="F92" s="1417" t="s">
        <v>693</v>
      </c>
      <c r="G92" s="1418" t="s">
        <v>672</v>
      </c>
      <c r="H92" s="1419">
        <v>45761</v>
      </c>
      <c r="I92" s="1420">
        <v>45790</v>
      </c>
      <c r="J92" s="1421"/>
      <c r="K92" s="1422"/>
      <c r="L92" s="43"/>
      <c r="M92" s="1422"/>
      <c r="N92" s="43"/>
      <c r="O92" s="1422">
        <v>0.5</v>
      </c>
      <c r="P92" s="380"/>
      <c r="Q92" s="1247">
        <v>0.5</v>
      </c>
      <c r="R92" s="506"/>
      <c r="S92" s="1248"/>
      <c r="T92" s="1249"/>
      <c r="U92" s="1249"/>
      <c r="V92" s="1249"/>
      <c r="W92" s="1249"/>
      <c r="X92" s="1249"/>
      <c r="Y92" s="1249"/>
      <c r="Z92" s="1249"/>
      <c r="AA92" s="1249"/>
      <c r="AB92" s="1249"/>
      <c r="AC92" s="1249"/>
      <c r="AD92" s="1250"/>
      <c r="AE92" s="1251"/>
      <c r="AF92" s="1252"/>
      <c r="AG92" s="1252"/>
      <c r="AH92" s="1252"/>
      <c r="AI92" s="1247"/>
      <c r="AJ92" s="1253"/>
      <c r="AK92" s="1251"/>
      <c r="AL92" s="1254"/>
      <c r="AM92" s="1222"/>
      <c r="AN92" s="1216"/>
      <c r="AO92" s="517">
        <f t="shared" si="57"/>
        <v>1</v>
      </c>
      <c r="AP92" s="518">
        <f t="shared" si="57"/>
        <v>0</v>
      </c>
      <c r="AQ92" s="519">
        <f t="shared" si="50"/>
        <v>1</v>
      </c>
      <c r="AR92" s="1423"/>
      <c r="AS92" s="349"/>
    </row>
    <row r="93" spans="1:45" s="863" customFormat="1" ht="17" hidden="1" customHeight="1">
      <c r="B93" s="1878"/>
      <c r="C93" s="1896"/>
      <c r="D93" s="936" t="s">
        <v>642</v>
      </c>
      <c r="E93" s="953" t="s">
        <v>59</v>
      </c>
      <c r="F93" s="953" t="s">
        <v>652</v>
      </c>
      <c r="G93" s="1076"/>
      <c r="H93" s="840">
        <v>45790</v>
      </c>
      <c r="I93" s="803">
        <v>46007</v>
      </c>
      <c r="J93" s="864"/>
      <c r="K93" s="865"/>
      <c r="L93" s="865"/>
      <c r="M93" s="865"/>
      <c r="N93" s="866"/>
      <c r="O93" s="992"/>
      <c r="P93" s="374"/>
      <c r="Q93" s="1224">
        <v>0.5</v>
      </c>
      <c r="R93" s="1180">
        <f t="shared" si="48"/>
        <v>0.375</v>
      </c>
      <c r="S93" s="1225">
        <v>1</v>
      </c>
      <c r="T93" s="1226"/>
      <c r="U93" s="1226">
        <v>1</v>
      </c>
      <c r="V93" s="1226"/>
      <c r="W93" s="1226">
        <v>1</v>
      </c>
      <c r="X93" s="1226"/>
      <c r="Y93" s="1226">
        <v>1</v>
      </c>
      <c r="Z93" s="1226"/>
      <c r="AA93" s="1226">
        <v>1</v>
      </c>
      <c r="AB93" s="1226"/>
      <c r="AC93" s="1226">
        <v>1</v>
      </c>
      <c r="AD93" s="1227"/>
      <c r="AE93" s="1228">
        <v>0.5</v>
      </c>
      <c r="AF93" s="1230"/>
      <c r="AG93" s="1230"/>
      <c r="AH93" s="1230"/>
      <c r="AI93" s="1224"/>
      <c r="AJ93" s="1231"/>
      <c r="AK93" s="1228"/>
      <c r="AL93" s="1244"/>
      <c r="AM93" s="1245"/>
      <c r="AN93" s="1246"/>
      <c r="AO93" s="517">
        <f t="shared" si="57"/>
        <v>7</v>
      </c>
      <c r="AP93" s="518">
        <f t="shared" si="57"/>
        <v>0.375</v>
      </c>
      <c r="AQ93" s="519">
        <f t="shared" si="50"/>
        <v>6.625</v>
      </c>
      <c r="AR93" s="881" t="s">
        <v>283</v>
      </c>
      <c r="AS93" s="140"/>
    </row>
    <row r="94" spans="1:45" s="1424" customFormat="1" ht="17" hidden="1" customHeight="1">
      <c r="B94" s="1878"/>
      <c r="C94" s="1897"/>
      <c r="D94" s="1078"/>
      <c r="E94" s="1425" t="s">
        <v>59</v>
      </c>
      <c r="F94" s="1425" t="s">
        <v>74</v>
      </c>
      <c r="G94" s="1426"/>
      <c r="H94" s="1427">
        <v>45824</v>
      </c>
      <c r="I94" s="1407">
        <v>45977</v>
      </c>
      <c r="J94" s="1428"/>
      <c r="K94" s="1429"/>
      <c r="L94" s="1429"/>
      <c r="M94" s="1429"/>
      <c r="N94" s="1430"/>
      <c r="O94" s="1429"/>
      <c r="P94" s="1431"/>
      <c r="Q94" s="1432"/>
      <c r="R94" s="1433"/>
      <c r="S94" s="1434">
        <v>0.5</v>
      </c>
      <c r="T94" s="1435"/>
      <c r="U94" s="1435">
        <v>1</v>
      </c>
      <c r="V94" s="1435"/>
      <c r="W94" s="1435">
        <v>1</v>
      </c>
      <c r="X94" s="1435"/>
      <c r="Y94" s="1435">
        <v>1</v>
      </c>
      <c r="Z94" s="1435"/>
      <c r="AA94" s="1435">
        <v>1</v>
      </c>
      <c r="AB94" s="1435"/>
      <c r="AC94" s="1435">
        <v>0.5</v>
      </c>
      <c r="AD94" s="1436"/>
      <c r="AE94" s="1437"/>
      <c r="AF94" s="1438"/>
      <c r="AG94" s="1438"/>
      <c r="AH94" s="1438"/>
      <c r="AI94" s="1432"/>
      <c r="AJ94" s="1439"/>
      <c r="AK94" s="1437"/>
      <c r="AL94" s="1429"/>
      <c r="AM94" s="1440"/>
      <c r="AN94" s="1441"/>
      <c r="AO94" s="517">
        <f t="shared" si="57"/>
        <v>5</v>
      </c>
      <c r="AP94" s="518">
        <f t="shared" si="57"/>
        <v>0</v>
      </c>
      <c r="AQ94" s="519">
        <f t="shared" si="50"/>
        <v>5</v>
      </c>
      <c r="AR94" s="881" t="s">
        <v>283</v>
      </c>
    </row>
    <row r="95" spans="1:45" s="863" customFormat="1" ht="17" hidden="1" customHeight="1" thickBot="1">
      <c r="B95" s="1878"/>
      <c r="C95" s="1895"/>
      <c r="D95" s="104" t="s">
        <v>21</v>
      </c>
      <c r="E95" s="879" t="s">
        <v>59</v>
      </c>
      <c r="F95" s="880" t="s">
        <v>653</v>
      </c>
      <c r="G95" s="1077"/>
      <c r="H95" s="1074">
        <v>45790</v>
      </c>
      <c r="I95" s="803">
        <v>46007</v>
      </c>
      <c r="J95" s="868"/>
      <c r="K95" s="869"/>
      <c r="L95" s="869"/>
      <c r="M95" s="869"/>
      <c r="N95" s="866"/>
      <c r="O95" s="993"/>
      <c r="P95" s="374"/>
      <c r="Q95" s="1234">
        <v>0.5</v>
      </c>
      <c r="R95" s="1180">
        <f t="shared" si="48"/>
        <v>0.375</v>
      </c>
      <c r="S95" s="1235">
        <v>1</v>
      </c>
      <c r="T95" s="1236"/>
      <c r="U95" s="1236">
        <v>1</v>
      </c>
      <c r="V95" s="1236"/>
      <c r="W95" s="1236">
        <v>1</v>
      </c>
      <c r="X95" s="1236"/>
      <c r="Y95" s="1236">
        <v>1</v>
      </c>
      <c r="Z95" s="1236"/>
      <c r="AA95" s="1236">
        <v>1</v>
      </c>
      <c r="AB95" s="1236"/>
      <c r="AC95" s="1236">
        <v>1</v>
      </c>
      <c r="AD95" s="1237"/>
      <c r="AE95" s="1238">
        <v>0.5</v>
      </c>
      <c r="AF95" s="1240"/>
      <c r="AG95" s="1240"/>
      <c r="AH95" s="1240"/>
      <c r="AI95" s="1234"/>
      <c r="AJ95" s="1241"/>
      <c r="AK95" s="1238"/>
      <c r="AL95" s="1242"/>
      <c r="AM95" s="1255"/>
      <c r="AN95" s="1256"/>
      <c r="AO95" s="517">
        <f t="shared" si="57"/>
        <v>7</v>
      </c>
      <c r="AP95" s="518">
        <f t="shared" si="57"/>
        <v>0.375</v>
      </c>
      <c r="AQ95" s="519">
        <f t="shared" si="50"/>
        <v>6.625</v>
      </c>
      <c r="AR95" s="882" t="s">
        <v>283</v>
      </c>
      <c r="AS95" s="140"/>
    </row>
    <row r="96" spans="1:45" s="150" customFormat="1" ht="17" hidden="1" customHeight="1" thickBot="1">
      <c r="A96" s="140"/>
      <c r="B96" s="1879"/>
      <c r="C96" s="489" t="s">
        <v>16</v>
      </c>
      <c r="D96" s="157"/>
      <c r="E96" s="437"/>
      <c r="F96" s="877"/>
      <c r="G96" s="681"/>
      <c r="H96" s="603"/>
      <c r="I96" s="356"/>
      <c r="J96" s="159">
        <f t="shared" ref="J96:Q96" si="58">SUM(J67:J95)</f>
        <v>0</v>
      </c>
      <c r="K96" s="178">
        <f t="shared" si="58"/>
        <v>8.5</v>
      </c>
      <c r="L96" s="178">
        <f t="shared" si="58"/>
        <v>8.5</v>
      </c>
      <c r="M96" s="178">
        <f t="shared" si="58"/>
        <v>14</v>
      </c>
      <c r="N96" s="178">
        <f t="shared" si="58"/>
        <v>14</v>
      </c>
      <c r="O96" s="178">
        <f t="shared" si="58"/>
        <v>20</v>
      </c>
      <c r="P96" s="178">
        <f t="shared" si="58"/>
        <v>21</v>
      </c>
      <c r="Q96" s="375">
        <f t="shared" si="58"/>
        <v>21</v>
      </c>
      <c r="R96" s="505"/>
      <c r="S96" s="540">
        <f>SUM(S67:S95)</f>
        <v>21.5</v>
      </c>
      <c r="T96" s="541"/>
      <c r="U96" s="541">
        <f>SUM(U67:U95)</f>
        <v>22</v>
      </c>
      <c r="V96" s="541"/>
      <c r="W96" s="541">
        <f>SUM(W67:W95)</f>
        <v>22</v>
      </c>
      <c r="X96" s="541"/>
      <c r="Y96" s="541">
        <f>SUM(Y67:Y95)</f>
        <v>20.75</v>
      </c>
      <c r="Z96" s="541"/>
      <c r="AA96" s="541">
        <f>SUM(AA67:AA95)</f>
        <v>20</v>
      </c>
      <c r="AB96" s="541"/>
      <c r="AC96" s="541">
        <f>SUM(AC67:AC95)</f>
        <v>15.5</v>
      </c>
      <c r="AD96" s="542"/>
      <c r="AE96" s="161">
        <f>SUM(AE67:AE95)</f>
        <v>10.5</v>
      </c>
      <c r="AF96" s="159"/>
      <c r="AG96" s="178">
        <f>SUM(AG67:AG95)</f>
        <v>8.25</v>
      </c>
      <c r="AH96" s="375"/>
      <c r="AI96" s="375">
        <f>SUM(AI67:AI95)</f>
        <v>7.5</v>
      </c>
      <c r="AJ96" s="185"/>
      <c r="AK96" s="161">
        <f>SUM(AK67:AK95)</f>
        <v>5.5</v>
      </c>
      <c r="AL96" s="178"/>
      <c r="AM96" s="178">
        <f>SUM(AM67:AM95)</f>
        <v>2.5</v>
      </c>
      <c r="AN96" s="185"/>
      <c r="AO96" s="161">
        <f>+SUM(AO67:AO95)</f>
        <v>219.5</v>
      </c>
      <c r="AP96" s="178">
        <f>+SUM(AP67:AP95)</f>
        <v>60</v>
      </c>
      <c r="AQ96" s="185">
        <f>+SUM(AQ67:AQ95)</f>
        <v>159.5</v>
      </c>
      <c r="AR96" s="637"/>
      <c r="AS96" s="349"/>
    </row>
    <row r="97" spans="2:45" s="140" customFormat="1" ht="17" hidden="1" customHeight="1">
      <c r="B97" s="1870" t="s">
        <v>65</v>
      </c>
      <c r="C97" s="263" t="s">
        <v>279</v>
      </c>
      <c r="D97" s="108" t="s">
        <v>77</v>
      </c>
      <c r="E97" s="438" t="s">
        <v>57</v>
      </c>
      <c r="F97" s="994" t="s">
        <v>284</v>
      </c>
      <c r="G97" s="784"/>
      <c r="H97" s="1000">
        <v>45691</v>
      </c>
      <c r="I97" s="809">
        <v>46142</v>
      </c>
      <c r="J97" s="366"/>
      <c r="K97" s="53">
        <v>1</v>
      </c>
      <c r="L97" s="53">
        <f t="shared" ref="L97:L107" si="59">K97*$L$1</f>
        <v>1</v>
      </c>
      <c r="M97" s="53">
        <v>1</v>
      </c>
      <c r="N97" s="53">
        <f t="shared" si="53"/>
        <v>1</v>
      </c>
      <c r="O97" s="53">
        <v>1</v>
      </c>
      <c r="P97" s="374">
        <f>$P$1*O97</f>
        <v>1</v>
      </c>
      <c r="Q97" s="383">
        <v>1</v>
      </c>
      <c r="R97" s="506">
        <f>$Q$1*Q97</f>
        <v>0.75</v>
      </c>
      <c r="S97" s="555">
        <v>1</v>
      </c>
      <c r="T97" s="556"/>
      <c r="U97" s="556">
        <v>1</v>
      </c>
      <c r="V97" s="556"/>
      <c r="W97" s="556">
        <v>1</v>
      </c>
      <c r="X97" s="556"/>
      <c r="Y97" s="556">
        <v>1</v>
      </c>
      <c r="Z97" s="556"/>
      <c r="AA97" s="556">
        <v>1</v>
      </c>
      <c r="AB97" s="556"/>
      <c r="AC97" s="556">
        <v>1</v>
      </c>
      <c r="AD97" s="557"/>
      <c r="AE97" s="52">
        <v>1</v>
      </c>
      <c r="AF97" s="366"/>
      <c r="AG97" s="53">
        <v>1</v>
      </c>
      <c r="AH97" s="383"/>
      <c r="AI97" s="383">
        <v>1</v>
      </c>
      <c r="AJ97" s="54"/>
      <c r="AK97" s="52">
        <v>1</v>
      </c>
      <c r="AL97" s="53"/>
      <c r="AM97" s="53">
        <v>1</v>
      </c>
      <c r="AN97" s="54"/>
      <c r="AO97" s="522">
        <f t="shared" ref="AO97:AP123" si="60">+K97+M97+O97+Q97+S97+U97+W97+Y97+AA97+AC97+AE97+AG97+AI97+AK97+AM97</f>
        <v>15</v>
      </c>
      <c r="AP97" s="524">
        <f t="shared" si="60"/>
        <v>3.75</v>
      </c>
      <c r="AQ97" s="525">
        <f t="shared" ref="AQ97:AQ123" si="61">AO97-AP97</f>
        <v>11.25</v>
      </c>
      <c r="AR97" s="647"/>
      <c r="AS97" s="349"/>
    </row>
    <row r="98" spans="2:45" s="140" customFormat="1" ht="17" hidden="1" customHeight="1">
      <c r="B98" s="1800"/>
      <c r="C98" s="1107" t="s">
        <v>501</v>
      </c>
      <c r="D98" s="1108" t="s">
        <v>42</v>
      </c>
      <c r="E98" s="1109" t="s">
        <v>57</v>
      </c>
      <c r="F98" s="1110" t="s">
        <v>285</v>
      </c>
      <c r="G98" s="1101" t="s">
        <v>628</v>
      </c>
      <c r="H98" s="1000">
        <v>45677</v>
      </c>
      <c r="I98" s="809">
        <v>45765</v>
      </c>
      <c r="J98" s="29"/>
      <c r="K98" s="28">
        <v>1</v>
      </c>
      <c r="L98" s="53">
        <f t="shared" si="59"/>
        <v>1</v>
      </c>
      <c r="M98" s="28">
        <v>1</v>
      </c>
      <c r="N98" s="53">
        <f t="shared" si="53"/>
        <v>1</v>
      </c>
      <c r="O98" s="28">
        <v>0.8</v>
      </c>
      <c r="P98" s="374">
        <f t="shared" si="54"/>
        <v>0.8</v>
      </c>
      <c r="Q98" s="374"/>
      <c r="R98" s="503"/>
      <c r="S98" s="535"/>
      <c r="T98" s="536"/>
      <c r="U98" s="536"/>
      <c r="V98" s="536"/>
      <c r="W98" s="536"/>
      <c r="X98" s="536"/>
      <c r="Y98" s="536"/>
      <c r="Z98" s="536"/>
      <c r="AA98" s="536"/>
      <c r="AB98" s="536"/>
      <c r="AC98" s="536"/>
      <c r="AD98" s="537"/>
      <c r="AE98" s="27"/>
      <c r="AF98" s="29"/>
      <c r="AG98" s="28"/>
      <c r="AH98" s="374"/>
      <c r="AI98" s="374"/>
      <c r="AJ98" s="25"/>
      <c r="AK98" s="27"/>
      <c r="AL98" s="28"/>
      <c r="AM98" s="28"/>
      <c r="AN98" s="25"/>
      <c r="AO98" s="522">
        <f t="shared" si="60"/>
        <v>2.8</v>
      </c>
      <c r="AP98" s="524">
        <f t="shared" si="60"/>
        <v>2.8</v>
      </c>
      <c r="AQ98" s="525">
        <f t="shared" si="61"/>
        <v>0</v>
      </c>
      <c r="AR98" s="635"/>
      <c r="AS98" s="349"/>
    </row>
    <row r="99" spans="2:45" s="140" customFormat="1" ht="17" hidden="1" customHeight="1">
      <c r="B99" s="1871"/>
      <c r="C99" s="263" t="s">
        <v>502</v>
      </c>
      <c r="D99" s="108" t="s">
        <v>42</v>
      </c>
      <c r="E99" s="438" t="s">
        <v>57</v>
      </c>
      <c r="F99" s="995" t="s">
        <v>499</v>
      </c>
      <c r="G99" s="1005"/>
      <c r="H99" s="1000">
        <v>45698</v>
      </c>
      <c r="I99" s="809">
        <v>46142</v>
      </c>
      <c r="J99" s="361"/>
      <c r="K99" s="56">
        <v>0.75</v>
      </c>
      <c r="L99" s="53">
        <f t="shared" si="59"/>
        <v>0.75</v>
      </c>
      <c r="M99" s="3">
        <v>1</v>
      </c>
      <c r="N99" s="4">
        <f>M1*N$1</f>
        <v>1</v>
      </c>
      <c r="O99" s="3">
        <v>1</v>
      </c>
      <c r="P99" s="374">
        <f t="shared" si="54"/>
        <v>1</v>
      </c>
      <c r="Q99" s="1131">
        <v>1</v>
      </c>
      <c r="R99" s="506">
        <f t="shared" ref="R99:R107" si="62">$Q$1*Q99</f>
        <v>0.75</v>
      </c>
      <c r="S99" s="1150">
        <v>1</v>
      </c>
      <c r="T99" s="1128"/>
      <c r="U99" s="1128">
        <v>1</v>
      </c>
      <c r="V99" s="1128"/>
      <c r="W99" s="1128">
        <v>1</v>
      </c>
      <c r="X99" s="1128"/>
      <c r="Y99" s="1128">
        <v>1</v>
      </c>
      <c r="Z99" s="1128"/>
      <c r="AA99" s="1128">
        <v>1</v>
      </c>
      <c r="AB99" s="1128"/>
      <c r="AC99" s="1128">
        <v>1</v>
      </c>
      <c r="AD99" s="1181"/>
      <c r="AE99" s="1129">
        <v>1</v>
      </c>
      <c r="AF99" s="1143"/>
      <c r="AG99" s="1130">
        <v>1</v>
      </c>
      <c r="AH99" s="1131"/>
      <c r="AI99" s="1131">
        <v>1</v>
      </c>
      <c r="AJ99" s="1142"/>
      <c r="AK99" s="1129">
        <v>1</v>
      </c>
      <c r="AL99" s="1130"/>
      <c r="AM99" s="1130">
        <v>1</v>
      </c>
      <c r="AN99" s="25"/>
      <c r="AO99" s="517">
        <f t="shared" si="60"/>
        <v>14.75</v>
      </c>
      <c r="AP99" s="518">
        <f t="shared" si="60"/>
        <v>3.5</v>
      </c>
      <c r="AQ99" s="519">
        <f t="shared" si="61"/>
        <v>11.25</v>
      </c>
      <c r="AR99" s="643"/>
    </row>
    <row r="100" spans="2:45" s="140" customFormat="1" ht="17" hidden="1" customHeight="1">
      <c r="B100" s="1871"/>
      <c r="C100" s="263" t="s">
        <v>280</v>
      </c>
      <c r="D100" s="108" t="s">
        <v>77</v>
      </c>
      <c r="E100" s="438" t="s">
        <v>57</v>
      </c>
      <c r="F100" s="994" t="s">
        <v>286</v>
      </c>
      <c r="G100" s="937"/>
      <c r="H100" s="1000">
        <v>45677</v>
      </c>
      <c r="I100" s="809">
        <v>46142</v>
      </c>
      <c r="J100" s="29"/>
      <c r="K100" s="28">
        <v>1</v>
      </c>
      <c r="L100" s="53">
        <f t="shared" si="59"/>
        <v>1</v>
      </c>
      <c r="M100" s="28">
        <v>1</v>
      </c>
      <c r="N100" s="53">
        <f t="shared" si="53"/>
        <v>1</v>
      </c>
      <c r="O100" s="28">
        <v>1</v>
      </c>
      <c r="P100" s="374">
        <f t="shared" si="54"/>
        <v>1</v>
      </c>
      <c r="Q100" s="374">
        <v>1</v>
      </c>
      <c r="R100" s="506">
        <f t="shared" si="62"/>
        <v>0.75</v>
      </c>
      <c r="S100" s="535">
        <v>1</v>
      </c>
      <c r="T100" s="536"/>
      <c r="U100" s="536">
        <v>1</v>
      </c>
      <c r="V100" s="536"/>
      <c r="W100" s="536">
        <v>1</v>
      </c>
      <c r="X100" s="536"/>
      <c r="Y100" s="536">
        <v>1</v>
      </c>
      <c r="Z100" s="536"/>
      <c r="AA100" s="536">
        <v>1</v>
      </c>
      <c r="AB100" s="536"/>
      <c r="AC100" s="536">
        <v>1</v>
      </c>
      <c r="AD100" s="537"/>
      <c r="AE100" s="27">
        <v>1</v>
      </c>
      <c r="AF100" s="29"/>
      <c r="AG100" s="28">
        <v>1</v>
      </c>
      <c r="AH100" s="374"/>
      <c r="AI100" s="374">
        <v>1</v>
      </c>
      <c r="AJ100" s="25"/>
      <c r="AK100" s="27">
        <v>1</v>
      </c>
      <c r="AL100" s="28"/>
      <c r="AM100" s="28">
        <v>1</v>
      </c>
      <c r="AN100" s="25"/>
      <c r="AO100" s="522">
        <f t="shared" si="60"/>
        <v>15</v>
      </c>
      <c r="AP100" s="524">
        <f t="shared" si="60"/>
        <v>3.75</v>
      </c>
      <c r="AQ100" s="525">
        <f t="shared" si="61"/>
        <v>11.25</v>
      </c>
      <c r="AR100" s="634"/>
      <c r="AS100" s="349"/>
    </row>
    <row r="101" spans="2:45" s="140" customFormat="1" ht="17" hidden="1" customHeight="1">
      <c r="B101" s="1871"/>
      <c r="C101" s="263" t="s">
        <v>281</v>
      </c>
      <c r="D101" s="108" t="s">
        <v>42</v>
      </c>
      <c r="E101" s="438" t="s">
        <v>57</v>
      </c>
      <c r="F101" s="994" t="s">
        <v>287</v>
      </c>
      <c r="G101" s="937"/>
      <c r="H101" s="1000">
        <v>45691</v>
      </c>
      <c r="I101" s="809">
        <v>46142</v>
      </c>
      <c r="J101" s="391"/>
      <c r="K101" s="28">
        <v>1</v>
      </c>
      <c r="L101" s="53">
        <f t="shared" si="59"/>
        <v>1</v>
      </c>
      <c r="M101" s="28">
        <v>1</v>
      </c>
      <c r="N101" s="53">
        <f t="shared" si="53"/>
        <v>1</v>
      </c>
      <c r="O101" s="28">
        <v>1</v>
      </c>
      <c r="P101" s="374">
        <f t="shared" si="54"/>
        <v>1</v>
      </c>
      <c r="Q101" s="374">
        <v>1</v>
      </c>
      <c r="R101" s="506">
        <f t="shared" si="62"/>
        <v>0.75</v>
      </c>
      <c r="S101" s="535">
        <v>1</v>
      </c>
      <c r="T101" s="536"/>
      <c r="U101" s="536">
        <v>1</v>
      </c>
      <c r="V101" s="536"/>
      <c r="W101" s="536">
        <v>1</v>
      </c>
      <c r="X101" s="536"/>
      <c r="Y101" s="536">
        <v>1</v>
      </c>
      <c r="Z101" s="536"/>
      <c r="AA101" s="536">
        <v>1</v>
      </c>
      <c r="AB101" s="536"/>
      <c r="AC101" s="536">
        <v>1</v>
      </c>
      <c r="AD101" s="537"/>
      <c r="AE101" s="27">
        <v>1</v>
      </c>
      <c r="AF101" s="29"/>
      <c r="AG101" s="28">
        <v>1</v>
      </c>
      <c r="AH101" s="374"/>
      <c r="AI101" s="374">
        <v>1</v>
      </c>
      <c r="AJ101" s="25"/>
      <c r="AK101" s="27">
        <v>1</v>
      </c>
      <c r="AL101" s="28"/>
      <c r="AM101" s="28">
        <v>1</v>
      </c>
      <c r="AN101" s="25"/>
      <c r="AO101" s="522">
        <f t="shared" si="60"/>
        <v>15</v>
      </c>
      <c r="AP101" s="524">
        <f t="shared" si="60"/>
        <v>3.75</v>
      </c>
      <c r="AQ101" s="525">
        <f t="shared" si="61"/>
        <v>11.25</v>
      </c>
      <c r="AR101" s="634"/>
      <c r="AS101" s="349"/>
    </row>
    <row r="102" spans="2:45" s="140" customFormat="1" ht="17" hidden="1" customHeight="1">
      <c r="B102" s="1871"/>
      <c r="C102" s="263" t="s">
        <v>282</v>
      </c>
      <c r="D102" s="108" t="s">
        <v>42</v>
      </c>
      <c r="E102" s="438" t="s">
        <v>57</v>
      </c>
      <c r="F102" s="994" t="s">
        <v>288</v>
      </c>
      <c r="G102" s="937"/>
      <c r="H102" s="1000">
        <v>45691</v>
      </c>
      <c r="I102" s="809">
        <v>46112</v>
      </c>
      <c r="J102" s="391"/>
      <c r="K102" s="28">
        <v>1</v>
      </c>
      <c r="L102" s="53">
        <f t="shared" si="59"/>
        <v>1</v>
      </c>
      <c r="M102" s="28">
        <v>1</v>
      </c>
      <c r="N102" s="53">
        <f t="shared" si="53"/>
        <v>1</v>
      </c>
      <c r="O102" s="28">
        <v>1</v>
      </c>
      <c r="P102" s="374">
        <f t="shared" si="54"/>
        <v>1</v>
      </c>
      <c r="Q102" s="374">
        <v>1</v>
      </c>
      <c r="R102" s="506">
        <f t="shared" si="62"/>
        <v>0.75</v>
      </c>
      <c r="S102" s="535">
        <v>1</v>
      </c>
      <c r="T102" s="536"/>
      <c r="U102" s="536">
        <v>1</v>
      </c>
      <c r="V102" s="536"/>
      <c r="W102" s="536">
        <v>1</v>
      </c>
      <c r="X102" s="536"/>
      <c r="Y102" s="536">
        <v>1</v>
      </c>
      <c r="Z102" s="536"/>
      <c r="AA102" s="536">
        <v>1</v>
      </c>
      <c r="AB102" s="536"/>
      <c r="AC102" s="536">
        <v>1</v>
      </c>
      <c r="AD102" s="537"/>
      <c r="AE102" s="27">
        <v>1</v>
      </c>
      <c r="AF102" s="29"/>
      <c r="AG102" s="28">
        <v>1</v>
      </c>
      <c r="AH102" s="374"/>
      <c r="AI102" s="374">
        <v>1</v>
      </c>
      <c r="AJ102" s="25"/>
      <c r="AK102" s="27">
        <v>1</v>
      </c>
      <c r="AL102" s="28"/>
      <c r="AM102" s="28"/>
      <c r="AN102" s="25"/>
      <c r="AO102" s="522">
        <f t="shared" si="60"/>
        <v>14</v>
      </c>
      <c r="AP102" s="524">
        <f t="shared" si="60"/>
        <v>3.75</v>
      </c>
      <c r="AQ102" s="525">
        <f t="shared" si="61"/>
        <v>10.25</v>
      </c>
      <c r="AR102" s="634"/>
      <c r="AS102" s="349"/>
    </row>
    <row r="103" spans="2:45" s="140" customFormat="1" ht="17" hidden="1" customHeight="1">
      <c r="B103" s="1871"/>
      <c r="C103" s="264" t="s">
        <v>112</v>
      </c>
      <c r="D103" s="110" t="s">
        <v>283</v>
      </c>
      <c r="E103" s="438" t="s">
        <v>57</v>
      </c>
      <c r="F103" s="994" t="s">
        <v>289</v>
      </c>
      <c r="G103" s="937"/>
      <c r="H103" s="1000">
        <v>45677</v>
      </c>
      <c r="I103" s="809">
        <v>46112</v>
      </c>
      <c r="J103" s="391"/>
      <c r="K103" s="28">
        <v>1</v>
      </c>
      <c r="L103" s="53">
        <f t="shared" si="59"/>
        <v>1</v>
      </c>
      <c r="M103" s="28">
        <v>1</v>
      </c>
      <c r="N103" s="53">
        <f t="shared" si="53"/>
        <v>1</v>
      </c>
      <c r="O103" s="28">
        <v>1</v>
      </c>
      <c r="P103" s="374">
        <f t="shared" si="54"/>
        <v>1</v>
      </c>
      <c r="Q103" s="374">
        <v>1</v>
      </c>
      <c r="R103" s="506">
        <f t="shared" si="62"/>
        <v>0.75</v>
      </c>
      <c r="S103" s="535">
        <v>1</v>
      </c>
      <c r="T103" s="536"/>
      <c r="U103" s="536">
        <v>1</v>
      </c>
      <c r="V103" s="536"/>
      <c r="W103" s="536">
        <v>1</v>
      </c>
      <c r="X103" s="536"/>
      <c r="Y103" s="536">
        <v>1</v>
      </c>
      <c r="Z103" s="536"/>
      <c r="AA103" s="536">
        <v>1</v>
      </c>
      <c r="AB103" s="536"/>
      <c r="AC103" s="536">
        <v>1</v>
      </c>
      <c r="AD103" s="537"/>
      <c r="AE103" s="27">
        <v>1</v>
      </c>
      <c r="AF103" s="29"/>
      <c r="AG103" s="28">
        <v>1</v>
      </c>
      <c r="AH103" s="374"/>
      <c r="AI103" s="374">
        <v>1</v>
      </c>
      <c r="AJ103" s="25"/>
      <c r="AK103" s="27">
        <v>1</v>
      </c>
      <c r="AL103" s="28"/>
      <c r="AM103" s="28"/>
      <c r="AN103" s="25"/>
      <c r="AO103" s="522">
        <f t="shared" si="60"/>
        <v>14</v>
      </c>
      <c r="AP103" s="524">
        <f t="shared" si="60"/>
        <v>3.75</v>
      </c>
      <c r="AQ103" s="525">
        <f t="shared" si="61"/>
        <v>10.25</v>
      </c>
      <c r="AR103" s="634"/>
      <c r="AS103" s="349"/>
    </row>
    <row r="104" spans="2:45" s="140" customFormat="1" ht="17" hidden="1" customHeight="1">
      <c r="B104" s="1871"/>
      <c r="C104" s="264" t="s">
        <v>112</v>
      </c>
      <c r="D104" s="110" t="s">
        <v>43</v>
      </c>
      <c r="E104" s="438" t="s">
        <v>57</v>
      </c>
      <c r="F104" s="994" t="s">
        <v>290</v>
      </c>
      <c r="G104" s="937"/>
      <c r="H104" s="1000">
        <v>45691</v>
      </c>
      <c r="I104" s="809">
        <v>46112</v>
      </c>
      <c r="J104" s="391"/>
      <c r="K104" s="28">
        <v>1</v>
      </c>
      <c r="L104" s="53">
        <f t="shared" si="59"/>
        <v>1</v>
      </c>
      <c r="M104" s="28">
        <v>1</v>
      </c>
      <c r="N104" s="53">
        <f t="shared" si="53"/>
        <v>1</v>
      </c>
      <c r="O104" s="28">
        <v>1</v>
      </c>
      <c r="P104" s="374">
        <f t="shared" si="54"/>
        <v>1</v>
      </c>
      <c r="Q104" s="374">
        <v>1</v>
      </c>
      <c r="R104" s="506">
        <f t="shared" si="62"/>
        <v>0.75</v>
      </c>
      <c r="S104" s="535">
        <v>1</v>
      </c>
      <c r="T104" s="536"/>
      <c r="U104" s="536">
        <v>1</v>
      </c>
      <c r="V104" s="536"/>
      <c r="W104" s="536">
        <v>1</v>
      </c>
      <c r="X104" s="536"/>
      <c r="Y104" s="536">
        <v>1</v>
      </c>
      <c r="Z104" s="536"/>
      <c r="AA104" s="536">
        <v>1</v>
      </c>
      <c r="AB104" s="536"/>
      <c r="AC104" s="536">
        <v>1</v>
      </c>
      <c r="AD104" s="537"/>
      <c r="AE104" s="27">
        <v>1</v>
      </c>
      <c r="AF104" s="29"/>
      <c r="AG104" s="28">
        <v>1</v>
      </c>
      <c r="AH104" s="374"/>
      <c r="AI104" s="374">
        <v>1</v>
      </c>
      <c r="AJ104" s="25"/>
      <c r="AK104" s="27">
        <v>1</v>
      </c>
      <c r="AL104" s="28"/>
      <c r="AM104" s="28"/>
      <c r="AN104" s="25"/>
      <c r="AO104" s="522">
        <f t="shared" si="60"/>
        <v>14</v>
      </c>
      <c r="AP104" s="524">
        <f t="shared" si="60"/>
        <v>3.75</v>
      </c>
      <c r="AQ104" s="525">
        <f t="shared" si="61"/>
        <v>10.25</v>
      </c>
      <c r="AR104" s="634"/>
      <c r="AS104" s="349"/>
    </row>
    <row r="105" spans="2:45" s="140" customFormat="1" ht="17" hidden="1" customHeight="1">
      <c r="B105" s="1871"/>
      <c r="C105" s="264" t="s">
        <v>113</v>
      </c>
      <c r="D105" s="111" t="s">
        <v>283</v>
      </c>
      <c r="E105" s="439" t="s">
        <v>57</v>
      </c>
      <c r="F105" s="996" t="s">
        <v>291</v>
      </c>
      <c r="G105" s="1006"/>
      <c r="H105" s="1001">
        <v>45720</v>
      </c>
      <c r="I105" s="810">
        <v>46142</v>
      </c>
      <c r="J105" s="29"/>
      <c r="K105" s="28"/>
      <c r="L105" s="53"/>
      <c r="M105" s="776">
        <v>1</v>
      </c>
      <c r="N105" s="777">
        <f t="shared" si="53"/>
        <v>1</v>
      </c>
      <c r="O105" s="776">
        <v>1</v>
      </c>
      <c r="P105" s="374">
        <f t="shared" si="54"/>
        <v>1</v>
      </c>
      <c r="Q105" s="1257">
        <v>1</v>
      </c>
      <c r="R105" s="506">
        <f t="shared" si="62"/>
        <v>0.75</v>
      </c>
      <c r="S105" s="535">
        <v>1</v>
      </c>
      <c r="T105" s="536"/>
      <c r="U105" s="536">
        <v>1</v>
      </c>
      <c r="V105" s="536"/>
      <c r="W105" s="536">
        <v>1</v>
      </c>
      <c r="X105" s="536"/>
      <c r="Y105" s="536">
        <v>1</v>
      </c>
      <c r="Z105" s="536"/>
      <c r="AA105" s="536">
        <v>1</v>
      </c>
      <c r="AB105" s="536"/>
      <c r="AC105" s="536">
        <v>1</v>
      </c>
      <c r="AD105" s="537"/>
      <c r="AE105" s="27">
        <v>1</v>
      </c>
      <c r="AF105" s="29"/>
      <c r="AG105" s="28">
        <v>1</v>
      </c>
      <c r="AH105" s="374"/>
      <c r="AI105" s="374">
        <v>1</v>
      </c>
      <c r="AJ105" s="25"/>
      <c r="AK105" s="27">
        <v>1</v>
      </c>
      <c r="AL105" s="28"/>
      <c r="AM105" s="28">
        <v>1</v>
      </c>
      <c r="AN105" s="25"/>
      <c r="AO105" s="522">
        <f t="shared" si="60"/>
        <v>14</v>
      </c>
      <c r="AP105" s="524">
        <f t="shared" si="60"/>
        <v>2.75</v>
      </c>
      <c r="AQ105" s="525">
        <f t="shared" si="61"/>
        <v>11.25</v>
      </c>
      <c r="AR105" s="635"/>
      <c r="AS105" s="349"/>
    </row>
    <row r="106" spans="2:45" s="140" customFormat="1" ht="17" hidden="1" customHeight="1">
      <c r="B106" s="1871"/>
      <c r="C106" s="264" t="s">
        <v>113</v>
      </c>
      <c r="D106" s="110" t="s">
        <v>42</v>
      </c>
      <c r="E106" s="1092" t="s">
        <v>57</v>
      </c>
      <c r="F106" s="1088" t="s">
        <v>292</v>
      </c>
      <c r="G106" s="938" t="s">
        <v>684</v>
      </c>
      <c r="H106" s="1002">
        <v>45775</v>
      </c>
      <c r="I106" s="922">
        <v>46112</v>
      </c>
      <c r="J106" s="29"/>
      <c r="K106" s="28"/>
      <c r="L106" s="53"/>
      <c r="M106" s="28"/>
      <c r="N106" s="53"/>
      <c r="O106" s="419">
        <v>0</v>
      </c>
      <c r="P106" s="495"/>
      <c r="Q106" s="1374">
        <v>0</v>
      </c>
      <c r="R106" s="1366">
        <f>R$1*Q1</f>
        <v>0.75</v>
      </c>
      <c r="S106" s="535">
        <v>1</v>
      </c>
      <c r="T106" s="536"/>
      <c r="U106" s="536">
        <v>1</v>
      </c>
      <c r="V106" s="536"/>
      <c r="W106" s="536">
        <v>1</v>
      </c>
      <c r="X106" s="536"/>
      <c r="Y106" s="536">
        <v>1</v>
      </c>
      <c r="Z106" s="536"/>
      <c r="AA106" s="536">
        <v>1</v>
      </c>
      <c r="AB106" s="536"/>
      <c r="AC106" s="536">
        <v>1</v>
      </c>
      <c r="AD106" s="537"/>
      <c r="AE106" s="27">
        <v>1</v>
      </c>
      <c r="AF106" s="29"/>
      <c r="AG106" s="28">
        <v>1</v>
      </c>
      <c r="AH106" s="374"/>
      <c r="AI106" s="374">
        <v>1</v>
      </c>
      <c r="AJ106" s="25"/>
      <c r="AK106" s="27">
        <v>1</v>
      </c>
      <c r="AL106" s="28"/>
      <c r="AM106" s="28"/>
      <c r="AN106" s="25"/>
      <c r="AO106" s="522">
        <f t="shared" si="60"/>
        <v>10</v>
      </c>
      <c r="AP106" s="524">
        <f t="shared" si="60"/>
        <v>0.75</v>
      </c>
      <c r="AQ106" s="525">
        <f t="shared" si="61"/>
        <v>9.25</v>
      </c>
      <c r="AR106" s="635"/>
      <c r="AS106" s="349"/>
    </row>
    <row r="107" spans="2:45" s="140" customFormat="1" ht="17" hidden="1" customHeight="1">
      <c r="B107" s="1871"/>
      <c r="C107" s="265" t="s">
        <v>114</v>
      </c>
      <c r="D107" s="110" t="s">
        <v>283</v>
      </c>
      <c r="E107" s="439" t="s">
        <v>57</v>
      </c>
      <c r="F107" s="996" t="s">
        <v>296</v>
      </c>
      <c r="G107" s="1005"/>
      <c r="H107" s="1001">
        <v>45707</v>
      </c>
      <c r="I107" s="810">
        <v>46142</v>
      </c>
      <c r="J107" s="361"/>
      <c r="K107" s="3">
        <v>0.4</v>
      </c>
      <c r="L107" s="4">
        <f t="shared" si="59"/>
        <v>0.4</v>
      </c>
      <c r="M107" s="3">
        <v>1</v>
      </c>
      <c r="N107" s="4">
        <f>M1*N$1</f>
        <v>1</v>
      </c>
      <c r="O107" s="3">
        <v>1</v>
      </c>
      <c r="P107" s="374">
        <f t="shared" si="54"/>
        <v>1</v>
      </c>
      <c r="Q107" s="1131">
        <v>1</v>
      </c>
      <c r="R107" s="506">
        <f t="shared" si="62"/>
        <v>0.75</v>
      </c>
      <c r="S107" s="535">
        <v>1</v>
      </c>
      <c r="T107" s="536"/>
      <c r="U107" s="536">
        <v>1</v>
      </c>
      <c r="V107" s="536"/>
      <c r="W107" s="536">
        <v>1</v>
      </c>
      <c r="X107" s="536"/>
      <c r="Y107" s="536">
        <v>1</v>
      </c>
      <c r="Z107" s="536"/>
      <c r="AA107" s="536">
        <v>1</v>
      </c>
      <c r="AB107" s="536"/>
      <c r="AC107" s="536">
        <v>1</v>
      </c>
      <c r="AD107" s="537"/>
      <c r="AE107" s="27">
        <v>1</v>
      </c>
      <c r="AF107" s="29"/>
      <c r="AG107" s="28">
        <v>1</v>
      </c>
      <c r="AH107" s="374"/>
      <c r="AI107" s="374">
        <v>1</v>
      </c>
      <c r="AJ107" s="25"/>
      <c r="AK107" s="27">
        <v>1</v>
      </c>
      <c r="AL107" s="28"/>
      <c r="AM107" s="28">
        <v>1</v>
      </c>
      <c r="AN107" s="25"/>
      <c r="AO107" s="522">
        <f t="shared" si="60"/>
        <v>14.4</v>
      </c>
      <c r="AP107" s="524">
        <f t="shared" si="60"/>
        <v>3.15</v>
      </c>
      <c r="AQ107" s="525">
        <f t="shared" si="61"/>
        <v>11.25</v>
      </c>
      <c r="AR107" s="635"/>
      <c r="AS107" s="349"/>
    </row>
    <row r="108" spans="2:45" s="140" customFormat="1" ht="17" hidden="1" customHeight="1">
      <c r="B108" s="1871"/>
      <c r="C108" s="264" t="s">
        <v>115</v>
      </c>
      <c r="D108" s="110" t="s">
        <v>42</v>
      </c>
      <c r="E108" s="1092" t="s">
        <v>57</v>
      </c>
      <c r="F108" s="1088" t="s">
        <v>297</v>
      </c>
      <c r="G108" s="938" t="s">
        <v>684</v>
      </c>
      <c r="H108" s="1002">
        <v>45750</v>
      </c>
      <c r="I108" s="922">
        <v>46142</v>
      </c>
      <c r="J108" s="29"/>
      <c r="K108" s="28"/>
      <c r="L108" s="28"/>
      <c r="M108" s="28"/>
      <c r="N108" s="53"/>
      <c r="O108" s="841">
        <v>0</v>
      </c>
      <c r="P108" s="765">
        <f>$O$1*$P$1</f>
        <v>1</v>
      </c>
      <c r="Q108" s="1126">
        <v>0</v>
      </c>
      <c r="R108" s="1366">
        <f>R$1*Q1</f>
        <v>0.75</v>
      </c>
      <c r="S108" s="535">
        <v>1</v>
      </c>
      <c r="T108" s="536"/>
      <c r="U108" s="536">
        <v>1</v>
      </c>
      <c r="V108" s="536"/>
      <c r="W108" s="536">
        <v>1</v>
      </c>
      <c r="X108" s="536"/>
      <c r="Y108" s="536">
        <v>1</v>
      </c>
      <c r="Z108" s="536"/>
      <c r="AA108" s="536">
        <v>1</v>
      </c>
      <c r="AB108" s="536"/>
      <c r="AC108" s="536">
        <v>1</v>
      </c>
      <c r="AD108" s="537"/>
      <c r="AE108" s="27">
        <v>1</v>
      </c>
      <c r="AF108" s="29"/>
      <c r="AG108" s="28">
        <v>1</v>
      </c>
      <c r="AH108" s="374"/>
      <c r="AI108" s="374">
        <v>1</v>
      </c>
      <c r="AJ108" s="25"/>
      <c r="AK108" s="27">
        <v>1</v>
      </c>
      <c r="AL108" s="28"/>
      <c r="AM108" s="28">
        <v>1</v>
      </c>
      <c r="AN108" s="25"/>
      <c r="AO108" s="522">
        <f t="shared" si="60"/>
        <v>11</v>
      </c>
      <c r="AP108" s="524">
        <f t="shared" si="60"/>
        <v>1.75</v>
      </c>
      <c r="AQ108" s="525">
        <f t="shared" si="61"/>
        <v>9.25</v>
      </c>
      <c r="AR108" s="635"/>
      <c r="AS108" s="349"/>
    </row>
    <row r="109" spans="2:45" s="140" customFormat="1" ht="17" hidden="1" customHeight="1">
      <c r="B109" s="1871"/>
      <c r="C109" s="264" t="s">
        <v>116</v>
      </c>
      <c r="D109" s="110" t="s">
        <v>42</v>
      </c>
      <c r="E109" s="1092" t="s">
        <v>57</v>
      </c>
      <c r="F109" s="1088" t="s">
        <v>298</v>
      </c>
      <c r="G109" s="938" t="s">
        <v>684</v>
      </c>
      <c r="H109" s="1002">
        <v>45750</v>
      </c>
      <c r="I109" s="922">
        <v>46142</v>
      </c>
      <c r="J109" s="29"/>
      <c r="K109" s="28"/>
      <c r="L109" s="28"/>
      <c r="M109" s="28"/>
      <c r="N109" s="53"/>
      <c r="O109" s="841">
        <v>0</v>
      </c>
      <c r="P109" s="765">
        <f>$O$1*$P$1</f>
        <v>1</v>
      </c>
      <c r="Q109" s="1126">
        <v>0</v>
      </c>
      <c r="R109" s="1366">
        <f>R$1*Q1</f>
        <v>0.75</v>
      </c>
      <c r="S109" s="535">
        <v>1</v>
      </c>
      <c r="T109" s="536"/>
      <c r="U109" s="536">
        <v>1</v>
      </c>
      <c r="V109" s="536"/>
      <c r="W109" s="536">
        <v>1</v>
      </c>
      <c r="X109" s="536"/>
      <c r="Y109" s="536">
        <v>1</v>
      </c>
      <c r="Z109" s="536"/>
      <c r="AA109" s="536">
        <v>1</v>
      </c>
      <c r="AB109" s="536"/>
      <c r="AC109" s="536">
        <v>1</v>
      </c>
      <c r="AD109" s="537"/>
      <c r="AE109" s="27">
        <v>1</v>
      </c>
      <c r="AF109" s="29"/>
      <c r="AG109" s="28">
        <v>1</v>
      </c>
      <c r="AH109" s="374"/>
      <c r="AI109" s="374">
        <v>1</v>
      </c>
      <c r="AJ109" s="25"/>
      <c r="AK109" s="27">
        <v>1</v>
      </c>
      <c r="AL109" s="28"/>
      <c r="AM109" s="28">
        <v>1</v>
      </c>
      <c r="AN109" s="25"/>
      <c r="AO109" s="522">
        <f t="shared" si="60"/>
        <v>11</v>
      </c>
      <c r="AP109" s="524">
        <f t="shared" si="60"/>
        <v>1.75</v>
      </c>
      <c r="AQ109" s="525">
        <f t="shared" si="61"/>
        <v>9.25</v>
      </c>
      <c r="AR109" s="635"/>
      <c r="AS109" s="349"/>
    </row>
    <row r="110" spans="2:45" s="140" customFormat="1" ht="17" hidden="1" customHeight="1">
      <c r="B110" s="1871"/>
      <c r="C110" s="265" t="s">
        <v>500</v>
      </c>
      <c r="D110" s="110" t="s">
        <v>43</v>
      </c>
      <c r="E110" s="439" t="s">
        <v>57</v>
      </c>
      <c r="F110" s="996" t="s">
        <v>299</v>
      </c>
      <c r="G110" s="1006"/>
      <c r="H110" s="1001">
        <v>45810</v>
      </c>
      <c r="I110" s="810">
        <v>46142</v>
      </c>
      <c r="J110" s="29"/>
      <c r="K110" s="28"/>
      <c r="L110" s="28"/>
      <c r="M110" s="28"/>
      <c r="N110" s="53"/>
      <c r="O110" s="28"/>
      <c r="P110" s="374"/>
      <c r="Q110" s="374"/>
      <c r="R110" s="503"/>
      <c r="S110" s="535">
        <v>1</v>
      </c>
      <c r="T110" s="536"/>
      <c r="U110" s="536">
        <v>1</v>
      </c>
      <c r="V110" s="536"/>
      <c r="W110" s="536">
        <v>1</v>
      </c>
      <c r="X110" s="536"/>
      <c r="Y110" s="536">
        <v>1</v>
      </c>
      <c r="Z110" s="536"/>
      <c r="AA110" s="536">
        <v>1</v>
      </c>
      <c r="AB110" s="536"/>
      <c r="AC110" s="536">
        <v>1</v>
      </c>
      <c r="AD110" s="537"/>
      <c r="AE110" s="27">
        <v>1</v>
      </c>
      <c r="AF110" s="29"/>
      <c r="AG110" s="28">
        <v>1</v>
      </c>
      <c r="AH110" s="374"/>
      <c r="AI110" s="374">
        <v>1</v>
      </c>
      <c r="AJ110" s="25"/>
      <c r="AK110" s="27">
        <v>1</v>
      </c>
      <c r="AL110" s="28"/>
      <c r="AM110" s="28">
        <v>1</v>
      </c>
      <c r="AN110" s="25"/>
      <c r="AO110" s="522">
        <f t="shared" si="60"/>
        <v>11</v>
      </c>
      <c r="AP110" s="524">
        <f t="shared" si="60"/>
        <v>0</v>
      </c>
      <c r="AQ110" s="525">
        <f t="shared" si="61"/>
        <v>11</v>
      </c>
      <c r="AR110" s="635"/>
      <c r="AS110" s="349"/>
    </row>
    <row r="111" spans="2:45" s="140" customFormat="1" ht="17" hidden="1" customHeight="1">
      <c r="B111" s="1871"/>
      <c r="C111" s="265" t="s">
        <v>117</v>
      </c>
      <c r="D111" s="110" t="s">
        <v>43</v>
      </c>
      <c r="E111" s="439" t="s">
        <v>57</v>
      </c>
      <c r="F111" s="996" t="s">
        <v>300</v>
      </c>
      <c r="G111" s="1006"/>
      <c r="H111" s="1001">
        <v>45810</v>
      </c>
      <c r="I111" s="810">
        <v>46112</v>
      </c>
      <c r="J111" s="29"/>
      <c r="K111" s="28"/>
      <c r="L111" s="28"/>
      <c r="M111" s="28"/>
      <c r="N111" s="53"/>
      <c r="O111" s="28"/>
      <c r="P111" s="374"/>
      <c r="Q111" s="374"/>
      <c r="R111" s="503"/>
      <c r="S111" s="535">
        <v>1</v>
      </c>
      <c r="T111" s="536"/>
      <c r="U111" s="536">
        <v>1</v>
      </c>
      <c r="V111" s="536"/>
      <c r="W111" s="536">
        <v>1</v>
      </c>
      <c r="X111" s="536"/>
      <c r="Y111" s="536">
        <v>1</v>
      </c>
      <c r="Z111" s="536"/>
      <c r="AA111" s="536">
        <v>1</v>
      </c>
      <c r="AB111" s="536"/>
      <c r="AC111" s="536">
        <v>1</v>
      </c>
      <c r="AD111" s="537"/>
      <c r="AE111" s="27">
        <v>1</v>
      </c>
      <c r="AF111" s="29"/>
      <c r="AG111" s="28">
        <v>1</v>
      </c>
      <c r="AH111" s="374"/>
      <c r="AI111" s="374">
        <v>1</v>
      </c>
      <c r="AJ111" s="25"/>
      <c r="AK111" s="27">
        <v>1</v>
      </c>
      <c r="AL111" s="28"/>
      <c r="AM111" s="28"/>
      <c r="AN111" s="25"/>
      <c r="AO111" s="522">
        <f t="shared" si="60"/>
        <v>10</v>
      </c>
      <c r="AP111" s="524">
        <f t="shared" si="60"/>
        <v>0</v>
      </c>
      <c r="AQ111" s="525">
        <f t="shared" si="61"/>
        <v>10</v>
      </c>
      <c r="AR111" s="635"/>
      <c r="AS111" s="349"/>
    </row>
    <row r="112" spans="2:45" s="140" customFormat="1" ht="17" hidden="1" customHeight="1">
      <c r="B112" s="1871"/>
      <c r="C112" s="264" t="s">
        <v>117</v>
      </c>
      <c r="D112" s="110" t="s">
        <v>19</v>
      </c>
      <c r="E112" s="1092" t="s">
        <v>57</v>
      </c>
      <c r="F112" s="1088" t="s">
        <v>556</v>
      </c>
      <c r="G112" s="938" t="s">
        <v>557</v>
      </c>
      <c r="H112" s="1002">
        <v>45714</v>
      </c>
      <c r="I112" s="922">
        <v>46142</v>
      </c>
      <c r="J112" s="676"/>
      <c r="K112" s="419"/>
      <c r="L112" s="419">
        <v>0.2</v>
      </c>
      <c r="M112" s="419"/>
      <c r="N112" s="673">
        <f>M1*N$1</f>
        <v>1</v>
      </c>
      <c r="O112" s="841">
        <v>0</v>
      </c>
      <c r="P112" s="765">
        <f>$O$1*$P$1</f>
        <v>1</v>
      </c>
      <c r="Q112" s="1126">
        <v>0</v>
      </c>
      <c r="R112" s="1366">
        <f>R$1*Q1</f>
        <v>0.75</v>
      </c>
      <c r="S112" s="1126">
        <v>0</v>
      </c>
      <c r="T112" s="1126"/>
      <c r="U112" s="1126">
        <v>0</v>
      </c>
      <c r="V112" s="1126"/>
      <c r="W112" s="1126">
        <v>0</v>
      </c>
      <c r="X112" s="1126"/>
      <c r="Y112" s="1126">
        <v>0</v>
      </c>
      <c r="Z112" s="1126"/>
      <c r="AA112" s="1126">
        <v>0</v>
      </c>
      <c r="AB112" s="1126"/>
      <c r="AC112" s="1126">
        <v>0</v>
      </c>
      <c r="AD112" s="1367"/>
      <c r="AE112" s="1126">
        <v>0</v>
      </c>
      <c r="AF112" s="1360"/>
      <c r="AG112" s="1126">
        <v>0</v>
      </c>
      <c r="AH112" s="1374"/>
      <c r="AI112" s="1126">
        <v>0</v>
      </c>
      <c r="AJ112" s="1365"/>
      <c r="AK112" s="1126">
        <v>0</v>
      </c>
      <c r="AL112" s="1125"/>
      <c r="AM112" s="1126">
        <v>0</v>
      </c>
      <c r="AN112" s="1365"/>
      <c r="AO112" s="522">
        <f t="shared" si="60"/>
        <v>0</v>
      </c>
      <c r="AP112" s="524">
        <f t="shared" si="60"/>
        <v>2.95</v>
      </c>
      <c r="AQ112" s="525">
        <f t="shared" si="61"/>
        <v>-2.95</v>
      </c>
      <c r="AR112" s="635"/>
      <c r="AS112" s="349"/>
    </row>
    <row r="113" spans="1:45" s="140" customFormat="1" ht="17" hidden="1" customHeight="1">
      <c r="B113" s="1871"/>
      <c r="C113" s="265" t="s">
        <v>118</v>
      </c>
      <c r="D113" s="110" t="s">
        <v>43</v>
      </c>
      <c r="E113" s="439" t="s">
        <v>57</v>
      </c>
      <c r="F113" s="996" t="s">
        <v>301</v>
      </c>
      <c r="G113" s="1006"/>
      <c r="H113" s="1001">
        <v>45810</v>
      </c>
      <c r="I113" s="810">
        <v>46112</v>
      </c>
      <c r="J113" s="29"/>
      <c r="K113" s="28"/>
      <c r="L113" s="28"/>
      <c r="M113" s="28"/>
      <c r="N113" s="53"/>
      <c r="O113" s="28"/>
      <c r="P113" s="374"/>
      <c r="Q113" s="374"/>
      <c r="R113" s="503"/>
      <c r="S113" s="535">
        <v>1</v>
      </c>
      <c r="T113" s="536"/>
      <c r="U113" s="536">
        <v>1</v>
      </c>
      <c r="V113" s="536"/>
      <c r="W113" s="536">
        <v>1</v>
      </c>
      <c r="X113" s="536"/>
      <c r="Y113" s="536">
        <v>1</v>
      </c>
      <c r="Z113" s="536"/>
      <c r="AA113" s="536">
        <v>1</v>
      </c>
      <c r="AB113" s="536"/>
      <c r="AC113" s="536">
        <v>1</v>
      </c>
      <c r="AD113" s="537"/>
      <c r="AE113" s="27">
        <v>1</v>
      </c>
      <c r="AF113" s="29"/>
      <c r="AG113" s="28">
        <v>1</v>
      </c>
      <c r="AH113" s="374"/>
      <c r="AI113" s="374">
        <v>1</v>
      </c>
      <c r="AJ113" s="25"/>
      <c r="AK113" s="27">
        <v>1</v>
      </c>
      <c r="AL113" s="28"/>
      <c r="AM113" s="28"/>
      <c r="AN113" s="25"/>
      <c r="AO113" s="522">
        <f t="shared" si="60"/>
        <v>10</v>
      </c>
      <c r="AP113" s="524">
        <f t="shared" si="60"/>
        <v>0</v>
      </c>
      <c r="AQ113" s="525">
        <f t="shared" si="61"/>
        <v>10</v>
      </c>
      <c r="AR113" s="635"/>
      <c r="AS113" s="349"/>
    </row>
    <row r="114" spans="1:45" s="140" customFormat="1" ht="17" hidden="1" customHeight="1">
      <c r="B114" s="1871"/>
      <c r="C114" s="943" t="s">
        <v>293</v>
      </c>
      <c r="D114" s="944" t="s">
        <v>283</v>
      </c>
      <c r="E114" s="945" t="s">
        <v>57</v>
      </c>
      <c r="F114" s="997" t="s">
        <v>302</v>
      </c>
      <c r="G114" s="1006"/>
      <c r="H114" s="1001">
        <v>45810</v>
      </c>
      <c r="I114" s="810">
        <v>46142</v>
      </c>
      <c r="J114" s="366"/>
      <c r="K114" s="53"/>
      <c r="L114" s="53"/>
      <c r="M114" s="53"/>
      <c r="N114" s="53"/>
      <c r="O114" s="53"/>
      <c r="P114" s="383"/>
      <c r="Q114" s="383"/>
      <c r="R114" s="506"/>
      <c r="S114" s="555">
        <v>1</v>
      </c>
      <c r="T114" s="556"/>
      <c r="U114" s="556">
        <v>1</v>
      </c>
      <c r="V114" s="556"/>
      <c r="W114" s="556">
        <v>1</v>
      </c>
      <c r="X114" s="556"/>
      <c r="Y114" s="556">
        <v>1</v>
      </c>
      <c r="Z114" s="556"/>
      <c r="AA114" s="556">
        <v>1</v>
      </c>
      <c r="AB114" s="556"/>
      <c r="AC114" s="556">
        <v>1</v>
      </c>
      <c r="AD114" s="557"/>
      <c r="AE114" s="52">
        <v>1</v>
      </c>
      <c r="AF114" s="366"/>
      <c r="AG114" s="53">
        <v>1</v>
      </c>
      <c r="AH114" s="383"/>
      <c r="AI114" s="383">
        <v>1</v>
      </c>
      <c r="AJ114" s="54"/>
      <c r="AK114" s="52">
        <v>1</v>
      </c>
      <c r="AL114" s="53"/>
      <c r="AM114" s="53">
        <v>1</v>
      </c>
      <c r="AN114" s="54"/>
      <c r="AO114" s="522">
        <f t="shared" si="60"/>
        <v>11</v>
      </c>
      <c r="AP114" s="524">
        <f t="shared" si="60"/>
        <v>0</v>
      </c>
      <c r="AQ114" s="525">
        <f t="shared" si="61"/>
        <v>11</v>
      </c>
      <c r="AR114" s="634"/>
      <c r="AS114" s="349"/>
    </row>
    <row r="115" spans="1:45" s="140" customFormat="1" ht="17" hidden="1" customHeight="1">
      <c r="B115" s="1871"/>
      <c r="C115" s="266" t="s">
        <v>293</v>
      </c>
      <c r="D115" s="108" t="s">
        <v>43</v>
      </c>
      <c r="E115" s="439" t="s">
        <v>57</v>
      </c>
      <c r="F115" s="995" t="s">
        <v>303</v>
      </c>
      <c r="G115" s="1006"/>
      <c r="H115" s="1001">
        <v>45810</v>
      </c>
      <c r="I115" s="810">
        <v>46112</v>
      </c>
      <c r="J115" s="29"/>
      <c r="K115" s="28"/>
      <c r="L115" s="28"/>
      <c r="M115" s="28"/>
      <c r="N115" s="53"/>
      <c r="O115" s="28"/>
      <c r="P115" s="374"/>
      <c r="Q115" s="374"/>
      <c r="R115" s="503"/>
      <c r="S115" s="535">
        <v>1</v>
      </c>
      <c r="T115" s="536"/>
      <c r="U115" s="536">
        <v>1</v>
      </c>
      <c r="V115" s="536"/>
      <c r="W115" s="536">
        <v>1</v>
      </c>
      <c r="X115" s="536"/>
      <c r="Y115" s="536">
        <v>1</v>
      </c>
      <c r="Z115" s="536"/>
      <c r="AA115" s="536">
        <v>1</v>
      </c>
      <c r="AB115" s="536"/>
      <c r="AC115" s="536">
        <v>1</v>
      </c>
      <c r="AD115" s="537"/>
      <c r="AE115" s="27">
        <v>1</v>
      </c>
      <c r="AF115" s="29"/>
      <c r="AG115" s="28">
        <v>1</v>
      </c>
      <c r="AH115" s="374"/>
      <c r="AI115" s="374">
        <v>1</v>
      </c>
      <c r="AJ115" s="25"/>
      <c r="AK115" s="27">
        <v>1</v>
      </c>
      <c r="AL115" s="28"/>
      <c r="AM115" s="28"/>
      <c r="AN115" s="54"/>
      <c r="AO115" s="522">
        <f t="shared" si="60"/>
        <v>10</v>
      </c>
      <c r="AP115" s="524">
        <f t="shared" si="60"/>
        <v>0</v>
      </c>
      <c r="AQ115" s="525">
        <f t="shared" si="61"/>
        <v>10</v>
      </c>
      <c r="AR115" s="634"/>
      <c r="AS115" s="349"/>
    </row>
    <row r="116" spans="1:45" s="140" customFormat="1" ht="17" hidden="1" customHeight="1">
      <c r="B116" s="1871"/>
      <c r="C116" s="265" t="s">
        <v>294</v>
      </c>
      <c r="D116" s="111" t="s">
        <v>42</v>
      </c>
      <c r="E116" s="439" t="s">
        <v>57</v>
      </c>
      <c r="F116" s="995" t="s">
        <v>302</v>
      </c>
      <c r="G116" s="1006"/>
      <c r="H116" s="1001">
        <v>45870</v>
      </c>
      <c r="I116" s="810">
        <v>46112</v>
      </c>
      <c r="J116" s="29"/>
      <c r="K116" s="28"/>
      <c r="L116" s="28"/>
      <c r="M116" s="28"/>
      <c r="N116" s="53"/>
      <c r="O116" s="28"/>
      <c r="P116" s="374"/>
      <c r="Q116" s="374"/>
      <c r="R116" s="503"/>
      <c r="S116" s="535"/>
      <c r="T116" s="536"/>
      <c r="U116" s="536"/>
      <c r="V116" s="536"/>
      <c r="W116" s="536">
        <v>1</v>
      </c>
      <c r="X116" s="536"/>
      <c r="Y116" s="536">
        <v>1</v>
      </c>
      <c r="Z116" s="536"/>
      <c r="AA116" s="536">
        <v>1</v>
      </c>
      <c r="AB116" s="536"/>
      <c r="AC116" s="536">
        <v>1</v>
      </c>
      <c r="AD116" s="537"/>
      <c r="AE116" s="27">
        <v>1</v>
      </c>
      <c r="AF116" s="29"/>
      <c r="AG116" s="28">
        <v>1</v>
      </c>
      <c r="AH116" s="374"/>
      <c r="AI116" s="374">
        <v>1</v>
      </c>
      <c r="AJ116" s="25"/>
      <c r="AK116" s="27">
        <v>1</v>
      </c>
      <c r="AL116" s="28"/>
      <c r="AM116" s="28"/>
      <c r="AN116" s="25"/>
      <c r="AO116" s="522">
        <f t="shared" si="60"/>
        <v>8</v>
      </c>
      <c r="AP116" s="524">
        <f t="shared" si="60"/>
        <v>0</v>
      </c>
      <c r="AQ116" s="525">
        <f t="shared" si="61"/>
        <v>8</v>
      </c>
      <c r="AR116" s="635"/>
      <c r="AS116" s="349"/>
    </row>
    <row r="117" spans="1:45" s="140" customFormat="1" ht="17" hidden="1" customHeight="1">
      <c r="B117" s="1871"/>
      <c r="C117" s="267" t="s">
        <v>295</v>
      </c>
      <c r="D117" s="906" t="s">
        <v>42</v>
      </c>
      <c r="E117" s="443" t="s">
        <v>57</v>
      </c>
      <c r="F117" s="998" t="s">
        <v>302</v>
      </c>
      <c r="G117" s="1006"/>
      <c r="H117" s="1001">
        <v>45870</v>
      </c>
      <c r="I117" s="810">
        <v>46112</v>
      </c>
      <c r="J117" s="360"/>
      <c r="K117" s="40"/>
      <c r="L117" s="40"/>
      <c r="M117" s="40"/>
      <c r="N117" s="53"/>
      <c r="O117" s="40"/>
      <c r="P117" s="376"/>
      <c r="Q117" s="376"/>
      <c r="R117" s="504"/>
      <c r="S117" s="538"/>
      <c r="T117" s="539"/>
      <c r="U117" s="539"/>
      <c r="V117" s="539"/>
      <c r="W117" s="539">
        <v>1</v>
      </c>
      <c r="X117" s="539"/>
      <c r="Y117" s="539">
        <v>1</v>
      </c>
      <c r="Z117" s="539"/>
      <c r="AA117" s="539">
        <v>1</v>
      </c>
      <c r="AB117" s="539"/>
      <c r="AC117" s="539">
        <v>1</v>
      </c>
      <c r="AD117" s="558"/>
      <c r="AE117" s="39">
        <v>1</v>
      </c>
      <c r="AF117" s="360"/>
      <c r="AG117" s="40">
        <v>1</v>
      </c>
      <c r="AH117" s="376"/>
      <c r="AI117" s="376">
        <v>1</v>
      </c>
      <c r="AJ117" s="122"/>
      <c r="AK117" s="39">
        <v>1</v>
      </c>
      <c r="AL117" s="40"/>
      <c r="AM117" s="40"/>
      <c r="AN117" s="122"/>
      <c r="AO117" s="522">
        <f t="shared" si="60"/>
        <v>8</v>
      </c>
      <c r="AP117" s="524">
        <f t="shared" si="60"/>
        <v>0</v>
      </c>
      <c r="AQ117" s="525">
        <f t="shared" si="61"/>
        <v>8</v>
      </c>
      <c r="AR117" s="635"/>
      <c r="AS117" s="349"/>
    </row>
    <row r="118" spans="1:45" s="140" customFormat="1" ht="17" hidden="1" customHeight="1">
      <c r="B118" s="1871"/>
      <c r="C118" s="169" t="s">
        <v>506</v>
      </c>
      <c r="D118" s="2" t="s">
        <v>13</v>
      </c>
      <c r="E118" s="443" t="s">
        <v>348</v>
      </c>
      <c r="F118" s="996" t="s">
        <v>396</v>
      </c>
      <c r="G118" s="1006" t="s">
        <v>400</v>
      </c>
      <c r="H118" s="1001"/>
      <c r="I118" s="811"/>
      <c r="J118" s="367"/>
      <c r="K118" s="56"/>
      <c r="L118" s="56"/>
      <c r="M118" s="56"/>
      <c r="N118" s="53"/>
      <c r="O118" s="3"/>
      <c r="P118" s="378"/>
      <c r="Q118" s="1131"/>
      <c r="R118" s="1184"/>
      <c r="S118" s="1132"/>
      <c r="T118" s="1133"/>
      <c r="U118" s="1128"/>
      <c r="V118" s="1128"/>
      <c r="W118" s="1128"/>
      <c r="X118" s="1128"/>
      <c r="Y118" s="1128"/>
      <c r="Z118" s="1128"/>
      <c r="AA118" s="1128"/>
      <c r="AB118" s="1128"/>
      <c r="AC118" s="1128"/>
      <c r="AD118" s="1181"/>
      <c r="AE118" s="1258"/>
      <c r="AF118" s="1259"/>
      <c r="AG118" s="1130"/>
      <c r="AH118" s="1131"/>
      <c r="AI118" s="1131"/>
      <c r="AJ118" s="1142"/>
      <c r="AK118" s="1129"/>
      <c r="AL118" s="1130"/>
      <c r="AM118" s="1130"/>
      <c r="AN118" s="1142"/>
      <c r="AO118" s="522">
        <f t="shared" si="60"/>
        <v>0</v>
      </c>
      <c r="AP118" s="524">
        <f t="shared" si="60"/>
        <v>0</v>
      </c>
      <c r="AQ118" s="525">
        <f t="shared" si="61"/>
        <v>0</v>
      </c>
      <c r="AR118" s="635" t="s">
        <v>77</v>
      </c>
      <c r="AS118" s="349"/>
    </row>
    <row r="119" spans="1:45" s="140" customFormat="1" ht="17" hidden="1" customHeight="1">
      <c r="B119" s="1871"/>
      <c r="C119" s="169" t="s">
        <v>393</v>
      </c>
      <c r="D119" s="2" t="s">
        <v>13</v>
      </c>
      <c r="E119" s="443" t="s">
        <v>348</v>
      </c>
      <c r="F119" s="999" t="s">
        <v>397</v>
      </c>
      <c r="G119" s="1007" t="s">
        <v>401</v>
      </c>
      <c r="H119" s="1001"/>
      <c r="I119" s="812"/>
      <c r="J119" s="363"/>
      <c r="K119" s="409"/>
      <c r="L119" s="725"/>
      <c r="M119" s="409"/>
      <c r="N119" s="53"/>
      <c r="O119" s="409"/>
      <c r="P119" s="497"/>
      <c r="Q119" s="1260"/>
      <c r="R119" s="1261"/>
      <c r="S119" s="1262"/>
      <c r="T119" s="1263"/>
      <c r="U119" s="1134"/>
      <c r="V119" s="1134"/>
      <c r="W119" s="1134"/>
      <c r="X119" s="1134"/>
      <c r="Y119" s="1134"/>
      <c r="Z119" s="1134"/>
      <c r="AA119" s="1134"/>
      <c r="AB119" s="1134"/>
      <c r="AC119" s="1134"/>
      <c r="AD119" s="1135"/>
      <c r="AE119" s="1136"/>
      <c r="AF119" s="1137"/>
      <c r="AG119" s="1138"/>
      <c r="AH119" s="1139"/>
      <c r="AI119" s="1139"/>
      <c r="AJ119" s="1140"/>
      <c r="AK119" s="1136"/>
      <c r="AL119" s="1138"/>
      <c r="AM119" s="1138"/>
      <c r="AN119" s="1140"/>
      <c r="AO119" s="522">
        <f t="shared" si="60"/>
        <v>0</v>
      </c>
      <c r="AP119" s="524">
        <f t="shared" si="60"/>
        <v>0</v>
      </c>
      <c r="AQ119" s="525">
        <f t="shared" si="61"/>
        <v>0</v>
      </c>
      <c r="AR119" s="635" t="s">
        <v>77</v>
      </c>
      <c r="AS119" s="349"/>
    </row>
    <row r="120" spans="1:45" s="140" customFormat="1" ht="17" hidden="1" customHeight="1">
      <c r="B120" s="1871"/>
      <c r="C120" s="177" t="s">
        <v>394</v>
      </c>
      <c r="D120" s="26" t="s">
        <v>21</v>
      </c>
      <c r="E120" s="443" t="s">
        <v>348</v>
      </c>
      <c r="F120" s="996" t="s">
        <v>398</v>
      </c>
      <c r="G120" s="1006" t="s">
        <v>400</v>
      </c>
      <c r="H120" s="951"/>
      <c r="I120" s="812"/>
      <c r="J120" s="363"/>
      <c r="K120" s="5"/>
      <c r="L120" s="5"/>
      <c r="M120" s="5"/>
      <c r="N120" s="53"/>
      <c r="O120" s="5"/>
      <c r="P120" s="380"/>
      <c r="Q120" s="1139"/>
      <c r="R120" s="1185"/>
      <c r="S120" s="1141"/>
      <c r="T120" s="1134"/>
      <c r="U120" s="1134"/>
      <c r="V120" s="1134"/>
      <c r="W120" s="1134"/>
      <c r="X120" s="1134"/>
      <c r="Y120" s="1134"/>
      <c r="Z120" s="1134"/>
      <c r="AA120" s="1134"/>
      <c r="AB120" s="1134"/>
      <c r="AC120" s="1134"/>
      <c r="AD120" s="1135"/>
      <c r="AE120" s="1136"/>
      <c r="AF120" s="1137"/>
      <c r="AG120" s="1138"/>
      <c r="AH120" s="1139"/>
      <c r="AI120" s="1139"/>
      <c r="AJ120" s="1140"/>
      <c r="AK120" s="1136"/>
      <c r="AL120" s="1138"/>
      <c r="AM120" s="1138"/>
      <c r="AN120" s="1140"/>
      <c r="AO120" s="522">
        <f t="shared" si="60"/>
        <v>0</v>
      </c>
      <c r="AP120" s="524">
        <f t="shared" si="60"/>
        <v>0</v>
      </c>
      <c r="AQ120" s="525">
        <f t="shared" si="61"/>
        <v>0</v>
      </c>
      <c r="AR120" s="635" t="s">
        <v>77</v>
      </c>
      <c r="AS120" s="349"/>
    </row>
    <row r="121" spans="1:45" s="140" customFormat="1" ht="17" hidden="1" customHeight="1">
      <c r="B121" s="1871"/>
      <c r="C121" s="272" t="s">
        <v>394</v>
      </c>
      <c r="D121" s="2" t="s">
        <v>21</v>
      </c>
      <c r="E121" s="443" t="s">
        <v>348</v>
      </c>
      <c r="F121" s="996" t="s">
        <v>302</v>
      </c>
      <c r="G121" s="1006" t="s">
        <v>400</v>
      </c>
      <c r="H121" s="951"/>
      <c r="I121" s="811"/>
      <c r="J121" s="361"/>
      <c r="K121" s="3"/>
      <c r="L121" s="3"/>
      <c r="M121" s="3"/>
      <c r="N121" s="53"/>
      <c r="O121" s="3"/>
      <c r="P121" s="378"/>
      <c r="Q121" s="1131"/>
      <c r="R121" s="1184"/>
      <c r="S121" s="1150"/>
      <c r="T121" s="1128"/>
      <c r="U121" s="1128"/>
      <c r="V121" s="1128"/>
      <c r="W121" s="1128"/>
      <c r="X121" s="1128"/>
      <c r="Y121" s="1128"/>
      <c r="Z121" s="1128"/>
      <c r="AA121" s="1128"/>
      <c r="AB121" s="1128"/>
      <c r="AC121" s="1128"/>
      <c r="AD121" s="1181"/>
      <c r="AE121" s="1129"/>
      <c r="AF121" s="1143"/>
      <c r="AG121" s="1130"/>
      <c r="AH121" s="1131"/>
      <c r="AI121" s="1131"/>
      <c r="AJ121" s="1142"/>
      <c r="AK121" s="1129"/>
      <c r="AL121" s="1130"/>
      <c r="AM121" s="1130"/>
      <c r="AN121" s="1142"/>
      <c r="AO121" s="522">
        <f t="shared" si="60"/>
        <v>0</v>
      </c>
      <c r="AP121" s="524">
        <f t="shared" si="60"/>
        <v>0</v>
      </c>
      <c r="AQ121" s="525">
        <f t="shared" si="61"/>
        <v>0</v>
      </c>
      <c r="AR121" s="635" t="s">
        <v>283</v>
      </c>
      <c r="AS121" s="349"/>
    </row>
    <row r="122" spans="1:45" s="140" customFormat="1" ht="17" hidden="1" customHeight="1">
      <c r="B122" s="1871"/>
      <c r="C122" s="169" t="s">
        <v>395</v>
      </c>
      <c r="D122" s="2" t="s">
        <v>21</v>
      </c>
      <c r="E122" s="443" t="s">
        <v>348</v>
      </c>
      <c r="F122" s="999" t="s">
        <v>399</v>
      </c>
      <c r="G122" s="1007" t="s">
        <v>401</v>
      </c>
      <c r="H122" s="969"/>
      <c r="I122" s="813"/>
      <c r="J122" s="796"/>
      <c r="K122" s="43"/>
      <c r="L122" s="43"/>
      <c r="M122" s="43"/>
      <c r="N122" s="53"/>
      <c r="O122" s="43"/>
      <c r="P122" s="498"/>
      <c r="Q122" s="1131"/>
      <c r="R122" s="1184"/>
      <c r="S122" s="1150"/>
      <c r="T122" s="1128"/>
      <c r="U122" s="1128"/>
      <c r="V122" s="1128"/>
      <c r="W122" s="1128"/>
      <c r="X122" s="1128"/>
      <c r="Y122" s="1128"/>
      <c r="Z122" s="1128"/>
      <c r="AA122" s="1128"/>
      <c r="AB122" s="1128"/>
      <c r="AC122" s="1128"/>
      <c r="AD122" s="1181"/>
      <c r="AE122" s="1129"/>
      <c r="AF122" s="1143"/>
      <c r="AG122" s="1130"/>
      <c r="AH122" s="1131"/>
      <c r="AI122" s="1131"/>
      <c r="AJ122" s="1142"/>
      <c r="AK122" s="1129"/>
      <c r="AL122" s="1130"/>
      <c r="AM122" s="1130"/>
      <c r="AN122" s="1142"/>
      <c r="AO122" s="522">
        <f t="shared" si="60"/>
        <v>0</v>
      </c>
      <c r="AP122" s="524">
        <f t="shared" si="60"/>
        <v>0</v>
      </c>
      <c r="AQ122" s="525">
        <f t="shared" si="61"/>
        <v>0</v>
      </c>
      <c r="AR122" s="635" t="s">
        <v>283</v>
      </c>
      <c r="AS122" s="349"/>
    </row>
    <row r="123" spans="1:45" s="140" customFormat="1" ht="17" hidden="1" customHeight="1" thickBot="1">
      <c r="B123" s="1871"/>
      <c r="C123" s="907" t="s">
        <v>395</v>
      </c>
      <c r="D123" s="6" t="s">
        <v>22</v>
      </c>
      <c r="E123" s="443" t="s">
        <v>348</v>
      </c>
      <c r="F123" s="999" t="s">
        <v>302</v>
      </c>
      <c r="G123" s="1008" t="s">
        <v>401</v>
      </c>
      <c r="H123" s="951"/>
      <c r="I123" s="811"/>
      <c r="J123" s="361"/>
      <c r="K123" s="3"/>
      <c r="L123" s="3"/>
      <c r="M123" s="3"/>
      <c r="N123" s="53"/>
      <c r="O123" s="3"/>
      <c r="P123" s="378"/>
      <c r="Q123" s="1131"/>
      <c r="R123" s="1184"/>
      <c r="S123" s="1150"/>
      <c r="T123" s="1128"/>
      <c r="U123" s="1128"/>
      <c r="V123" s="1128"/>
      <c r="W123" s="1128"/>
      <c r="X123" s="1128"/>
      <c r="Y123" s="1128"/>
      <c r="Z123" s="1128"/>
      <c r="AA123" s="1128"/>
      <c r="AB123" s="1128"/>
      <c r="AC123" s="1128"/>
      <c r="AD123" s="1181"/>
      <c r="AE123" s="1129"/>
      <c r="AF123" s="1143"/>
      <c r="AG123" s="1130"/>
      <c r="AH123" s="1131"/>
      <c r="AI123" s="1131"/>
      <c r="AJ123" s="1142"/>
      <c r="AK123" s="1129"/>
      <c r="AL123" s="1130"/>
      <c r="AM123" s="1130"/>
      <c r="AN123" s="1142"/>
      <c r="AO123" s="522">
        <f t="shared" si="60"/>
        <v>0</v>
      </c>
      <c r="AP123" s="524">
        <f t="shared" si="60"/>
        <v>0</v>
      </c>
      <c r="AQ123" s="525">
        <f t="shared" si="61"/>
        <v>0</v>
      </c>
      <c r="AR123" s="635" t="s">
        <v>283</v>
      </c>
      <c r="AS123" s="349"/>
    </row>
    <row r="124" spans="1:45" s="150" customFormat="1" ht="17" hidden="1" customHeight="1" thickBot="1">
      <c r="A124" s="140"/>
      <c r="B124" s="1871"/>
      <c r="C124" s="678" t="s">
        <v>16</v>
      </c>
      <c r="D124" s="679"/>
      <c r="E124" s="680"/>
      <c r="F124" s="681"/>
      <c r="G124" s="1003"/>
      <c r="H124" s="682"/>
      <c r="I124" s="808"/>
      <c r="J124" s="368">
        <f t="shared" ref="J124:P124" si="63">SUM(J97:J123)</f>
        <v>0</v>
      </c>
      <c r="K124" s="198">
        <f t="shared" si="63"/>
        <v>8.15</v>
      </c>
      <c r="L124" s="198">
        <f t="shared" si="63"/>
        <v>8.35</v>
      </c>
      <c r="M124" s="198">
        <f t="shared" si="63"/>
        <v>10</v>
      </c>
      <c r="N124" s="198">
        <f t="shared" si="63"/>
        <v>11</v>
      </c>
      <c r="O124" s="198">
        <f t="shared" si="63"/>
        <v>9.8000000000000007</v>
      </c>
      <c r="P124" s="198">
        <f t="shared" si="63"/>
        <v>12.8</v>
      </c>
      <c r="Q124" s="384">
        <f>SUM(Q97:Q123)</f>
        <v>9</v>
      </c>
      <c r="R124" s="507"/>
      <c r="S124" s="559">
        <f>SUM(S97:S123)</f>
        <v>17</v>
      </c>
      <c r="T124" s="560"/>
      <c r="U124" s="560">
        <f>SUM(U97:U123)</f>
        <v>17</v>
      </c>
      <c r="V124" s="560"/>
      <c r="W124" s="560">
        <f>SUM(W97:W123)</f>
        <v>19</v>
      </c>
      <c r="X124" s="560"/>
      <c r="Y124" s="560">
        <f>SUM(Y97:Y123)</f>
        <v>19</v>
      </c>
      <c r="Z124" s="560"/>
      <c r="AA124" s="560">
        <f>SUM(AA97:AA123)</f>
        <v>19</v>
      </c>
      <c r="AB124" s="560"/>
      <c r="AC124" s="560">
        <f>SUM(AC97:AC123)</f>
        <v>19</v>
      </c>
      <c r="AD124" s="561"/>
      <c r="AE124" s="389">
        <f>SUM(AE97:AE123)</f>
        <v>19</v>
      </c>
      <c r="AF124" s="368"/>
      <c r="AG124" s="198">
        <f>SUM(AG97:AG123)</f>
        <v>19</v>
      </c>
      <c r="AH124" s="384"/>
      <c r="AI124" s="384">
        <f>SUM(AI97:AI123)</f>
        <v>19</v>
      </c>
      <c r="AJ124" s="372"/>
      <c r="AK124" s="389">
        <f>SUM(AK97:AK123)</f>
        <v>19</v>
      </c>
      <c r="AL124" s="198"/>
      <c r="AM124" s="198">
        <f>SUM(AM97:AM123)</f>
        <v>10</v>
      </c>
      <c r="AN124" s="372"/>
      <c r="AO124" s="683">
        <f>+SUM(AO97:AO123)</f>
        <v>232.95000000000002</v>
      </c>
      <c r="AP124" s="684">
        <f>+SUM(AP97:AP123)</f>
        <v>41.9</v>
      </c>
      <c r="AQ124" s="685">
        <f>+SUM(AQ97:AQ123)</f>
        <v>191.05</v>
      </c>
      <c r="AR124" s="648"/>
      <c r="AS124" s="349"/>
    </row>
    <row r="125" spans="1:45" s="140" customFormat="1" ht="17" hidden="1" customHeight="1">
      <c r="B125" s="1799" t="s">
        <v>66</v>
      </c>
      <c r="C125" s="1111" t="s">
        <v>179</v>
      </c>
      <c r="D125" s="1112" t="s">
        <v>19</v>
      </c>
      <c r="E125" s="1113" t="s">
        <v>57</v>
      </c>
      <c r="F125" s="1114" t="s">
        <v>304</v>
      </c>
      <c r="G125" s="1114" t="s">
        <v>628</v>
      </c>
      <c r="H125" s="814">
        <v>45677</v>
      </c>
      <c r="I125" s="814">
        <v>45747</v>
      </c>
      <c r="J125" s="359"/>
      <c r="K125" s="49">
        <v>1</v>
      </c>
      <c r="L125" s="49">
        <f t="shared" ref="L125:L131" si="64">K125*$L$1</f>
        <v>1</v>
      </c>
      <c r="M125" s="49">
        <v>1</v>
      </c>
      <c r="N125" s="373">
        <f t="shared" si="53"/>
        <v>1</v>
      </c>
      <c r="O125" s="48"/>
      <c r="P125" s="49"/>
      <c r="Q125" s="49"/>
      <c r="R125" s="373"/>
      <c r="S125" s="48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373"/>
      <c r="AE125" s="48"/>
      <c r="AF125" s="49"/>
      <c r="AG125" s="49"/>
      <c r="AH125" s="49"/>
      <c r="AI125" s="49"/>
      <c r="AJ125" s="373"/>
      <c r="AK125" s="48"/>
      <c r="AL125" s="49"/>
      <c r="AM125" s="49"/>
      <c r="AN125" s="373"/>
      <c r="AO125" s="511">
        <f t="shared" ref="AO125:AP194" si="65">+K125+M125+O125+Q125+S125+U125+W125+Y125+AA125+AC125+AE125+AG125+AI125+AK125+AM125</f>
        <v>2</v>
      </c>
      <c r="AP125" s="512">
        <f t="shared" si="65"/>
        <v>2</v>
      </c>
      <c r="AQ125" s="1034">
        <f t="shared" ref="AQ125:AQ194" si="66">AO125-AP125</f>
        <v>0</v>
      </c>
      <c r="AR125" s="1038"/>
      <c r="AS125" s="349"/>
    </row>
    <row r="126" spans="1:45" s="140" customFormat="1" ht="17" hidden="1" customHeight="1">
      <c r="B126" s="1871"/>
      <c r="C126" s="263" t="s">
        <v>507</v>
      </c>
      <c r="D126" s="1011" t="s">
        <v>13</v>
      </c>
      <c r="E126" s="1014" t="s">
        <v>57</v>
      </c>
      <c r="F126" s="901" t="s">
        <v>305</v>
      </c>
      <c r="G126" s="901"/>
      <c r="H126" s="809">
        <v>45677</v>
      </c>
      <c r="I126" s="809">
        <v>46142</v>
      </c>
      <c r="J126" s="29"/>
      <c r="K126" s="28">
        <v>1</v>
      </c>
      <c r="L126" s="53">
        <f t="shared" si="64"/>
        <v>1</v>
      </c>
      <c r="M126" s="28">
        <v>1</v>
      </c>
      <c r="N126" s="374">
        <f t="shared" si="53"/>
        <v>1</v>
      </c>
      <c r="O126" s="27">
        <v>1</v>
      </c>
      <c r="P126" s="28">
        <f t="shared" ref="P126:P127" si="67">$P$1*O126</f>
        <v>1</v>
      </c>
      <c r="Q126" s="28">
        <v>1</v>
      </c>
      <c r="R126" s="374">
        <f t="shared" ref="R126:R131" si="68">$Q$1*Q126</f>
        <v>0.75</v>
      </c>
      <c r="S126" s="27">
        <v>1</v>
      </c>
      <c r="T126" s="28"/>
      <c r="U126" s="28">
        <v>1</v>
      </c>
      <c r="V126" s="28"/>
      <c r="W126" s="28">
        <v>1</v>
      </c>
      <c r="X126" s="28"/>
      <c r="Y126" s="28">
        <v>1</v>
      </c>
      <c r="Z126" s="28"/>
      <c r="AA126" s="28">
        <v>1</v>
      </c>
      <c r="AB126" s="28"/>
      <c r="AC126" s="28">
        <v>1</v>
      </c>
      <c r="AD126" s="374"/>
      <c r="AE126" s="27">
        <v>1</v>
      </c>
      <c r="AF126" s="28"/>
      <c r="AG126" s="28">
        <v>1</v>
      </c>
      <c r="AH126" s="28"/>
      <c r="AI126" s="28">
        <v>1</v>
      </c>
      <c r="AJ126" s="374"/>
      <c r="AK126" s="27">
        <v>1</v>
      </c>
      <c r="AL126" s="28"/>
      <c r="AM126" s="28">
        <v>1</v>
      </c>
      <c r="AN126" s="374"/>
      <c r="AO126" s="721">
        <f t="shared" si="65"/>
        <v>15</v>
      </c>
      <c r="AP126" s="722">
        <f t="shared" si="65"/>
        <v>3.75</v>
      </c>
      <c r="AQ126" s="1035">
        <f t="shared" si="66"/>
        <v>11.25</v>
      </c>
      <c r="AR126" s="1039"/>
      <c r="AS126" s="349"/>
    </row>
    <row r="127" spans="1:45" s="140" customFormat="1" ht="17" hidden="1" customHeight="1">
      <c r="B127" s="1871"/>
      <c r="C127" s="263" t="s">
        <v>534</v>
      </c>
      <c r="D127" s="1011" t="s">
        <v>283</v>
      </c>
      <c r="E127" s="1014" t="s">
        <v>57</v>
      </c>
      <c r="F127" s="901" t="s">
        <v>309</v>
      </c>
      <c r="G127" s="901"/>
      <c r="H127" s="809">
        <v>45677</v>
      </c>
      <c r="I127" s="809">
        <v>46142</v>
      </c>
      <c r="J127" s="29"/>
      <c r="K127" s="28">
        <v>1</v>
      </c>
      <c r="L127" s="53">
        <f t="shared" si="64"/>
        <v>1</v>
      </c>
      <c r="M127" s="28">
        <v>1</v>
      </c>
      <c r="N127" s="374">
        <f t="shared" si="53"/>
        <v>1</v>
      </c>
      <c r="O127" s="27">
        <v>1</v>
      </c>
      <c r="P127" s="28">
        <f t="shared" si="67"/>
        <v>1</v>
      </c>
      <c r="Q127" s="28">
        <v>1</v>
      </c>
      <c r="R127" s="374">
        <f t="shared" si="68"/>
        <v>0.75</v>
      </c>
      <c r="S127" s="27">
        <v>1</v>
      </c>
      <c r="T127" s="28"/>
      <c r="U127" s="28">
        <v>1</v>
      </c>
      <c r="V127" s="28"/>
      <c r="W127" s="28">
        <v>1</v>
      </c>
      <c r="X127" s="28"/>
      <c r="Y127" s="28">
        <v>1</v>
      </c>
      <c r="Z127" s="28"/>
      <c r="AA127" s="28">
        <v>1</v>
      </c>
      <c r="AB127" s="28"/>
      <c r="AC127" s="28">
        <v>1</v>
      </c>
      <c r="AD127" s="374"/>
      <c r="AE127" s="27">
        <v>1</v>
      </c>
      <c r="AF127" s="28"/>
      <c r="AG127" s="28">
        <v>1</v>
      </c>
      <c r="AH127" s="28"/>
      <c r="AI127" s="28">
        <v>1</v>
      </c>
      <c r="AJ127" s="374"/>
      <c r="AK127" s="27">
        <v>1</v>
      </c>
      <c r="AL127" s="28"/>
      <c r="AM127" s="28">
        <v>1</v>
      </c>
      <c r="AN127" s="374"/>
      <c r="AO127" s="721">
        <f t="shared" si="65"/>
        <v>15</v>
      </c>
      <c r="AP127" s="722">
        <f t="shared" si="65"/>
        <v>3.75</v>
      </c>
      <c r="AQ127" s="1035">
        <f t="shared" si="66"/>
        <v>11.25</v>
      </c>
      <c r="AR127" s="1039"/>
      <c r="AS127" s="349"/>
    </row>
    <row r="128" spans="1:45" s="140" customFormat="1" ht="17" hidden="1" customHeight="1">
      <c r="B128" s="1871"/>
      <c r="C128" s="263" t="s">
        <v>306</v>
      </c>
      <c r="D128" s="1011" t="s">
        <v>536</v>
      </c>
      <c r="E128" s="1093" t="s">
        <v>57</v>
      </c>
      <c r="F128" s="1020" t="s">
        <v>535</v>
      </c>
      <c r="G128" s="1020" t="s">
        <v>557</v>
      </c>
      <c r="H128" s="923">
        <v>45707</v>
      </c>
      <c r="I128" s="923">
        <v>46142</v>
      </c>
      <c r="J128" s="29"/>
      <c r="K128" s="419"/>
      <c r="L128" s="673">
        <f>8/20</f>
        <v>0.4</v>
      </c>
      <c r="M128" s="419"/>
      <c r="N128" s="495">
        <f>M1*N$1</f>
        <v>1</v>
      </c>
      <c r="O128" s="1009">
        <v>0</v>
      </c>
      <c r="P128" s="419">
        <f>$O$1*$P$1</f>
        <v>1</v>
      </c>
      <c r="Q128" s="1125">
        <v>0</v>
      </c>
      <c r="R128" s="1374">
        <f>R$1*Q1</f>
        <v>0.75</v>
      </c>
      <c r="S128" s="1363">
        <v>0</v>
      </c>
      <c r="T128" s="1125"/>
      <c r="U128" s="1125">
        <v>0</v>
      </c>
      <c r="V128" s="1125"/>
      <c r="W128" s="1125">
        <v>0</v>
      </c>
      <c r="X128" s="1125"/>
      <c r="Y128" s="1125">
        <v>0</v>
      </c>
      <c r="Z128" s="1125"/>
      <c r="AA128" s="1125">
        <v>0</v>
      </c>
      <c r="AB128" s="1125"/>
      <c r="AC128" s="1125">
        <v>0</v>
      </c>
      <c r="AD128" s="1374"/>
      <c r="AE128" s="1363">
        <v>0</v>
      </c>
      <c r="AF128" s="1125"/>
      <c r="AG128" s="1125">
        <v>0</v>
      </c>
      <c r="AH128" s="1125"/>
      <c r="AI128" s="1125">
        <v>0</v>
      </c>
      <c r="AJ128" s="1374"/>
      <c r="AK128" s="1363">
        <v>0</v>
      </c>
      <c r="AL128" s="1125"/>
      <c r="AM128" s="1125">
        <v>0</v>
      </c>
      <c r="AN128" s="1374"/>
      <c r="AO128" s="721">
        <f t="shared" si="65"/>
        <v>0</v>
      </c>
      <c r="AP128" s="722">
        <f t="shared" si="65"/>
        <v>3.15</v>
      </c>
      <c r="AQ128" s="1035">
        <f t="shared" si="66"/>
        <v>-3.15</v>
      </c>
      <c r="AR128" s="1039"/>
      <c r="AS128" s="349"/>
    </row>
    <row r="129" spans="1:45" s="140" customFormat="1" ht="17" hidden="1" customHeight="1">
      <c r="B129" s="1871"/>
      <c r="C129" s="263" t="s">
        <v>307</v>
      </c>
      <c r="D129" s="1011" t="s">
        <v>77</v>
      </c>
      <c r="E129" s="1014" t="s">
        <v>57</v>
      </c>
      <c r="F129" s="901" t="s">
        <v>310</v>
      </c>
      <c r="G129" s="901"/>
      <c r="H129" s="809">
        <v>45677</v>
      </c>
      <c r="I129" s="809">
        <v>46142</v>
      </c>
      <c r="J129" s="29"/>
      <c r="K129" s="28">
        <v>1</v>
      </c>
      <c r="L129" s="53">
        <f t="shared" si="64"/>
        <v>1</v>
      </c>
      <c r="M129" s="28">
        <v>1</v>
      </c>
      <c r="N129" s="374">
        <f t="shared" si="53"/>
        <v>1</v>
      </c>
      <c r="O129" s="27">
        <v>1</v>
      </c>
      <c r="P129" s="28">
        <f t="shared" ref="P129:P131" si="69">$P$1*O129</f>
        <v>1</v>
      </c>
      <c r="Q129" s="28">
        <v>1</v>
      </c>
      <c r="R129" s="374">
        <f t="shared" si="68"/>
        <v>0.75</v>
      </c>
      <c r="S129" s="27">
        <v>1</v>
      </c>
      <c r="T129" s="28"/>
      <c r="U129" s="28">
        <v>1</v>
      </c>
      <c r="V129" s="28"/>
      <c r="W129" s="28">
        <v>1</v>
      </c>
      <c r="X129" s="28"/>
      <c r="Y129" s="28">
        <v>1</v>
      </c>
      <c r="Z129" s="28"/>
      <c r="AA129" s="28">
        <v>1</v>
      </c>
      <c r="AB129" s="28"/>
      <c r="AC129" s="28">
        <v>1</v>
      </c>
      <c r="AD129" s="374"/>
      <c r="AE129" s="27">
        <v>1</v>
      </c>
      <c r="AF129" s="28"/>
      <c r="AG129" s="28">
        <v>1</v>
      </c>
      <c r="AH129" s="28"/>
      <c r="AI129" s="28">
        <v>1</v>
      </c>
      <c r="AJ129" s="374"/>
      <c r="AK129" s="27">
        <v>1</v>
      </c>
      <c r="AL129" s="28"/>
      <c r="AM129" s="28">
        <v>1</v>
      </c>
      <c r="AN129" s="374"/>
      <c r="AO129" s="721">
        <f t="shared" si="65"/>
        <v>15</v>
      </c>
      <c r="AP129" s="722">
        <f t="shared" si="65"/>
        <v>3.75</v>
      </c>
      <c r="AQ129" s="1035">
        <f t="shared" si="66"/>
        <v>11.25</v>
      </c>
      <c r="AR129" s="1039"/>
      <c r="AS129" s="349"/>
    </row>
    <row r="130" spans="1:45" s="140" customFormat="1" ht="17" hidden="1" customHeight="1">
      <c r="B130" s="1871"/>
      <c r="C130" s="263" t="s">
        <v>308</v>
      </c>
      <c r="D130" s="1011" t="s">
        <v>283</v>
      </c>
      <c r="E130" s="1014" t="s">
        <v>57</v>
      </c>
      <c r="F130" s="901" t="s">
        <v>311</v>
      </c>
      <c r="G130" s="901"/>
      <c r="H130" s="809">
        <v>45677</v>
      </c>
      <c r="I130" s="809">
        <v>46142</v>
      </c>
      <c r="J130" s="29"/>
      <c r="K130" s="28">
        <v>1</v>
      </c>
      <c r="L130" s="53">
        <f t="shared" si="64"/>
        <v>1</v>
      </c>
      <c r="M130" s="28">
        <v>1</v>
      </c>
      <c r="N130" s="374">
        <f t="shared" si="53"/>
        <v>1</v>
      </c>
      <c r="O130" s="27">
        <v>1</v>
      </c>
      <c r="P130" s="28">
        <f t="shared" si="69"/>
        <v>1</v>
      </c>
      <c r="Q130" s="28">
        <v>1</v>
      </c>
      <c r="R130" s="374">
        <f t="shared" si="68"/>
        <v>0.75</v>
      </c>
      <c r="S130" s="27">
        <v>1</v>
      </c>
      <c r="T130" s="28"/>
      <c r="U130" s="28">
        <v>1</v>
      </c>
      <c r="V130" s="28"/>
      <c r="W130" s="28">
        <v>1</v>
      </c>
      <c r="X130" s="28"/>
      <c r="Y130" s="28">
        <v>1</v>
      </c>
      <c r="Z130" s="28"/>
      <c r="AA130" s="28">
        <v>1</v>
      </c>
      <c r="AB130" s="28"/>
      <c r="AC130" s="28">
        <v>1</v>
      </c>
      <c r="AD130" s="374"/>
      <c r="AE130" s="27">
        <v>1</v>
      </c>
      <c r="AF130" s="28"/>
      <c r="AG130" s="28">
        <v>1</v>
      </c>
      <c r="AH130" s="28"/>
      <c r="AI130" s="28">
        <v>1</v>
      </c>
      <c r="AJ130" s="374"/>
      <c r="AK130" s="27">
        <v>1</v>
      </c>
      <c r="AL130" s="28"/>
      <c r="AM130" s="28">
        <v>1</v>
      </c>
      <c r="AN130" s="374"/>
      <c r="AO130" s="721">
        <f t="shared" si="65"/>
        <v>15</v>
      </c>
      <c r="AP130" s="722">
        <f t="shared" si="65"/>
        <v>3.75</v>
      </c>
      <c r="AQ130" s="1035">
        <f t="shared" si="66"/>
        <v>11.25</v>
      </c>
      <c r="AR130" s="1039"/>
      <c r="AS130" s="349"/>
    </row>
    <row r="131" spans="1:45" s="140" customFormat="1" ht="17" hidden="1" customHeight="1" thickBot="1">
      <c r="B131" s="1872"/>
      <c r="C131" s="686" t="s">
        <v>312</v>
      </c>
      <c r="D131" s="1012" t="s">
        <v>19</v>
      </c>
      <c r="E131" s="1015" t="s">
        <v>57</v>
      </c>
      <c r="F131" s="1018" t="s">
        <v>313</v>
      </c>
      <c r="G131" s="1018"/>
      <c r="H131" s="815">
        <v>45677</v>
      </c>
      <c r="I131" s="815">
        <v>46142</v>
      </c>
      <c r="J131" s="360"/>
      <c r="K131" s="40">
        <v>1</v>
      </c>
      <c r="L131" s="744">
        <f t="shared" si="64"/>
        <v>1</v>
      </c>
      <c r="M131" s="40">
        <v>1</v>
      </c>
      <c r="N131" s="376">
        <f t="shared" si="53"/>
        <v>1</v>
      </c>
      <c r="O131" s="39">
        <v>1</v>
      </c>
      <c r="P131" s="40">
        <f t="shared" si="69"/>
        <v>1</v>
      </c>
      <c r="Q131" s="40">
        <v>1</v>
      </c>
      <c r="R131" s="376">
        <f t="shared" si="68"/>
        <v>0.75</v>
      </c>
      <c r="S131" s="27">
        <v>1</v>
      </c>
      <c r="T131" s="28"/>
      <c r="U131" s="28">
        <v>1</v>
      </c>
      <c r="V131" s="28"/>
      <c r="W131" s="28">
        <v>1</v>
      </c>
      <c r="X131" s="28"/>
      <c r="Y131" s="28">
        <v>1</v>
      </c>
      <c r="Z131" s="28"/>
      <c r="AA131" s="28">
        <v>1</v>
      </c>
      <c r="AB131" s="28"/>
      <c r="AC131" s="28">
        <v>1</v>
      </c>
      <c r="AD131" s="374"/>
      <c r="AE131" s="27">
        <v>1</v>
      </c>
      <c r="AF131" s="28"/>
      <c r="AG131" s="28">
        <v>1</v>
      </c>
      <c r="AH131" s="28"/>
      <c r="AI131" s="28">
        <v>1</v>
      </c>
      <c r="AJ131" s="374"/>
      <c r="AK131" s="27">
        <v>1</v>
      </c>
      <c r="AL131" s="28"/>
      <c r="AM131" s="28">
        <v>1</v>
      </c>
      <c r="AN131" s="374"/>
      <c r="AO131" s="721">
        <f t="shared" si="65"/>
        <v>15</v>
      </c>
      <c r="AP131" s="722">
        <f t="shared" si="65"/>
        <v>3.75</v>
      </c>
      <c r="AQ131" s="1035">
        <f t="shared" si="66"/>
        <v>11.25</v>
      </c>
      <c r="AR131" s="1039"/>
      <c r="AS131" s="349"/>
    </row>
    <row r="132" spans="1:45" s="140" customFormat="1" ht="17" hidden="1" customHeight="1">
      <c r="B132" s="1871"/>
      <c r="C132" s="264" t="s">
        <v>112</v>
      </c>
      <c r="D132" s="269" t="s">
        <v>283</v>
      </c>
      <c r="E132" s="955" t="s">
        <v>57</v>
      </c>
      <c r="F132" s="937" t="s">
        <v>314</v>
      </c>
      <c r="G132" s="937"/>
      <c r="H132" s="810">
        <v>45810</v>
      </c>
      <c r="I132" s="810">
        <v>46142</v>
      </c>
      <c r="J132" s="29"/>
      <c r="K132" s="28"/>
      <c r="L132" s="28"/>
      <c r="M132" s="28"/>
      <c r="N132" s="374"/>
      <c r="O132" s="27"/>
      <c r="P132" s="28"/>
      <c r="Q132" s="28"/>
      <c r="R132" s="374"/>
      <c r="S132" s="27">
        <v>1</v>
      </c>
      <c r="T132" s="28"/>
      <c r="U132" s="28">
        <v>1</v>
      </c>
      <c r="V132" s="28"/>
      <c r="W132" s="28">
        <v>1</v>
      </c>
      <c r="X132" s="28"/>
      <c r="Y132" s="28">
        <v>1</v>
      </c>
      <c r="Z132" s="28"/>
      <c r="AA132" s="28">
        <v>1</v>
      </c>
      <c r="AB132" s="28"/>
      <c r="AC132" s="28">
        <v>1</v>
      </c>
      <c r="AD132" s="374"/>
      <c r="AE132" s="27">
        <v>1</v>
      </c>
      <c r="AF132" s="28"/>
      <c r="AG132" s="28">
        <v>1</v>
      </c>
      <c r="AH132" s="28"/>
      <c r="AI132" s="28">
        <v>1</v>
      </c>
      <c r="AJ132" s="374"/>
      <c r="AK132" s="27">
        <v>1</v>
      </c>
      <c r="AL132" s="28"/>
      <c r="AM132" s="28">
        <v>1</v>
      </c>
      <c r="AN132" s="374"/>
      <c r="AO132" s="721">
        <f t="shared" si="65"/>
        <v>11</v>
      </c>
      <c r="AP132" s="722">
        <f t="shared" si="65"/>
        <v>0</v>
      </c>
      <c r="AQ132" s="1035">
        <f t="shared" si="66"/>
        <v>11</v>
      </c>
      <c r="AR132" s="1039"/>
      <c r="AS132" s="349"/>
    </row>
    <row r="133" spans="1:45" s="140" customFormat="1" ht="17" hidden="1" customHeight="1">
      <c r="B133" s="1871"/>
      <c r="C133" s="264" t="s">
        <v>113</v>
      </c>
      <c r="D133" s="269" t="s">
        <v>283</v>
      </c>
      <c r="E133" s="955" t="s">
        <v>57</v>
      </c>
      <c r="F133" s="937" t="s">
        <v>315</v>
      </c>
      <c r="G133" s="937"/>
      <c r="H133" s="810">
        <v>45750</v>
      </c>
      <c r="I133" s="810">
        <v>46142</v>
      </c>
      <c r="J133" s="29"/>
      <c r="K133" s="28"/>
      <c r="L133" s="28"/>
      <c r="M133" s="28"/>
      <c r="N133" s="374"/>
      <c r="O133" s="27">
        <v>1</v>
      </c>
      <c r="P133" s="28">
        <f t="shared" ref="P133" si="70">$P$1*O133</f>
        <v>1</v>
      </c>
      <c r="Q133" s="28">
        <v>1</v>
      </c>
      <c r="R133" s="374">
        <f>$Q$1*Q133</f>
        <v>0.75</v>
      </c>
      <c r="S133" s="27">
        <v>1</v>
      </c>
      <c r="T133" s="28"/>
      <c r="U133" s="28">
        <v>1</v>
      </c>
      <c r="V133" s="28"/>
      <c r="W133" s="28">
        <v>1</v>
      </c>
      <c r="X133" s="28"/>
      <c r="Y133" s="28">
        <v>1</v>
      </c>
      <c r="Z133" s="28"/>
      <c r="AA133" s="28">
        <v>1</v>
      </c>
      <c r="AB133" s="28"/>
      <c r="AC133" s="28">
        <v>1</v>
      </c>
      <c r="AD133" s="374"/>
      <c r="AE133" s="27">
        <v>1</v>
      </c>
      <c r="AF133" s="28"/>
      <c r="AG133" s="28">
        <v>1</v>
      </c>
      <c r="AH133" s="28"/>
      <c r="AI133" s="28">
        <v>1</v>
      </c>
      <c r="AJ133" s="374"/>
      <c r="AK133" s="27">
        <v>1</v>
      </c>
      <c r="AL133" s="28"/>
      <c r="AM133" s="28">
        <v>1</v>
      </c>
      <c r="AN133" s="374"/>
      <c r="AO133" s="721">
        <f t="shared" si="65"/>
        <v>13</v>
      </c>
      <c r="AP133" s="722">
        <f t="shared" si="65"/>
        <v>1.75</v>
      </c>
      <c r="AQ133" s="1035">
        <f t="shared" si="66"/>
        <v>11.25</v>
      </c>
      <c r="AR133" s="1039"/>
      <c r="AS133" s="349"/>
    </row>
    <row r="134" spans="1:45" s="140" customFormat="1" ht="17" hidden="1" customHeight="1">
      <c r="B134" s="1871"/>
      <c r="C134" s="264" t="s">
        <v>114</v>
      </c>
      <c r="D134" s="269" t="s">
        <v>283</v>
      </c>
      <c r="E134" s="955" t="s">
        <v>57</v>
      </c>
      <c r="F134" s="937" t="s">
        <v>316</v>
      </c>
      <c r="G134" s="937"/>
      <c r="H134" s="810">
        <v>45810</v>
      </c>
      <c r="I134" s="810">
        <v>46112</v>
      </c>
      <c r="J134" s="29"/>
      <c r="K134" s="28"/>
      <c r="L134" s="28"/>
      <c r="M134" s="28"/>
      <c r="N134" s="374"/>
      <c r="O134" s="27"/>
      <c r="P134" s="28"/>
      <c r="Q134" s="28"/>
      <c r="R134" s="374"/>
      <c r="S134" s="27">
        <v>1</v>
      </c>
      <c r="T134" s="28"/>
      <c r="U134" s="28">
        <v>1</v>
      </c>
      <c r="V134" s="28"/>
      <c r="W134" s="28">
        <v>1</v>
      </c>
      <c r="X134" s="28"/>
      <c r="Y134" s="28">
        <v>1</v>
      </c>
      <c r="Z134" s="28"/>
      <c r="AA134" s="28">
        <v>1</v>
      </c>
      <c r="AB134" s="28"/>
      <c r="AC134" s="28">
        <v>1</v>
      </c>
      <c r="AD134" s="374"/>
      <c r="AE134" s="27">
        <v>1</v>
      </c>
      <c r="AF134" s="28"/>
      <c r="AG134" s="28">
        <v>1</v>
      </c>
      <c r="AH134" s="28"/>
      <c r="AI134" s="28">
        <v>1</v>
      </c>
      <c r="AJ134" s="374"/>
      <c r="AK134" s="27">
        <v>1</v>
      </c>
      <c r="AL134" s="28"/>
      <c r="AM134" s="28"/>
      <c r="AN134" s="374"/>
      <c r="AO134" s="721">
        <f t="shared" si="65"/>
        <v>10</v>
      </c>
      <c r="AP134" s="722">
        <f t="shared" si="65"/>
        <v>0</v>
      </c>
      <c r="AQ134" s="1035">
        <f t="shared" si="66"/>
        <v>10</v>
      </c>
      <c r="AR134" s="1039"/>
      <c r="AS134" s="349"/>
    </row>
    <row r="135" spans="1:45" s="140" customFormat="1" ht="17" hidden="1" customHeight="1" thickBot="1">
      <c r="B135" s="1871"/>
      <c r="C135" s="264" t="s">
        <v>114</v>
      </c>
      <c r="D135" s="269" t="s">
        <v>43</v>
      </c>
      <c r="E135" s="955" t="s">
        <v>57</v>
      </c>
      <c r="F135" s="937" t="s">
        <v>317</v>
      </c>
      <c r="G135" s="937"/>
      <c r="H135" s="810">
        <v>45810</v>
      </c>
      <c r="I135" s="810">
        <v>46142</v>
      </c>
      <c r="J135" s="29"/>
      <c r="K135" s="28"/>
      <c r="L135" s="28"/>
      <c r="M135" s="28"/>
      <c r="N135" s="374"/>
      <c r="O135" s="27"/>
      <c r="P135" s="28"/>
      <c r="Q135" s="28"/>
      <c r="R135" s="374"/>
      <c r="S135" s="27">
        <v>1</v>
      </c>
      <c r="T135" s="28"/>
      <c r="U135" s="28">
        <v>1</v>
      </c>
      <c r="V135" s="28"/>
      <c r="W135" s="28">
        <v>1</v>
      </c>
      <c r="X135" s="28"/>
      <c r="Y135" s="28">
        <v>1</v>
      </c>
      <c r="Z135" s="28"/>
      <c r="AA135" s="28">
        <v>1</v>
      </c>
      <c r="AB135" s="28"/>
      <c r="AC135" s="28">
        <v>1</v>
      </c>
      <c r="AD135" s="374"/>
      <c r="AE135" s="27">
        <v>1</v>
      </c>
      <c r="AF135" s="28"/>
      <c r="AG135" s="28">
        <v>1</v>
      </c>
      <c r="AH135" s="28"/>
      <c r="AI135" s="28">
        <v>1</v>
      </c>
      <c r="AJ135" s="374"/>
      <c r="AK135" s="27">
        <v>1</v>
      </c>
      <c r="AL135" s="28"/>
      <c r="AM135" s="28">
        <v>1</v>
      </c>
      <c r="AN135" s="374"/>
      <c r="AO135" s="721">
        <f t="shared" si="65"/>
        <v>11</v>
      </c>
      <c r="AP135" s="722">
        <f t="shared" si="65"/>
        <v>0</v>
      </c>
      <c r="AQ135" s="1035">
        <f t="shared" si="66"/>
        <v>11</v>
      </c>
      <c r="AR135" s="1039"/>
      <c r="AS135" s="349"/>
    </row>
    <row r="136" spans="1:45" s="140" customFormat="1" ht="17" hidden="1" customHeight="1" thickBot="1">
      <c r="B136" s="1898"/>
      <c r="C136" s="264" t="s">
        <v>115</v>
      </c>
      <c r="D136" s="269" t="s">
        <v>22</v>
      </c>
      <c r="E136" s="955" t="s">
        <v>57</v>
      </c>
      <c r="F136" s="937" t="s">
        <v>318</v>
      </c>
      <c r="G136" s="937"/>
      <c r="H136" s="810">
        <v>45691</v>
      </c>
      <c r="I136" s="810">
        <v>46142</v>
      </c>
      <c r="J136" s="29"/>
      <c r="K136" s="28">
        <v>1</v>
      </c>
      <c r="L136" s="28">
        <f t="shared" ref="L136" si="71">K136*$L$1</f>
        <v>1</v>
      </c>
      <c r="M136" s="28">
        <v>1</v>
      </c>
      <c r="N136" s="374">
        <f t="shared" si="53"/>
        <v>1</v>
      </c>
      <c r="O136" s="27">
        <v>1</v>
      </c>
      <c r="P136" s="28">
        <f t="shared" ref="P136" si="72">$P$1*O136</f>
        <v>1</v>
      </c>
      <c r="Q136" s="28">
        <v>1</v>
      </c>
      <c r="R136" s="374">
        <f>$Q$1*Q136</f>
        <v>0.75</v>
      </c>
      <c r="S136" s="27">
        <v>1</v>
      </c>
      <c r="T136" s="28"/>
      <c r="U136" s="28">
        <v>1</v>
      </c>
      <c r="V136" s="28"/>
      <c r="W136" s="28">
        <v>1</v>
      </c>
      <c r="X136" s="28"/>
      <c r="Y136" s="28">
        <v>1</v>
      </c>
      <c r="Z136" s="28"/>
      <c r="AA136" s="28">
        <v>1</v>
      </c>
      <c r="AB136" s="28"/>
      <c r="AC136" s="28">
        <v>1</v>
      </c>
      <c r="AD136" s="374"/>
      <c r="AE136" s="27">
        <v>1</v>
      </c>
      <c r="AF136" s="28"/>
      <c r="AG136" s="28">
        <v>1</v>
      </c>
      <c r="AH136" s="28"/>
      <c r="AI136" s="28">
        <v>1</v>
      </c>
      <c r="AJ136" s="374"/>
      <c r="AK136" s="27">
        <v>1</v>
      </c>
      <c r="AL136" s="28"/>
      <c r="AM136" s="28">
        <v>1</v>
      </c>
      <c r="AN136" s="374"/>
      <c r="AO136" s="721">
        <f t="shared" si="65"/>
        <v>15</v>
      </c>
      <c r="AP136" s="722">
        <f t="shared" si="65"/>
        <v>3.75</v>
      </c>
      <c r="AQ136" s="1035">
        <f t="shared" si="66"/>
        <v>11.25</v>
      </c>
      <c r="AR136" s="1039"/>
      <c r="AS136" s="349"/>
    </row>
    <row r="137" spans="1:45" s="140" customFormat="1" ht="17" hidden="1" customHeight="1">
      <c r="B137" s="1871"/>
      <c r="C137" s="264" t="s">
        <v>115</v>
      </c>
      <c r="D137" s="269" t="s">
        <v>22</v>
      </c>
      <c r="E137" s="955" t="s">
        <v>57</v>
      </c>
      <c r="F137" s="937" t="s">
        <v>319</v>
      </c>
      <c r="G137" s="937"/>
      <c r="H137" s="810">
        <v>45870</v>
      </c>
      <c r="I137" s="810">
        <v>46112</v>
      </c>
      <c r="J137" s="29"/>
      <c r="K137" s="28"/>
      <c r="L137" s="28"/>
      <c r="M137" s="28"/>
      <c r="N137" s="374"/>
      <c r="O137" s="27"/>
      <c r="P137" s="28"/>
      <c r="Q137" s="28"/>
      <c r="R137" s="374"/>
      <c r="S137" s="27"/>
      <c r="T137" s="28"/>
      <c r="U137" s="28"/>
      <c r="V137" s="28"/>
      <c r="W137" s="28">
        <v>1</v>
      </c>
      <c r="X137" s="28"/>
      <c r="Y137" s="28">
        <v>1</v>
      </c>
      <c r="Z137" s="28"/>
      <c r="AA137" s="28">
        <v>1</v>
      </c>
      <c r="AB137" s="28"/>
      <c r="AC137" s="28">
        <v>1</v>
      </c>
      <c r="AD137" s="374"/>
      <c r="AE137" s="27">
        <v>1</v>
      </c>
      <c r="AF137" s="28"/>
      <c r="AG137" s="28">
        <v>1</v>
      </c>
      <c r="AH137" s="28"/>
      <c r="AI137" s="28">
        <v>1</v>
      </c>
      <c r="AJ137" s="374"/>
      <c r="AK137" s="27">
        <v>1</v>
      </c>
      <c r="AL137" s="28"/>
      <c r="AM137" s="28"/>
      <c r="AN137" s="374"/>
      <c r="AO137" s="721">
        <f t="shared" si="65"/>
        <v>8</v>
      </c>
      <c r="AP137" s="722">
        <f t="shared" si="65"/>
        <v>0</v>
      </c>
      <c r="AQ137" s="1035">
        <f t="shared" si="66"/>
        <v>8</v>
      </c>
      <c r="AR137" s="1039"/>
      <c r="AS137" s="349"/>
    </row>
    <row r="138" spans="1:45" s="140" customFormat="1" ht="17" hidden="1" customHeight="1" thickBot="1">
      <c r="B138" s="1871"/>
      <c r="C138" s="264" t="s">
        <v>115</v>
      </c>
      <c r="D138" s="269" t="s">
        <v>22</v>
      </c>
      <c r="E138" s="955" t="s">
        <v>57</v>
      </c>
      <c r="F138" s="937" t="s">
        <v>320</v>
      </c>
      <c r="G138" s="937"/>
      <c r="H138" s="810">
        <v>45810</v>
      </c>
      <c r="I138" s="810">
        <v>46112</v>
      </c>
      <c r="J138" s="29"/>
      <c r="K138" s="28"/>
      <c r="L138" s="28"/>
      <c r="M138" s="28"/>
      <c r="N138" s="374"/>
      <c r="O138" s="27"/>
      <c r="P138" s="28"/>
      <c r="Q138" s="28"/>
      <c r="R138" s="374"/>
      <c r="S138" s="27">
        <v>1</v>
      </c>
      <c r="T138" s="28"/>
      <c r="U138" s="28">
        <v>1</v>
      </c>
      <c r="V138" s="28"/>
      <c r="W138" s="28">
        <v>1</v>
      </c>
      <c r="X138" s="28"/>
      <c r="Y138" s="28">
        <v>1</v>
      </c>
      <c r="Z138" s="28"/>
      <c r="AA138" s="28">
        <v>1</v>
      </c>
      <c r="AB138" s="28"/>
      <c r="AC138" s="28">
        <v>1</v>
      </c>
      <c r="AD138" s="374"/>
      <c r="AE138" s="27">
        <v>1</v>
      </c>
      <c r="AF138" s="28"/>
      <c r="AG138" s="28">
        <v>1</v>
      </c>
      <c r="AH138" s="28"/>
      <c r="AI138" s="28">
        <v>1</v>
      </c>
      <c r="AJ138" s="374"/>
      <c r="AK138" s="27">
        <v>1</v>
      </c>
      <c r="AL138" s="28"/>
      <c r="AM138" s="28"/>
      <c r="AN138" s="374"/>
      <c r="AO138" s="721">
        <f t="shared" si="65"/>
        <v>10</v>
      </c>
      <c r="AP138" s="722">
        <f t="shared" si="65"/>
        <v>0</v>
      </c>
      <c r="AQ138" s="1035">
        <f t="shared" si="66"/>
        <v>10</v>
      </c>
      <c r="AR138" s="1039"/>
      <c r="AS138" s="349"/>
    </row>
    <row r="139" spans="1:45" s="140" customFormat="1" ht="17" hidden="1" customHeight="1" thickBot="1">
      <c r="B139" s="1898"/>
      <c r="C139" s="264" t="s">
        <v>116</v>
      </c>
      <c r="D139" s="269" t="s">
        <v>22</v>
      </c>
      <c r="E139" s="955" t="s">
        <v>57</v>
      </c>
      <c r="F139" s="937" t="s">
        <v>182</v>
      </c>
      <c r="G139" s="937"/>
      <c r="H139" s="810">
        <v>45677</v>
      </c>
      <c r="I139" s="810">
        <v>46142</v>
      </c>
      <c r="J139" s="29"/>
      <c r="K139" s="28">
        <v>1</v>
      </c>
      <c r="L139" s="28">
        <f t="shared" ref="L139" si="73">K139*$L$1</f>
        <v>1</v>
      </c>
      <c r="M139" s="28">
        <v>1</v>
      </c>
      <c r="N139" s="374">
        <f t="shared" si="53"/>
        <v>1</v>
      </c>
      <c r="O139" s="27">
        <v>1</v>
      </c>
      <c r="P139" s="28">
        <f t="shared" ref="P139" si="74">$P$1*O139</f>
        <v>1</v>
      </c>
      <c r="Q139" s="28">
        <v>1</v>
      </c>
      <c r="R139" s="374">
        <f>$Q$1*Q139</f>
        <v>0.75</v>
      </c>
      <c r="S139" s="27">
        <v>1</v>
      </c>
      <c r="T139" s="28"/>
      <c r="U139" s="28">
        <v>1</v>
      </c>
      <c r="V139" s="28"/>
      <c r="W139" s="28">
        <v>1</v>
      </c>
      <c r="X139" s="28"/>
      <c r="Y139" s="28">
        <v>1</v>
      </c>
      <c r="Z139" s="28"/>
      <c r="AA139" s="28">
        <v>1</v>
      </c>
      <c r="AB139" s="28"/>
      <c r="AC139" s="28">
        <v>1</v>
      </c>
      <c r="AD139" s="374"/>
      <c r="AE139" s="27">
        <v>1</v>
      </c>
      <c r="AF139" s="28"/>
      <c r="AG139" s="28">
        <v>1</v>
      </c>
      <c r="AH139" s="28"/>
      <c r="AI139" s="28">
        <v>1</v>
      </c>
      <c r="AJ139" s="374"/>
      <c r="AK139" s="27">
        <v>1</v>
      </c>
      <c r="AL139" s="28"/>
      <c r="AM139" s="28">
        <v>1</v>
      </c>
      <c r="AN139" s="374"/>
      <c r="AO139" s="721">
        <f t="shared" si="65"/>
        <v>15</v>
      </c>
      <c r="AP139" s="722">
        <f t="shared" si="65"/>
        <v>3.75</v>
      </c>
      <c r="AQ139" s="1035">
        <f t="shared" si="66"/>
        <v>11.25</v>
      </c>
      <c r="AR139" s="1039"/>
      <c r="AS139" s="349"/>
    </row>
    <row r="140" spans="1:45" s="863" customFormat="1" ht="17" customHeight="1">
      <c r="A140" s="140"/>
      <c r="B140" s="1871"/>
      <c r="C140" s="873" t="s">
        <v>618</v>
      </c>
      <c r="D140" s="871" t="s">
        <v>22</v>
      </c>
      <c r="E140" s="1016" t="s">
        <v>101</v>
      </c>
      <c r="F140" s="1017" t="s">
        <v>74</v>
      </c>
      <c r="G140" s="955"/>
      <c r="H140" s="800">
        <v>45839</v>
      </c>
      <c r="I140" s="800">
        <v>46081</v>
      </c>
      <c r="J140" s="875"/>
      <c r="K140" s="876"/>
      <c r="L140" s="876"/>
      <c r="M140" s="876"/>
      <c r="N140" s="867"/>
      <c r="O140" s="1029"/>
      <c r="P140" s="876"/>
      <c r="Q140" s="1130"/>
      <c r="R140" s="1131"/>
      <c r="S140" s="1129"/>
      <c r="T140" s="1130"/>
      <c r="U140" s="1130">
        <v>1</v>
      </c>
      <c r="V140" s="1130"/>
      <c r="W140" s="1130">
        <v>1</v>
      </c>
      <c r="X140" s="1130"/>
      <c r="Y140" s="1130">
        <v>1</v>
      </c>
      <c r="Z140" s="1130"/>
      <c r="AA140" s="1130">
        <v>1</v>
      </c>
      <c r="AB140" s="1130"/>
      <c r="AC140" s="1130">
        <v>1</v>
      </c>
      <c r="AD140" s="1131"/>
      <c r="AE140" s="1129">
        <v>1</v>
      </c>
      <c r="AF140" s="1130"/>
      <c r="AG140" s="1130">
        <v>1</v>
      </c>
      <c r="AH140" s="1130"/>
      <c r="AI140" s="1130">
        <v>1</v>
      </c>
      <c r="AJ140" s="1131"/>
      <c r="AK140" s="1129"/>
      <c r="AL140" s="1130"/>
      <c r="AM140" s="1130"/>
      <c r="AN140" s="1131"/>
      <c r="AO140" s="1033">
        <f t="shared" si="65"/>
        <v>8</v>
      </c>
      <c r="AP140" s="1032">
        <f t="shared" si="65"/>
        <v>0</v>
      </c>
      <c r="AQ140" s="1036">
        <f t="shared" si="66"/>
        <v>8</v>
      </c>
      <c r="AR140" s="1039"/>
      <c r="AS140" s="140"/>
    </row>
    <row r="141" spans="1:45" s="140" customFormat="1" ht="17" hidden="1" customHeight="1">
      <c r="B141" s="1871"/>
      <c r="C141" s="264" t="s">
        <v>116</v>
      </c>
      <c r="D141" s="269" t="s">
        <v>43</v>
      </c>
      <c r="E141" s="955" t="s">
        <v>57</v>
      </c>
      <c r="F141" s="937" t="s">
        <v>321</v>
      </c>
      <c r="G141" s="937"/>
      <c r="H141" s="800">
        <v>45810</v>
      </c>
      <c r="I141" s="810">
        <v>46112</v>
      </c>
      <c r="J141" s="29"/>
      <c r="K141" s="28"/>
      <c r="L141" s="28"/>
      <c r="M141" s="28"/>
      <c r="N141" s="374"/>
      <c r="O141" s="27"/>
      <c r="P141" s="28"/>
      <c r="Q141" s="28"/>
      <c r="R141" s="374"/>
      <c r="S141" s="27">
        <v>1</v>
      </c>
      <c r="T141" s="28"/>
      <c r="U141" s="28">
        <v>1</v>
      </c>
      <c r="V141" s="28"/>
      <c r="W141" s="28">
        <v>1</v>
      </c>
      <c r="X141" s="28"/>
      <c r="Y141" s="28">
        <v>1</v>
      </c>
      <c r="Z141" s="28"/>
      <c r="AA141" s="28">
        <v>1</v>
      </c>
      <c r="AB141" s="28"/>
      <c r="AC141" s="28">
        <v>1</v>
      </c>
      <c r="AD141" s="374"/>
      <c r="AE141" s="27">
        <v>1</v>
      </c>
      <c r="AF141" s="28"/>
      <c r="AG141" s="28">
        <v>1</v>
      </c>
      <c r="AH141" s="28"/>
      <c r="AI141" s="28">
        <v>1</v>
      </c>
      <c r="AJ141" s="374"/>
      <c r="AK141" s="27">
        <v>1</v>
      </c>
      <c r="AL141" s="28"/>
      <c r="AM141" s="28"/>
      <c r="AN141" s="374"/>
      <c r="AO141" s="721">
        <f t="shared" si="65"/>
        <v>10</v>
      </c>
      <c r="AP141" s="722">
        <f t="shared" si="65"/>
        <v>0</v>
      </c>
      <c r="AQ141" s="1035">
        <f t="shared" si="66"/>
        <v>10</v>
      </c>
      <c r="AR141" s="1039"/>
      <c r="AS141" s="349"/>
    </row>
    <row r="142" spans="1:45" s="140" customFormat="1" ht="17" hidden="1" customHeight="1">
      <c r="B142" s="1871"/>
      <c r="C142" s="264" t="s">
        <v>117</v>
      </c>
      <c r="D142" s="269" t="s">
        <v>283</v>
      </c>
      <c r="E142" s="1094" t="s">
        <v>57</v>
      </c>
      <c r="F142" s="938" t="s">
        <v>537</v>
      </c>
      <c r="G142" s="938" t="s">
        <v>684</v>
      </c>
      <c r="H142" s="922">
        <v>45707</v>
      </c>
      <c r="I142" s="922">
        <v>46142</v>
      </c>
      <c r="J142" s="29"/>
      <c r="K142" s="419"/>
      <c r="L142" s="419">
        <f>8/20</f>
        <v>0.4</v>
      </c>
      <c r="M142" s="419"/>
      <c r="N142" s="1028">
        <f>M1*N$1</f>
        <v>1</v>
      </c>
      <c r="O142" s="1009">
        <v>0</v>
      </c>
      <c r="P142" s="419">
        <f>$O$1*$P$1</f>
        <v>1</v>
      </c>
      <c r="Q142" s="1125">
        <v>0</v>
      </c>
      <c r="R142" s="1374">
        <f>R$1*Q1</f>
        <v>0.75</v>
      </c>
      <c r="S142" s="27">
        <v>1</v>
      </c>
      <c r="T142" s="28"/>
      <c r="U142" s="28">
        <v>1</v>
      </c>
      <c r="V142" s="28"/>
      <c r="W142" s="28">
        <v>1</v>
      </c>
      <c r="X142" s="28"/>
      <c r="Y142" s="28">
        <v>1</v>
      </c>
      <c r="Z142" s="28"/>
      <c r="AA142" s="28">
        <v>1</v>
      </c>
      <c r="AB142" s="28"/>
      <c r="AC142" s="28">
        <v>1</v>
      </c>
      <c r="AD142" s="374"/>
      <c r="AE142" s="27">
        <v>1</v>
      </c>
      <c r="AF142" s="28"/>
      <c r="AG142" s="28">
        <v>1</v>
      </c>
      <c r="AH142" s="28"/>
      <c r="AI142" s="28">
        <v>1</v>
      </c>
      <c r="AJ142" s="374"/>
      <c r="AK142" s="27">
        <v>1</v>
      </c>
      <c r="AL142" s="28"/>
      <c r="AM142" s="28">
        <v>1</v>
      </c>
      <c r="AN142" s="374"/>
      <c r="AO142" s="721">
        <f t="shared" si="65"/>
        <v>11</v>
      </c>
      <c r="AP142" s="722">
        <f t="shared" si="65"/>
        <v>3.15</v>
      </c>
      <c r="AQ142" s="1035">
        <f t="shared" si="66"/>
        <v>7.85</v>
      </c>
      <c r="AR142" s="1039"/>
      <c r="AS142" s="349"/>
    </row>
    <row r="143" spans="1:45" s="140" customFormat="1" ht="17" hidden="1" customHeight="1">
      <c r="B143" s="1871"/>
      <c r="C143" s="264" t="s">
        <v>117</v>
      </c>
      <c r="D143" s="269" t="s">
        <v>43</v>
      </c>
      <c r="E143" s="1094" t="s">
        <v>57</v>
      </c>
      <c r="F143" s="938" t="s">
        <v>322</v>
      </c>
      <c r="G143" s="938" t="s">
        <v>684</v>
      </c>
      <c r="H143" s="922">
        <v>45761</v>
      </c>
      <c r="I143" s="922">
        <v>46112</v>
      </c>
      <c r="J143" s="29"/>
      <c r="K143" s="28"/>
      <c r="L143" s="28"/>
      <c r="M143" s="28"/>
      <c r="N143" s="374"/>
      <c r="O143" s="1009">
        <v>0</v>
      </c>
      <c r="P143" s="419">
        <v>0.25</v>
      </c>
      <c r="Q143" s="1125">
        <v>0</v>
      </c>
      <c r="R143" s="1374">
        <f>R$1*Q1</f>
        <v>0.75</v>
      </c>
      <c r="S143" s="27">
        <v>1</v>
      </c>
      <c r="T143" s="28"/>
      <c r="U143" s="28">
        <v>1</v>
      </c>
      <c r="V143" s="28"/>
      <c r="W143" s="28">
        <v>1</v>
      </c>
      <c r="X143" s="28"/>
      <c r="Y143" s="28">
        <v>1</v>
      </c>
      <c r="Z143" s="28"/>
      <c r="AA143" s="28">
        <v>1</v>
      </c>
      <c r="AB143" s="28"/>
      <c r="AC143" s="28">
        <v>1</v>
      </c>
      <c r="AD143" s="374"/>
      <c r="AE143" s="27">
        <v>1</v>
      </c>
      <c r="AF143" s="28"/>
      <c r="AG143" s="28">
        <v>1</v>
      </c>
      <c r="AH143" s="28"/>
      <c r="AI143" s="28">
        <v>1</v>
      </c>
      <c r="AJ143" s="374"/>
      <c r="AK143" s="27">
        <v>1</v>
      </c>
      <c r="AL143" s="28"/>
      <c r="AM143" s="28"/>
      <c r="AN143" s="374"/>
      <c r="AO143" s="721">
        <f t="shared" si="65"/>
        <v>10</v>
      </c>
      <c r="AP143" s="722">
        <f t="shared" si="65"/>
        <v>1</v>
      </c>
      <c r="AQ143" s="1035">
        <f t="shared" si="66"/>
        <v>9</v>
      </c>
      <c r="AR143" s="1039"/>
      <c r="AS143" s="349"/>
    </row>
    <row r="144" spans="1:45" s="863" customFormat="1" ht="17" customHeight="1">
      <c r="A144" s="140"/>
      <c r="B144" s="1871"/>
      <c r="C144" s="873" t="s">
        <v>619</v>
      </c>
      <c r="D144" s="871" t="s">
        <v>21</v>
      </c>
      <c r="E144" s="1016" t="s">
        <v>101</v>
      </c>
      <c r="F144" s="1017" t="s">
        <v>74</v>
      </c>
      <c r="G144" s="955"/>
      <c r="H144" s="800">
        <v>45839</v>
      </c>
      <c r="I144" s="800">
        <v>46081</v>
      </c>
      <c r="J144" s="875"/>
      <c r="K144" s="876"/>
      <c r="L144" s="876"/>
      <c r="M144" s="876"/>
      <c r="N144" s="867"/>
      <c r="O144" s="1029"/>
      <c r="P144" s="876"/>
      <c r="Q144" s="1130"/>
      <c r="R144" s="1131"/>
      <c r="S144" s="1129"/>
      <c r="T144" s="1130"/>
      <c r="U144" s="1130">
        <v>1</v>
      </c>
      <c r="V144" s="1130"/>
      <c r="W144" s="1130">
        <v>1</v>
      </c>
      <c r="X144" s="1130"/>
      <c r="Y144" s="1130">
        <v>1</v>
      </c>
      <c r="Z144" s="1130"/>
      <c r="AA144" s="1130">
        <v>1</v>
      </c>
      <c r="AB144" s="1130"/>
      <c r="AC144" s="1130">
        <v>1</v>
      </c>
      <c r="AD144" s="1131"/>
      <c r="AE144" s="1129">
        <v>1</v>
      </c>
      <c r="AF144" s="1130"/>
      <c r="AG144" s="1130">
        <v>1</v>
      </c>
      <c r="AH144" s="1130"/>
      <c r="AI144" s="1130">
        <v>1</v>
      </c>
      <c r="AJ144" s="1131"/>
      <c r="AK144" s="1129"/>
      <c r="AL144" s="1130"/>
      <c r="AM144" s="1130"/>
      <c r="AN144" s="1131"/>
      <c r="AO144" s="1033">
        <f t="shared" si="65"/>
        <v>8</v>
      </c>
      <c r="AP144" s="1032">
        <f t="shared" si="65"/>
        <v>0</v>
      </c>
      <c r="AQ144" s="1036">
        <f t="shared" si="66"/>
        <v>8</v>
      </c>
      <c r="AR144" s="1039"/>
      <c r="AS144" s="140"/>
    </row>
    <row r="145" spans="1:45" s="140" customFormat="1" ht="17" hidden="1" customHeight="1">
      <c r="B145" s="1871"/>
      <c r="C145" s="264" t="s">
        <v>118</v>
      </c>
      <c r="D145" s="269" t="s">
        <v>21</v>
      </c>
      <c r="E145" s="955" t="s">
        <v>57</v>
      </c>
      <c r="F145" s="937" t="s">
        <v>323</v>
      </c>
      <c r="G145" s="937"/>
      <c r="H145" s="810">
        <v>45810</v>
      </c>
      <c r="I145" s="810">
        <v>46142</v>
      </c>
      <c r="J145" s="29"/>
      <c r="K145" s="28"/>
      <c r="L145" s="28"/>
      <c r="M145" s="28"/>
      <c r="N145" s="374"/>
      <c r="O145" s="27"/>
      <c r="P145" s="28"/>
      <c r="Q145" s="28"/>
      <c r="R145" s="374"/>
      <c r="S145" s="27">
        <v>1</v>
      </c>
      <c r="T145" s="28"/>
      <c r="U145" s="28">
        <v>1</v>
      </c>
      <c r="V145" s="28"/>
      <c r="W145" s="28">
        <v>1</v>
      </c>
      <c r="X145" s="28"/>
      <c r="Y145" s="28">
        <v>1</v>
      </c>
      <c r="Z145" s="28"/>
      <c r="AA145" s="28">
        <v>1</v>
      </c>
      <c r="AB145" s="28"/>
      <c r="AC145" s="28">
        <v>1</v>
      </c>
      <c r="AD145" s="374"/>
      <c r="AE145" s="27">
        <v>1</v>
      </c>
      <c r="AF145" s="28"/>
      <c r="AG145" s="28">
        <v>1</v>
      </c>
      <c r="AH145" s="28"/>
      <c r="AI145" s="28">
        <v>1</v>
      </c>
      <c r="AJ145" s="374"/>
      <c r="AK145" s="27">
        <v>1</v>
      </c>
      <c r="AL145" s="28"/>
      <c r="AM145" s="28">
        <v>1</v>
      </c>
      <c r="AN145" s="374"/>
      <c r="AO145" s="721">
        <f t="shared" si="65"/>
        <v>11</v>
      </c>
      <c r="AP145" s="722">
        <f t="shared" si="65"/>
        <v>0</v>
      </c>
      <c r="AQ145" s="1035">
        <f t="shared" si="66"/>
        <v>11</v>
      </c>
      <c r="AR145" s="1039"/>
      <c r="AS145" s="349"/>
    </row>
    <row r="146" spans="1:45" s="140" customFormat="1" ht="17" hidden="1" customHeight="1">
      <c r="B146" s="1871"/>
      <c r="C146" s="264" t="s">
        <v>119</v>
      </c>
      <c r="D146" s="269" t="s">
        <v>21</v>
      </c>
      <c r="E146" s="955" t="s">
        <v>57</v>
      </c>
      <c r="F146" s="937" t="s">
        <v>324</v>
      </c>
      <c r="G146" s="937"/>
      <c r="H146" s="810">
        <v>45810</v>
      </c>
      <c r="I146" s="810">
        <v>46112</v>
      </c>
      <c r="J146" s="29"/>
      <c r="K146" s="28"/>
      <c r="L146" s="28"/>
      <c r="M146" s="28"/>
      <c r="N146" s="374"/>
      <c r="O146" s="27"/>
      <c r="P146" s="28"/>
      <c r="Q146" s="28"/>
      <c r="R146" s="374"/>
      <c r="S146" s="27">
        <v>1</v>
      </c>
      <c r="T146" s="28"/>
      <c r="U146" s="28">
        <v>1</v>
      </c>
      <c r="V146" s="28"/>
      <c r="W146" s="28">
        <v>1</v>
      </c>
      <c r="X146" s="28"/>
      <c r="Y146" s="28">
        <v>1</v>
      </c>
      <c r="Z146" s="28"/>
      <c r="AA146" s="28">
        <v>1</v>
      </c>
      <c r="AB146" s="28"/>
      <c r="AC146" s="28">
        <v>1</v>
      </c>
      <c r="AD146" s="374"/>
      <c r="AE146" s="27">
        <v>1</v>
      </c>
      <c r="AF146" s="28"/>
      <c r="AG146" s="28">
        <v>1</v>
      </c>
      <c r="AH146" s="28"/>
      <c r="AI146" s="28">
        <v>1</v>
      </c>
      <c r="AJ146" s="374"/>
      <c r="AK146" s="27">
        <v>1</v>
      </c>
      <c r="AL146" s="28"/>
      <c r="AM146" s="28"/>
      <c r="AN146" s="374"/>
      <c r="AO146" s="721">
        <f t="shared" si="65"/>
        <v>10</v>
      </c>
      <c r="AP146" s="722">
        <f t="shared" si="65"/>
        <v>0</v>
      </c>
      <c r="AQ146" s="1035">
        <f t="shared" si="66"/>
        <v>10</v>
      </c>
      <c r="AR146" s="1039"/>
      <c r="AS146" s="349"/>
    </row>
    <row r="147" spans="1:45" s="863" customFormat="1" ht="17" customHeight="1">
      <c r="A147" s="140"/>
      <c r="B147" s="1871"/>
      <c r="C147" s="873" t="s">
        <v>620</v>
      </c>
      <c r="D147" s="871" t="s">
        <v>22</v>
      </c>
      <c r="E147" s="1016" t="s">
        <v>101</v>
      </c>
      <c r="F147" s="1017" t="s">
        <v>74</v>
      </c>
      <c r="G147" s="955"/>
      <c r="H147" s="800">
        <v>45839</v>
      </c>
      <c r="I147" s="800">
        <v>46081</v>
      </c>
      <c r="J147" s="875"/>
      <c r="K147" s="876"/>
      <c r="L147" s="876"/>
      <c r="M147" s="876"/>
      <c r="N147" s="867"/>
      <c r="O147" s="1029"/>
      <c r="P147" s="876"/>
      <c r="Q147" s="1130"/>
      <c r="R147" s="1131"/>
      <c r="S147" s="1129"/>
      <c r="T147" s="1130"/>
      <c r="U147" s="1130">
        <v>1</v>
      </c>
      <c r="V147" s="1130"/>
      <c r="W147" s="1130">
        <v>1</v>
      </c>
      <c r="X147" s="1130"/>
      <c r="Y147" s="1130">
        <v>1</v>
      </c>
      <c r="Z147" s="1130"/>
      <c r="AA147" s="1130">
        <v>1</v>
      </c>
      <c r="AB147" s="1130"/>
      <c r="AC147" s="1130">
        <v>1</v>
      </c>
      <c r="AD147" s="1131"/>
      <c r="AE147" s="1129">
        <v>1</v>
      </c>
      <c r="AF147" s="1130"/>
      <c r="AG147" s="1130">
        <v>1</v>
      </c>
      <c r="AH147" s="1130"/>
      <c r="AI147" s="1130">
        <v>1</v>
      </c>
      <c r="AJ147" s="1131"/>
      <c r="AK147" s="1129"/>
      <c r="AL147" s="1130"/>
      <c r="AM147" s="1130"/>
      <c r="AN147" s="1131"/>
      <c r="AO147" s="1033">
        <f t="shared" si="65"/>
        <v>8</v>
      </c>
      <c r="AP147" s="1032">
        <f t="shared" si="65"/>
        <v>0</v>
      </c>
      <c r="AQ147" s="1036">
        <f t="shared" si="66"/>
        <v>8</v>
      </c>
      <c r="AR147" s="1039"/>
      <c r="AS147" s="140"/>
    </row>
    <row r="148" spans="1:45" s="150" customFormat="1" ht="17" hidden="1" customHeight="1">
      <c r="A148" s="140"/>
      <c r="B148" s="1871"/>
      <c r="C148" s="264" t="s">
        <v>117</v>
      </c>
      <c r="D148" s="269" t="s">
        <v>22</v>
      </c>
      <c r="E148" s="1094" t="s">
        <v>57</v>
      </c>
      <c r="F148" s="938" t="s">
        <v>472</v>
      </c>
      <c r="G148" s="938" t="s">
        <v>684</v>
      </c>
      <c r="H148" s="922">
        <v>45733</v>
      </c>
      <c r="I148" s="918">
        <v>45808</v>
      </c>
      <c r="J148" s="676"/>
      <c r="K148" s="419"/>
      <c r="L148" s="419"/>
      <c r="M148" s="419"/>
      <c r="N148" s="1028">
        <f>$M$1*N$1</f>
        <v>1</v>
      </c>
      <c r="O148" s="1009">
        <v>0</v>
      </c>
      <c r="P148" s="419">
        <f>$O$1*$P$1</f>
        <v>1</v>
      </c>
      <c r="Q148" s="1125">
        <v>0</v>
      </c>
      <c r="R148" s="1374">
        <f>R$1*Q1</f>
        <v>0.75</v>
      </c>
      <c r="S148" s="27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374"/>
      <c r="AE148" s="27"/>
      <c r="AF148" s="28"/>
      <c r="AG148" s="28"/>
      <c r="AH148" s="28"/>
      <c r="AI148" s="28"/>
      <c r="AJ148" s="374"/>
      <c r="AK148" s="27"/>
      <c r="AL148" s="28"/>
      <c r="AM148" s="28"/>
      <c r="AN148" s="374"/>
      <c r="AO148" s="721"/>
      <c r="AP148" s="722"/>
      <c r="AQ148" s="1035"/>
      <c r="AR148" s="1039"/>
      <c r="AS148" s="349"/>
    </row>
    <row r="149" spans="1:45" s="140" customFormat="1" ht="17" hidden="1" customHeight="1">
      <c r="B149" s="1871"/>
      <c r="C149" s="264" t="s">
        <v>120</v>
      </c>
      <c r="D149" s="269" t="s">
        <v>22</v>
      </c>
      <c r="E149" s="955" t="s">
        <v>57</v>
      </c>
      <c r="F149" s="937" t="s">
        <v>184</v>
      </c>
      <c r="G149" s="1006"/>
      <c r="H149" s="810">
        <v>45733</v>
      </c>
      <c r="I149" s="810">
        <v>46112</v>
      </c>
      <c r="J149" s="29"/>
      <c r="K149" s="419"/>
      <c r="L149" s="419"/>
      <c r="M149" s="419"/>
      <c r="N149" s="1028">
        <f>$M$1*N$1</f>
        <v>1</v>
      </c>
      <c r="O149" s="15">
        <v>1</v>
      </c>
      <c r="P149" s="28">
        <f t="shared" ref="P149" si="75">$P$1*O149</f>
        <v>1</v>
      </c>
      <c r="Q149" s="1130">
        <v>1</v>
      </c>
      <c r="R149" s="374">
        <f t="shared" ref="R149" si="76">$Q$1*Q149</f>
        <v>0.75</v>
      </c>
      <c r="S149" s="27">
        <v>1</v>
      </c>
      <c r="T149" s="28"/>
      <c r="U149" s="28">
        <v>1</v>
      </c>
      <c r="V149" s="28"/>
      <c r="W149" s="28">
        <v>1</v>
      </c>
      <c r="X149" s="28"/>
      <c r="Y149" s="28">
        <v>1</v>
      </c>
      <c r="Z149" s="28"/>
      <c r="AA149" s="28">
        <v>1</v>
      </c>
      <c r="AB149" s="28"/>
      <c r="AC149" s="28">
        <v>1</v>
      </c>
      <c r="AD149" s="374"/>
      <c r="AE149" s="27">
        <v>1</v>
      </c>
      <c r="AF149" s="28"/>
      <c r="AG149" s="28">
        <v>1</v>
      </c>
      <c r="AH149" s="28"/>
      <c r="AI149" s="28">
        <v>1</v>
      </c>
      <c r="AJ149" s="374"/>
      <c r="AK149" s="27">
        <v>1</v>
      </c>
      <c r="AL149" s="28"/>
      <c r="AM149" s="28"/>
      <c r="AN149" s="374"/>
      <c r="AO149" s="721">
        <f t="shared" si="65"/>
        <v>12</v>
      </c>
      <c r="AP149" s="722">
        <f t="shared" si="65"/>
        <v>2.75</v>
      </c>
      <c r="AQ149" s="1035">
        <f t="shared" si="66"/>
        <v>9.25</v>
      </c>
      <c r="AR149" s="1039"/>
      <c r="AS149" s="349"/>
    </row>
    <row r="150" spans="1:45" s="140" customFormat="1" ht="17" hidden="1" customHeight="1">
      <c r="B150" s="1871"/>
      <c r="C150" s="873" t="s">
        <v>325</v>
      </c>
      <c r="D150" s="871" t="s">
        <v>22</v>
      </c>
      <c r="E150" s="1017" t="s">
        <v>57</v>
      </c>
      <c r="F150" s="1019" t="s">
        <v>74</v>
      </c>
      <c r="G150" s="937"/>
      <c r="H150" s="800">
        <v>45810</v>
      </c>
      <c r="I150" s="810">
        <v>46142</v>
      </c>
      <c r="J150" s="29"/>
      <c r="K150" s="28"/>
      <c r="L150" s="28"/>
      <c r="M150" s="28"/>
      <c r="N150" s="374"/>
      <c r="O150" s="27"/>
      <c r="P150" s="28"/>
      <c r="Q150" s="28"/>
      <c r="R150" s="374"/>
      <c r="S150" s="27">
        <v>1</v>
      </c>
      <c r="T150" s="28"/>
      <c r="U150" s="28">
        <v>1</v>
      </c>
      <c r="V150" s="28"/>
      <c r="W150" s="28">
        <v>1</v>
      </c>
      <c r="X150" s="28"/>
      <c r="Y150" s="28">
        <v>1</v>
      </c>
      <c r="Z150" s="28"/>
      <c r="AA150" s="28">
        <v>1</v>
      </c>
      <c r="AB150" s="28"/>
      <c r="AC150" s="28">
        <v>1</v>
      </c>
      <c r="AD150" s="374"/>
      <c r="AE150" s="27">
        <v>1</v>
      </c>
      <c r="AF150" s="28"/>
      <c r="AG150" s="28">
        <v>1</v>
      </c>
      <c r="AH150" s="28"/>
      <c r="AI150" s="28">
        <v>1</v>
      </c>
      <c r="AJ150" s="374"/>
      <c r="AK150" s="27">
        <v>1</v>
      </c>
      <c r="AL150" s="28"/>
      <c r="AM150" s="28">
        <v>1</v>
      </c>
      <c r="AN150" s="374"/>
      <c r="AO150" s="721">
        <f t="shared" si="65"/>
        <v>11</v>
      </c>
      <c r="AP150" s="722">
        <f t="shared" si="65"/>
        <v>0</v>
      </c>
      <c r="AQ150" s="1035">
        <f t="shared" si="66"/>
        <v>11</v>
      </c>
      <c r="AR150" s="1039"/>
      <c r="AS150" s="349"/>
    </row>
    <row r="151" spans="1:45" s="140" customFormat="1" ht="17" hidden="1" customHeight="1" thickBot="1">
      <c r="B151" s="1871"/>
      <c r="C151" s="264" t="s">
        <v>325</v>
      </c>
      <c r="D151" s="269" t="s">
        <v>22</v>
      </c>
      <c r="E151" s="1094" t="s">
        <v>57</v>
      </c>
      <c r="F151" s="938" t="s">
        <v>185</v>
      </c>
      <c r="G151" s="938" t="s">
        <v>684</v>
      </c>
      <c r="H151" s="922">
        <v>45763</v>
      </c>
      <c r="I151" s="922">
        <v>46112</v>
      </c>
      <c r="J151" s="29"/>
      <c r="K151" s="28"/>
      <c r="L151" s="28"/>
      <c r="M151" s="28"/>
      <c r="N151" s="374"/>
      <c r="O151" s="1009">
        <v>0</v>
      </c>
      <c r="P151" s="419">
        <v>0.25</v>
      </c>
      <c r="Q151" s="1125">
        <v>0</v>
      </c>
      <c r="R151" s="1374">
        <f>R$1*Q1</f>
        <v>0.75</v>
      </c>
      <c r="S151" s="27">
        <v>1</v>
      </c>
      <c r="T151" s="28"/>
      <c r="U151" s="28">
        <v>1</v>
      </c>
      <c r="V151" s="28"/>
      <c r="W151" s="28">
        <v>1</v>
      </c>
      <c r="X151" s="28"/>
      <c r="Y151" s="28">
        <v>1</v>
      </c>
      <c r="Z151" s="28"/>
      <c r="AA151" s="28">
        <v>1</v>
      </c>
      <c r="AB151" s="28"/>
      <c r="AC151" s="28">
        <v>1</v>
      </c>
      <c r="AD151" s="374"/>
      <c r="AE151" s="27">
        <v>1</v>
      </c>
      <c r="AF151" s="28"/>
      <c r="AG151" s="28">
        <v>1</v>
      </c>
      <c r="AH151" s="28"/>
      <c r="AI151" s="28">
        <v>1</v>
      </c>
      <c r="AJ151" s="374"/>
      <c r="AK151" s="27">
        <v>1</v>
      </c>
      <c r="AL151" s="28"/>
      <c r="AM151" s="28"/>
      <c r="AN151" s="374"/>
      <c r="AO151" s="721">
        <f t="shared" si="65"/>
        <v>10</v>
      </c>
      <c r="AP151" s="722">
        <f t="shared" si="65"/>
        <v>1</v>
      </c>
      <c r="AQ151" s="1035">
        <f t="shared" si="66"/>
        <v>9</v>
      </c>
      <c r="AR151" s="1039"/>
      <c r="AS151" s="349"/>
    </row>
    <row r="152" spans="1:45" s="140" customFormat="1" ht="17" hidden="1" customHeight="1" thickBot="1">
      <c r="B152" s="1898"/>
      <c r="C152" s="264" t="s">
        <v>121</v>
      </c>
      <c r="D152" s="269" t="s">
        <v>42</v>
      </c>
      <c r="E152" s="955" t="s">
        <v>57</v>
      </c>
      <c r="F152" s="937" t="s">
        <v>326</v>
      </c>
      <c r="G152" s="937"/>
      <c r="H152" s="810">
        <v>45691</v>
      </c>
      <c r="I152" s="810">
        <v>46142</v>
      </c>
      <c r="J152" s="29"/>
      <c r="K152" s="28">
        <v>1</v>
      </c>
      <c r="L152" s="28">
        <f t="shared" ref="L152" si="77">K152*$L$1</f>
        <v>1</v>
      </c>
      <c r="M152" s="28">
        <v>1</v>
      </c>
      <c r="N152" s="374">
        <f t="shared" ref="N152:N226" si="78">M152*N$1</f>
        <v>1</v>
      </c>
      <c r="O152" s="27">
        <v>1</v>
      </c>
      <c r="P152" s="28">
        <f t="shared" ref="P152" si="79">$P$1*O152</f>
        <v>1</v>
      </c>
      <c r="Q152" s="28">
        <v>1</v>
      </c>
      <c r="R152" s="374">
        <f t="shared" ref="R152" si="80">$Q$1*Q152</f>
        <v>0.75</v>
      </c>
      <c r="S152" s="27">
        <v>1</v>
      </c>
      <c r="T152" s="28"/>
      <c r="U152" s="28">
        <v>1</v>
      </c>
      <c r="V152" s="28"/>
      <c r="W152" s="28">
        <v>1</v>
      </c>
      <c r="X152" s="28"/>
      <c r="Y152" s="28">
        <v>1</v>
      </c>
      <c r="Z152" s="28"/>
      <c r="AA152" s="28">
        <v>1</v>
      </c>
      <c r="AB152" s="28"/>
      <c r="AC152" s="28">
        <v>1</v>
      </c>
      <c r="AD152" s="374"/>
      <c r="AE152" s="27">
        <v>1</v>
      </c>
      <c r="AF152" s="28"/>
      <c r="AG152" s="28">
        <v>1</v>
      </c>
      <c r="AH152" s="28"/>
      <c r="AI152" s="28">
        <v>1</v>
      </c>
      <c r="AJ152" s="374"/>
      <c r="AK152" s="27">
        <v>1</v>
      </c>
      <c r="AL152" s="28"/>
      <c r="AM152" s="28">
        <v>1</v>
      </c>
      <c r="AN152" s="374"/>
      <c r="AO152" s="721">
        <f t="shared" si="65"/>
        <v>15</v>
      </c>
      <c r="AP152" s="722">
        <f t="shared" si="65"/>
        <v>3.75</v>
      </c>
      <c r="AQ152" s="1035">
        <f t="shared" si="66"/>
        <v>11.25</v>
      </c>
      <c r="AR152" s="1039"/>
      <c r="AS152" s="349"/>
    </row>
    <row r="153" spans="1:45" s="140" customFormat="1" ht="17" hidden="1" customHeight="1">
      <c r="B153" s="1871"/>
      <c r="C153" s="264" t="s">
        <v>121</v>
      </c>
      <c r="D153" s="269" t="s">
        <v>283</v>
      </c>
      <c r="E153" s="955" t="s">
        <v>57</v>
      </c>
      <c r="F153" s="937" t="s">
        <v>327</v>
      </c>
      <c r="G153" s="937"/>
      <c r="H153" s="810">
        <v>45810</v>
      </c>
      <c r="I153" s="810">
        <v>46142</v>
      </c>
      <c r="J153" s="29"/>
      <c r="K153" s="28"/>
      <c r="L153" s="28"/>
      <c r="M153" s="28"/>
      <c r="N153" s="374"/>
      <c r="O153" s="27"/>
      <c r="P153" s="28"/>
      <c r="Q153" s="28"/>
      <c r="R153" s="374"/>
      <c r="S153" s="27">
        <v>0.5</v>
      </c>
      <c r="T153" s="28"/>
      <c r="U153" s="28">
        <v>1</v>
      </c>
      <c r="V153" s="28"/>
      <c r="W153" s="28">
        <v>1</v>
      </c>
      <c r="X153" s="28"/>
      <c r="Y153" s="28">
        <v>1</v>
      </c>
      <c r="Z153" s="28"/>
      <c r="AA153" s="28">
        <v>1</v>
      </c>
      <c r="AB153" s="28"/>
      <c r="AC153" s="28">
        <v>1</v>
      </c>
      <c r="AD153" s="374"/>
      <c r="AE153" s="27">
        <v>1</v>
      </c>
      <c r="AF153" s="28"/>
      <c r="AG153" s="28">
        <v>1</v>
      </c>
      <c r="AH153" s="28"/>
      <c r="AI153" s="28">
        <v>1</v>
      </c>
      <c r="AJ153" s="374"/>
      <c r="AK153" s="27">
        <v>1</v>
      </c>
      <c r="AL153" s="28"/>
      <c r="AM153" s="28">
        <v>1</v>
      </c>
      <c r="AN153" s="374"/>
      <c r="AO153" s="721">
        <f t="shared" si="65"/>
        <v>10.5</v>
      </c>
      <c r="AP153" s="722">
        <f t="shared" si="65"/>
        <v>0</v>
      </c>
      <c r="AQ153" s="1035">
        <f t="shared" si="66"/>
        <v>10.5</v>
      </c>
      <c r="AR153" s="1039"/>
      <c r="AS153" s="349"/>
    </row>
    <row r="154" spans="1:45" s="140" customFormat="1" ht="17" hidden="1" customHeight="1">
      <c r="B154" s="1871"/>
      <c r="C154" s="264" t="s">
        <v>121</v>
      </c>
      <c r="D154" s="269" t="s">
        <v>43</v>
      </c>
      <c r="E154" s="955" t="s">
        <v>57</v>
      </c>
      <c r="F154" s="937" t="s">
        <v>328</v>
      </c>
      <c r="G154" s="937"/>
      <c r="H154" s="810">
        <v>45810</v>
      </c>
      <c r="I154" s="810">
        <v>46112</v>
      </c>
      <c r="J154" s="29"/>
      <c r="K154" s="28"/>
      <c r="L154" s="28"/>
      <c r="M154" s="28"/>
      <c r="N154" s="374"/>
      <c r="O154" s="27"/>
      <c r="P154" s="28"/>
      <c r="Q154" s="28"/>
      <c r="R154" s="374"/>
      <c r="S154" s="27">
        <v>1</v>
      </c>
      <c r="T154" s="28"/>
      <c r="U154" s="28">
        <v>1</v>
      </c>
      <c r="V154" s="28"/>
      <c r="W154" s="28">
        <v>1</v>
      </c>
      <c r="X154" s="28"/>
      <c r="Y154" s="28">
        <v>1</v>
      </c>
      <c r="Z154" s="28"/>
      <c r="AA154" s="28">
        <v>1</v>
      </c>
      <c r="AB154" s="28"/>
      <c r="AC154" s="28">
        <v>1</v>
      </c>
      <c r="AD154" s="374"/>
      <c r="AE154" s="27">
        <v>1</v>
      </c>
      <c r="AF154" s="28"/>
      <c r="AG154" s="28">
        <v>1</v>
      </c>
      <c r="AH154" s="28"/>
      <c r="AI154" s="28">
        <v>1</v>
      </c>
      <c r="AJ154" s="374"/>
      <c r="AK154" s="27">
        <v>1</v>
      </c>
      <c r="AL154" s="28"/>
      <c r="AM154" s="28"/>
      <c r="AN154" s="374"/>
      <c r="AO154" s="721">
        <f t="shared" si="65"/>
        <v>10</v>
      </c>
      <c r="AP154" s="722">
        <f t="shared" si="65"/>
        <v>0</v>
      </c>
      <c r="AQ154" s="1035">
        <f t="shared" si="66"/>
        <v>10</v>
      </c>
      <c r="AR154" s="1039"/>
      <c r="AS154" s="349"/>
    </row>
    <row r="155" spans="1:45" s="140" customFormat="1" ht="17" hidden="1" customHeight="1">
      <c r="B155" s="1871"/>
      <c r="C155" s="873" t="s">
        <v>121</v>
      </c>
      <c r="D155" s="871" t="s">
        <v>43</v>
      </c>
      <c r="E155" s="1017" t="s">
        <v>57</v>
      </c>
      <c r="F155" s="1019" t="s">
        <v>302</v>
      </c>
      <c r="G155" s="937"/>
      <c r="H155" s="800">
        <v>45810</v>
      </c>
      <c r="I155" s="810">
        <v>46112</v>
      </c>
      <c r="J155" s="797"/>
      <c r="K155" s="28"/>
      <c r="L155" s="28"/>
      <c r="M155" s="28"/>
      <c r="N155" s="374"/>
      <c r="O155" s="27"/>
      <c r="P155" s="28"/>
      <c r="Q155" s="28"/>
      <c r="R155" s="374"/>
      <c r="S155" s="27">
        <v>1</v>
      </c>
      <c r="T155" s="28"/>
      <c r="U155" s="28">
        <v>1</v>
      </c>
      <c r="V155" s="28"/>
      <c r="W155" s="28">
        <v>1</v>
      </c>
      <c r="X155" s="28"/>
      <c r="Y155" s="28">
        <v>1</v>
      </c>
      <c r="Z155" s="28"/>
      <c r="AA155" s="28">
        <v>1</v>
      </c>
      <c r="AB155" s="28"/>
      <c r="AC155" s="28">
        <v>1</v>
      </c>
      <c r="AD155" s="374"/>
      <c r="AE155" s="27">
        <v>1</v>
      </c>
      <c r="AF155" s="28"/>
      <c r="AG155" s="28">
        <v>1</v>
      </c>
      <c r="AH155" s="28"/>
      <c r="AI155" s="28">
        <v>1</v>
      </c>
      <c r="AJ155" s="374"/>
      <c r="AK155" s="27">
        <v>1</v>
      </c>
      <c r="AL155" s="28"/>
      <c r="AM155" s="28"/>
      <c r="AN155" s="374"/>
      <c r="AO155" s="721">
        <f t="shared" si="65"/>
        <v>10</v>
      </c>
      <c r="AP155" s="722">
        <f t="shared" si="65"/>
        <v>0</v>
      </c>
      <c r="AQ155" s="1035">
        <f t="shared" si="66"/>
        <v>10</v>
      </c>
      <c r="AR155" s="1039"/>
      <c r="AS155" s="349"/>
    </row>
    <row r="156" spans="1:45" s="863" customFormat="1" ht="17" customHeight="1">
      <c r="A156" s="140"/>
      <c r="B156" s="1871"/>
      <c r="C156" s="870" t="s">
        <v>621</v>
      </c>
      <c r="D156" s="871" t="s">
        <v>22</v>
      </c>
      <c r="E156" s="1017" t="s">
        <v>17</v>
      </c>
      <c r="F156" s="1019" t="s">
        <v>302</v>
      </c>
      <c r="G156" s="1006"/>
      <c r="H156" s="800">
        <v>45839</v>
      </c>
      <c r="I156" s="800">
        <v>46081</v>
      </c>
      <c r="J156" s="1023"/>
      <c r="K156" s="876"/>
      <c r="L156" s="876"/>
      <c r="M156" s="876"/>
      <c r="N156" s="867"/>
      <c r="O156" s="1029"/>
      <c r="P156" s="876"/>
      <c r="Q156" s="1130"/>
      <c r="R156" s="1131"/>
      <c r="S156" s="1129"/>
      <c r="T156" s="1130"/>
      <c r="U156" s="1130">
        <v>1</v>
      </c>
      <c r="V156" s="1130"/>
      <c r="W156" s="1130">
        <v>1</v>
      </c>
      <c r="X156" s="1130"/>
      <c r="Y156" s="1130">
        <v>1</v>
      </c>
      <c r="Z156" s="1130"/>
      <c r="AA156" s="1130">
        <v>1</v>
      </c>
      <c r="AB156" s="1130"/>
      <c r="AC156" s="1130">
        <v>1</v>
      </c>
      <c r="AD156" s="1131"/>
      <c r="AE156" s="1129">
        <v>1</v>
      </c>
      <c r="AF156" s="1130"/>
      <c r="AG156" s="1130">
        <v>1</v>
      </c>
      <c r="AH156" s="1130"/>
      <c r="AI156" s="1130">
        <v>1</v>
      </c>
      <c r="AJ156" s="1131"/>
      <c r="AK156" s="1129"/>
      <c r="AL156" s="1130"/>
      <c r="AM156" s="1130"/>
      <c r="AN156" s="1131"/>
      <c r="AO156" s="1033">
        <f t="shared" si="65"/>
        <v>8</v>
      </c>
      <c r="AP156" s="1032">
        <f t="shared" si="65"/>
        <v>0</v>
      </c>
      <c r="AQ156" s="1036">
        <f t="shared" si="66"/>
        <v>8</v>
      </c>
      <c r="AR156" s="1039"/>
      <c r="AS156" s="140"/>
    </row>
    <row r="157" spans="1:45" s="863" customFormat="1" ht="17" customHeight="1">
      <c r="A157" s="140"/>
      <c r="B157" s="1871"/>
      <c r="C157" s="870" t="s">
        <v>621</v>
      </c>
      <c r="D157" s="872" t="s">
        <v>22</v>
      </c>
      <c r="E157" s="1016" t="s">
        <v>101</v>
      </c>
      <c r="F157" s="1017" t="s">
        <v>74</v>
      </c>
      <c r="G157" s="955"/>
      <c r="H157" s="800">
        <v>45839</v>
      </c>
      <c r="I157" s="800">
        <v>45991</v>
      </c>
      <c r="J157" s="875"/>
      <c r="K157" s="876"/>
      <c r="L157" s="876"/>
      <c r="M157" s="876"/>
      <c r="N157" s="867"/>
      <c r="O157" s="1029"/>
      <c r="P157" s="876"/>
      <c r="Q157" s="1130"/>
      <c r="R157" s="1131"/>
      <c r="S157" s="1129"/>
      <c r="T157" s="1130"/>
      <c r="U157" s="1130">
        <v>1</v>
      </c>
      <c r="V157" s="1130"/>
      <c r="W157" s="1130">
        <v>1</v>
      </c>
      <c r="X157" s="1130"/>
      <c r="Y157" s="1130">
        <v>1</v>
      </c>
      <c r="Z157" s="1130"/>
      <c r="AA157" s="1130">
        <v>1</v>
      </c>
      <c r="AB157" s="1130"/>
      <c r="AC157" s="1130">
        <v>1</v>
      </c>
      <c r="AD157" s="1131"/>
      <c r="AE157" s="1129"/>
      <c r="AF157" s="1130"/>
      <c r="AG157" s="1130"/>
      <c r="AH157" s="1130"/>
      <c r="AI157" s="1130"/>
      <c r="AJ157" s="1131"/>
      <c r="AK157" s="1129"/>
      <c r="AL157" s="1130"/>
      <c r="AM157" s="1130"/>
      <c r="AN157" s="1131"/>
      <c r="AO157" s="1033">
        <f t="shared" si="65"/>
        <v>5</v>
      </c>
      <c r="AP157" s="1032">
        <f t="shared" si="65"/>
        <v>0</v>
      </c>
      <c r="AQ157" s="1036">
        <f t="shared" si="66"/>
        <v>5</v>
      </c>
      <c r="AR157" s="1039"/>
      <c r="AS157" s="140"/>
    </row>
    <row r="158" spans="1:45" s="150" customFormat="1" ht="17" hidden="1" customHeight="1">
      <c r="A158" s="140"/>
      <c r="B158" s="1870"/>
      <c r="C158" s="169" t="s">
        <v>508</v>
      </c>
      <c r="D158" s="236" t="s">
        <v>13</v>
      </c>
      <c r="E158" s="937" t="s">
        <v>58</v>
      </c>
      <c r="F158" s="937" t="s">
        <v>359</v>
      </c>
      <c r="G158" s="937"/>
      <c r="H158" s="775">
        <v>45677</v>
      </c>
      <c r="I158" s="775">
        <v>46127</v>
      </c>
      <c r="J158" s="29"/>
      <c r="K158" s="28">
        <v>1</v>
      </c>
      <c r="L158" s="28">
        <f t="shared" ref="L158:L160" si="81">K158*$L$1</f>
        <v>1</v>
      </c>
      <c r="M158" s="28">
        <v>1</v>
      </c>
      <c r="N158" s="374">
        <f t="shared" si="78"/>
        <v>1</v>
      </c>
      <c r="O158" s="27">
        <v>1</v>
      </c>
      <c r="P158" s="28">
        <f t="shared" ref="P158:P161" si="82">$P$1*O158</f>
        <v>1</v>
      </c>
      <c r="Q158" s="28">
        <v>1</v>
      </c>
      <c r="R158" s="374">
        <f>$Q$1*Q158</f>
        <v>0.75</v>
      </c>
      <c r="S158" s="27">
        <v>1</v>
      </c>
      <c r="T158" s="28"/>
      <c r="U158" s="28">
        <v>1</v>
      </c>
      <c r="V158" s="28"/>
      <c r="W158" s="28">
        <v>1</v>
      </c>
      <c r="X158" s="28"/>
      <c r="Y158" s="28">
        <v>1</v>
      </c>
      <c r="Z158" s="28"/>
      <c r="AA158" s="28">
        <v>1</v>
      </c>
      <c r="AB158" s="28"/>
      <c r="AC158" s="28">
        <v>1</v>
      </c>
      <c r="AD158" s="374"/>
      <c r="AE158" s="27">
        <v>1</v>
      </c>
      <c r="AF158" s="28"/>
      <c r="AG158" s="28">
        <v>1</v>
      </c>
      <c r="AH158" s="28"/>
      <c r="AI158" s="28">
        <v>1</v>
      </c>
      <c r="AJ158" s="374"/>
      <c r="AK158" s="27">
        <v>1</v>
      </c>
      <c r="AL158" s="28"/>
      <c r="AM158" s="28">
        <v>0.5</v>
      </c>
      <c r="AN158" s="374"/>
      <c r="AO158" s="721">
        <f t="shared" si="65"/>
        <v>14.5</v>
      </c>
      <c r="AP158" s="722">
        <f t="shared" si="65"/>
        <v>3.75</v>
      </c>
      <c r="AQ158" s="1035">
        <f t="shared" si="66"/>
        <v>10.75</v>
      </c>
      <c r="AR158" s="1039"/>
      <c r="AS158" s="349">
        <v>14.5</v>
      </c>
    </row>
    <row r="159" spans="1:45" s="150" customFormat="1" ht="17" hidden="1" customHeight="1">
      <c r="A159" s="140"/>
      <c r="B159" s="1871"/>
      <c r="C159" s="169" t="s">
        <v>508</v>
      </c>
      <c r="D159" s="236" t="s">
        <v>13</v>
      </c>
      <c r="E159" s="937" t="s">
        <v>58</v>
      </c>
      <c r="F159" s="938" t="s">
        <v>659</v>
      </c>
      <c r="G159" s="1021" t="s">
        <v>650</v>
      </c>
      <c r="H159" s="924">
        <v>45789</v>
      </c>
      <c r="I159" s="924">
        <v>45839</v>
      </c>
      <c r="J159" s="29"/>
      <c r="K159" s="28"/>
      <c r="L159" s="28"/>
      <c r="M159" s="28"/>
      <c r="N159" s="374"/>
      <c r="O159" s="27"/>
      <c r="P159" s="28"/>
      <c r="Q159" s="1125">
        <v>0</v>
      </c>
      <c r="R159" s="495"/>
      <c r="S159" s="1125">
        <v>0</v>
      </c>
      <c r="T159" s="419"/>
      <c r="U159" s="1125">
        <v>0</v>
      </c>
      <c r="V159" s="28"/>
      <c r="W159" s="28"/>
      <c r="X159" s="28"/>
      <c r="Y159" s="28"/>
      <c r="Z159" s="28"/>
      <c r="AA159" s="28"/>
      <c r="AB159" s="28"/>
      <c r="AC159" s="28"/>
      <c r="AD159" s="374"/>
      <c r="AE159" s="27"/>
      <c r="AF159" s="28"/>
      <c r="AG159" s="28"/>
      <c r="AH159" s="28"/>
      <c r="AI159" s="28"/>
      <c r="AJ159" s="374"/>
      <c r="AK159" s="27"/>
      <c r="AL159" s="28"/>
      <c r="AM159" s="28"/>
      <c r="AN159" s="374"/>
      <c r="AO159" s="721"/>
      <c r="AP159" s="722"/>
      <c r="AQ159" s="1035"/>
      <c r="AR159" s="1039"/>
      <c r="AS159" s="349"/>
    </row>
    <row r="160" spans="1:45" s="150" customFormat="1" ht="17" hidden="1" customHeight="1" thickBot="1">
      <c r="A160" s="140"/>
      <c r="B160" s="1872"/>
      <c r="C160" s="694" t="s">
        <v>190</v>
      </c>
      <c r="D160" s="1013" t="s">
        <v>13</v>
      </c>
      <c r="E160" s="785" t="s">
        <v>58</v>
      </c>
      <c r="F160" s="785" t="s">
        <v>360</v>
      </c>
      <c r="G160" s="785"/>
      <c r="H160" s="1022">
        <v>45677</v>
      </c>
      <c r="I160" s="1022">
        <v>46096</v>
      </c>
      <c r="J160" s="29"/>
      <c r="K160" s="28">
        <v>1</v>
      </c>
      <c r="L160" s="28">
        <f t="shared" si="81"/>
        <v>1</v>
      </c>
      <c r="M160" s="28">
        <v>1</v>
      </c>
      <c r="N160" s="374">
        <f t="shared" si="78"/>
        <v>1</v>
      </c>
      <c r="O160" s="39">
        <v>1</v>
      </c>
      <c r="P160" s="40">
        <f t="shared" si="82"/>
        <v>1</v>
      </c>
      <c r="Q160" s="40">
        <v>1</v>
      </c>
      <c r="R160" s="376">
        <f t="shared" ref="R160:R161" si="83">$Q$1*Q160</f>
        <v>0.75</v>
      </c>
      <c r="S160" s="536">
        <v>1</v>
      </c>
      <c r="T160" s="40"/>
      <c r="U160" s="40">
        <v>1</v>
      </c>
      <c r="V160" s="40"/>
      <c r="W160" s="40">
        <v>1</v>
      </c>
      <c r="X160" s="40"/>
      <c r="Y160" s="40">
        <v>1</v>
      </c>
      <c r="Z160" s="40"/>
      <c r="AA160" s="40">
        <v>1</v>
      </c>
      <c r="AB160" s="40"/>
      <c r="AC160" s="40">
        <v>1</v>
      </c>
      <c r="AD160" s="376"/>
      <c r="AE160" s="39">
        <v>1</v>
      </c>
      <c r="AF160" s="40"/>
      <c r="AG160" s="40">
        <v>1</v>
      </c>
      <c r="AH160" s="40"/>
      <c r="AI160" s="40">
        <v>1</v>
      </c>
      <c r="AJ160" s="376"/>
      <c r="AK160" s="39">
        <v>0.5</v>
      </c>
      <c r="AL160" s="40"/>
      <c r="AM160" s="40"/>
      <c r="AN160" s="376"/>
      <c r="AO160" s="1043">
        <f t="shared" si="65"/>
        <v>13.5</v>
      </c>
      <c r="AP160" s="1044">
        <f t="shared" si="65"/>
        <v>3.75</v>
      </c>
      <c r="AQ160" s="1045">
        <f t="shared" si="66"/>
        <v>9.75</v>
      </c>
      <c r="AR160" s="1046"/>
      <c r="AS160" s="349">
        <v>13.5</v>
      </c>
    </row>
    <row r="161" spans="1:45" s="150" customFormat="1" ht="17" hidden="1" customHeight="1">
      <c r="A161" s="140"/>
      <c r="B161" s="117"/>
      <c r="C161" s="271" t="s">
        <v>190</v>
      </c>
      <c r="D161" s="57" t="s">
        <v>19</v>
      </c>
      <c r="E161" s="57" t="s">
        <v>58</v>
      </c>
      <c r="F161" s="1010" t="s">
        <v>358</v>
      </c>
      <c r="G161" s="901"/>
      <c r="H161" s="817">
        <v>45726</v>
      </c>
      <c r="I161" s="817">
        <v>46127</v>
      </c>
      <c r="J161" s="366"/>
      <c r="K161" s="53"/>
      <c r="L161" s="53"/>
      <c r="M161" s="725">
        <v>0.75</v>
      </c>
      <c r="N161" s="383">
        <f t="shared" si="78"/>
        <v>0.75</v>
      </c>
      <c r="O161" s="48">
        <v>1</v>
      </c>
      <c r="P161" s="49">
        <f t="shared" si="82"/>
        <v>1</v>
      </c>
      <c r="Q161" s="49">
        <v>1</v>
      </c>
      <c r="R161" s="373">
        <f t="shared" si="83"/>
        <v>0.75</v>
      </c>
      <c r="S161" s="536">
        <v>1</v>
      </c>
      <c r="T161" s="49"/>
      <c r="U161" s="49">
        <v>1</v>
      </c>
      <c r="V161" s="49"/>
      <c r="W161" s="49">
        <v>1</v>
      </c>
      <c r="X161" s="49"/>
      <c r="Y161" s="49">
        <v>1</v>
      </c>
      <c r="Z161" s="49"/>
      <c r="AA161" s="49">
        <v>1</v>
      </c>
      <c r="AB161" s="49"/>
      <c r="AC161" s="49">
        <v>1</v>
      </c>
      <c r="AD161" s="373"/>
      <c r="AE161" s="48">
        <v>1</v>
      </c>
      <c r="AF161" s="49"/>
      <c r="AG161" s="49">
        <v>1</v>
      </c>
      <c r="AH161" s="49"/>
      <c r="AI161" s="49">
        <v>1</v>
      </c>
      <c r="AJ161" s="373"/>
      <c r="AK161" s="48">
        <v>1</v>
      </c>
      <c r="AL161" s="49"/>
      <c r="AM161" s="49">
        <v>0.75</v>
      </c>
      <c r="AN161" s="373"/>
      <c r="AO161" s="511">
        <f t="shared" si="65"/>
        <v>13.5</v>
      </c>
      <c r="AP161" s="512">
        <f t="shared" si="65"/>
        <v>2.5</v>
      </c>
      <c r="AQ161" s="1034">
        <f t="shared" si="66"/>
        <v>11</v>
      </c>
      <c r="AR161" s="1047"/>
      <c r="AS161" s="349">
        <v>13.5</v>
      </c>
    </row>
    <row r="162" spans="1:45" s="150" customFormat="1" ht="17" hidden="1" customHeight="1">
      <c r="A162" s="140"/>
      <c r="B162" s="117"/>
      <c r="C162" s="169" t="s">
        <v>191</v>
      </c>
      <c r="D162" s="30" t="s">
        <v>19</v>
      </c>
      <c r="E162" s="30" t="s">
        <v>58</v>
      </c>
      <c r="F162" s="1089" t="s">
        <v>625</v>
      </c>
      <c r="G162" s="938" t="s">
        <v>684</v>
      </c>
      <c r="H162" s="924">
        <v>45796</v>
      </c>
      <c r="I162" s="924">
        <v>46096</v>
      </c>
      <c r="J162" s="29"/>
      <c r="K162" s="28"/>
      <c r="L162" s="28"/>
      <c r="M162" s="28"/>
      <c r="N162" s="374"/>
      <c r="O162" s="27"/>
      <c r="P162" s="28"/>
      <c r="Q162" s="1125">
        <v>0</v>
      </c>
      <c r="R162" s="1374"/>
      <c r="S162" s="539">
        <v>1</v>
      </c>
      <c r="T162" s="28"/>
      <c r="U162" s="28">
        <v>1</v>
      </c>
      <c r="V162" s="28"/>
      <c r="W162" s="28">
        <v>1</v>
      </c>
      <c r="X162" s="28"/>
      <c r="Y162" s="28">
        <v>1</v>
      </c>
      <c r="Z162" s="28"/>
      <c r="AA162" s="28">
        <v>1</v>
      </c>
      <c r="AB162" s="28"/>
      <c r="AC162" s="28">
        <v>1</v>
      </c>
      <c r="AD162" s="374"/>
      <c r="AE162" s="27">
        <v>1</v>
      </c>
      <c r="AF162" s="28"/>
      <c r="AG162" s="28">
        <v>1</v>
      </c>
      <c r="AH162" s="28"/>
      <c r="AI162" s="28">
        <v>1</v>
      </c>
      <c r="AJ162" s="374"/>
      <c r="AK162" s="27">
        <v>0.5</v>
      </c>
      <c r="AL162" s="28"/>
      <c r="AM162" s="28"/>
      <c r="AN162" s="374"/>
      <c r="AO162" s="721">
        <f t="shared" si="65"/>
        <v>9.5</v>
      </c>
      <c r="AP162" s="722">
        <f t="shared" si="65"/>
        <v>0</v>
      </c>
      <c r="AQ162" s="1035">
        <f t="shared" si="66"/>
        <v>9.5</v>
      </c>
      <c r="AR162" s="1039"/>
      <c r="AS162" s="349">
        <v>9.5</v>
      </c>
    </row>
    <row r="163" spans="1:45" s="150" customFormat="1" ht="17" hidden="1" customHeight="1">
      <c r="A163" s="140"/>
      <c r="B163" s="117"/>
      <c r="C163" s="272" t="s">
        <v>191</v>
      </c>
      <c r="D163" s="30" t="s">
        <v>13</v>
      </c>
      <c r="E163" s="30" t="s">
        <v>58</v>
      </c>
      <c r="F163" s="1089" t="s">
        <v>679</v>
      </c>
      <c r="G163" s="938" t="s">
        <v>684</v>
      </c>
      <c r="H163" s="924">
        <v>45796</v>
      </c>
      <c r="I163" s="924">
        <v>46096</v>
      </c>
      <c r="J163" s="29"/>
      <c r="K163" s="28"/>
      <c r="L163" s="28"/>
      <c r="M163" s="28"/>
      <c r="N163" s="383"/>
      <c r="O163" s="27"/>
      <c r="P163" s="28"/>
      <c r="Q163" s="1125">
        <v>0</v>
      </c>
      <c r="R163" s="1374"/>
      <c r="S163" s="536">
        <v>1</v>
      </c>
      <c r="T163" s="28"/>
      <c r="U163" s="28">
        <v>1</v>
      </c>
      <c r="V163" s="28"/>
      <c r="W163" s="28">
        <v>1</v>
      </c>
      <c r="X163" s="28"/>
      <c r="Y163" s="28">
        <v>1</v>
      </c>
      <c r="Z163" s="28"/>
      <c r="AA163" s="28">
        <v>1</v>
      </c>
      <c r="AB163" s="28"/>
      <c r="AC163" s="28">
        <v>1</v>
      </c>
      <c r="AD163" s="374"/>
      <c r="AE163" s="27">
        <v>1</v>
      </c>
      <c r="AF163" s="28"/>
      <c r="AG163" s="28">
        <v>1</v>
      </c>
      <c r="AH163" s="28"/>
      <c r="AI163" s="28">
        <v>1</v>
      </c>
      <c r="AJ163" s="374"/>
      <c r="AK163" s="27">
        <v>0.5</v>
      </c>
      <c r="AL163" s="28"/>
      <c r="AM163" s="28"/>
      <c r="AN163" s="374"/>
      <c r="AO163" s="721">
        <f t="shared" si="65"/>
        <v>9.5</v>
      </c>
      <c r="AP163" s="722">
        <f t="shared" si="65"/>
        <v>0</v>
      </c>
      <c r="AQ163" s="1035">
        <f t="shared" si="66"/>
        <v>9.5</v>
      </c>
      <c r="AR163" s="1039"/>
      <c r="AS163" s="349" t="s">
        <v>696</v>
      </c>
    </row>
    <row r="164" spans="1:45" s="150" customFormat="1" ht="17" hidden="1" customHeight="1">
      <c r="A164" s="140"/>
      <c r="B164" s="117"/>
      <c r="C164" s="169" t="s">
        <v>193</v>
      </c>
      <c r="D164" s="30" t="s">
        <v>13</v>
      </c>
      <c r="E164" s="30" t="s">
        <v>58</v>
      </c>
      <c r="F164" s="12" t="s">
        <v>626</v>
      </c>
      <c r="G164" s="937"/>
      <c r="H164" s="775">
        <v>45761</v>
      </c>
      <c r="I164" s="775">
        <v>46127</v>
      </c>
      <c r="J164" s="29"/>
      <c r="K164" s="28"/>
      <c r="L164" s="28"/>
      <c r="M164" s="28"/>
      <c r="N164" s="383"/>
      <c r="O164" s="27">
        <v>0.5</v>
      </c>
      <c r="P164" s="28">
        <f t="shared" ref="P164:P165" si="84">$P$1*O164</f>
        <v>0.5</v>
      </c>
      <c r="Q164" s="28">
        <v>1</v>
      </c>
      <c r="R164" s="374">
        <f t="shared" ref="R164:R168" si="85">$Q$1*Q164</f>
        <v>0.75</v>
      </c>
      <c r="S164" s="28">
        <v>1</v>
      </c>
      <c r="T164" s="28"/>
      <c r="U164" s="28">
        <v>1</v>
      </c>
      <c r="V164" s="28"/>
      <c r="W164" s="28">
        <v>1</v>
      </c>
      <c r="X164" s="28"/>
      <c r="Y164" s="28">
        <v>1</v>
      </c>
      <c r="Z164" s="28"/>
      <c r="AA164" s="28">
        <v>1</v>
      </c>
      <c r="AB164" s="28"/>
      <c r="AC164" s="28">
        <v>1</v>
      </c>
      <c r="AD164" s="374"/>
      <c r="AE164" s="27">
        <v>1</v>
      </c>
      <c r="AF164" s="28"/>
      <c r="AG164" s="28">
        <v>1</v>
      </c>
      <c r="AH164" s="28"/>
      <c r="AI164" s="28">
        <v>1</v>
      </c>
      <c r="AJ164" s="374"/>
      <c r="AK164" s="27">
        <v>1</v>
      </c>
      <c r="AL164" s="28"/>
      <c r="AM164" s="28">
        <v>1</v>
      </c>
      <c r="AN164" s="374"/>
      <c r="AO164" s="721">
        <f t="shared" si="65"/>
        <v>12.5</v>
      </c>
      <c r="AP164" s="722">
        <f t="shared" si="65"/>
        <v>1.25</v>
      </c>
      <c r="AQ164" s="1035">
        <f t="shared" si="66"/>
        <v>11.25</v>
      </c>
      <c r="AR164" s="1039"/>
      <c r="AS164" s="349">
        <v>12.5</v>
      </c>
    </row>
    <row r="165" spans="1:45" s="150" customFormat="1" ht="17" hidden="1" customHeight="1" thickBot="1">
      <c r="A165" s="140"/>
      <c r="B165" s="1095"/>
      <c r="C165" s="1115" t="s">
        <v>193</v>
      </c>
      <c r="D165" s="1116" t="s">
        <v>19</v>
      </c>
      <c r="E165" s="1116" t="s">
        <v>58</v>
      </c>
      <c r="F165" s="1117" t="s">
        <v>583</v>
      </c>
      <c r="G165" s="1101" t="s">
        <v>672</v>
      </c>
      <c r="H165" s="775">
        <v>45726</v>
      </c>
      <c r="I165" s="775">
        <v>45793</v>
      </c>
      <c r="J165" s="360"/>
      <c r="K165" s="40"/>
      <c r="L165" s="40"/>
      <c r="M165" s="760">
        <v>0.75</v>
      </c>
      <c r="N165" s="1041">
        <f>2/20</f>
        <v>0.1</v>
      </c>
      <c r="O165" s="27">
        <v>1</v>
      </c>
      <c r="P165" s="28">
        <f t="shared" si="84"/>
        <v>1</v>
      </c>
      <c r="Q165" s="28">
        <v>0.5</v>
      </c>
      <c r="R165" s="374">
        <f t="shared" si="85"/>
        <v>0.375</v>
      </c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374"/>
      <c r="AE165" s="27"/>
      <c r="AF165" s="28"/>
      <c r="AG165" s="28"/>
      <c r="AH165" s="28"/>
      <c r="AI165" s="28"/>
      <c r="AJ165" s="374"/>
      <c r="AK165" s="27"/>
      <c r="AL165" s="28"/>
      <c r="AM165" s="28"/>
      <c r="AN165" s="374"/>
      <c r="AO165" s="721">
        <f t="shared" si="65"/>
        <v>2.25</v>
      </c>
      <c r="AP165" s="722">
        <f t="shared" si="65"/>
        <v>1.4750000000000001</v>
      </c>
      <c r="AQ165" s="1035">
        <f t="shared" si="66"/>
        <v>0.77499999999999991</v>
      </c>
      <c r="AR165" s="1039"/>
      <c r="AS165" s="349"/>
    </row>
    <row r="166" spans="1:45" s="150" customFormat="1" ht="17" hidden="1" customHeight="1">
      <c r="A166" s="140"/>
      <c r="B166" s="117"/>
      <c r="C166" s="169" t="s">
        <v>193</v>
      </c>
      <c r="D166" s="30" t="s">
        <v>657</v>
      </c>
      <c r="E166" s="30" t="s">
        <v>58</v>
      </c>
      <c r="F166" s="1089" t="s">
        <v>655</v>
      </c>
      <c r="G166" s="938" t="s">
        <v>684</v>
      </c>
      <c r="H166" s="924">
        <v>45785</v>
      </c>
      <c r="I166" s="924">
        <v>46111</v>
      </c>
      <c r="J166" s="898"/>
      <c r="K166" s="744"/>
      <c r="L166" s="744"/>
      <c r="M166" s="899"/>
      <c r="N166" s="1042"/>
      <c r="O166" s="27"/>
      <c r="P166" s="28"/>
      <c r="Q166" s="28">
        <v>0.5</v>
      </c>
      <c r="R166" s="374"/>
      <c r="S166" s="28">
        <v>1</v>
      </c>
      <c r="T166" s="28"/>
      <c r="U166" s="28">
        <v>1</v>
      </c>
      <c r="V166" s="28"/>
      <c r="W166" s="28">
        <v>1</v>
      </c>
      <c r="X166" s="28"/>
      <c r="Y166" s="28">
        <v>1</v>
      </c>
      <c r="Z166" s="28"/>
      <c r="AA166" s="28">
        <v>1</v>
      </c>
      <c r="AB166" s="28"/>
      <c r="AC166" s="28">
        <v>1</v>
      </c>
      <c r="AD166" s="374"/>
      <c r="AE166" s="27">
        <v>1</v>
      </c>
      <c r="AF166" s="28"/>
      <c r="AG166" s="28">
        <v>1</v>
      </c>
      <c r="AH166" s="28"/>
      <c r="AI166" s="28">
        <v>1</v>
      </c>
      <c r="AJ166" s="374"/>
      <c r="AK166" s="27">
        <v>1</v>
      </c>
      <c r="AL166" s="28"/>
      <c r="AM166" s="28"/>
      <c r="AN166" s="374"/>
      <c r="AO166" s="721">
        <f t="shared" si="65"/>
        <v>10.5</v>
      </c>
      <c r="AP166" s="28"/>
      <c r="AQ166" s="1035"/>
      <c r="AR166" s="1039"/>
      <c r="AS166" s="427">
        <f>AO164+AO165</f>
        <v>14.75</v>
      </c>
    </row>
    <row r="167" spans="1:45" s="150" customFormat="1" ht="17" hidden="1" customHeight="1" thickBot="1">
      <c r="A167" s="140"/>
      <c r="B167" s="117"/>
      <c r="C167" s="694" t="s">
        <v>193</v>
      </c>
      <c r="D167" s="695" t="s">
        <v>21</v>
      </c>
      <c r="E167" s="695" t="s">
        <v>58</v>
      </c>
      <c r="F167" s="1090" t="s">
        <v>656</v>
      </c>
      <c r="G167" s="939" t="s">
        <v>650</v>
      </c>
      <c r="H167" s="940">
        <v>45785</v>
      </c>
      <c r="I167" s="940">
        <v>46081</v>
      </c>
      <c r="J167" s="898"/>
      <c r="K167" s="744"/>
      <c r="L167" s="744"/>
      <c r="M167" s="899"/>
      <c r="N167" s="1042"/>
      <c r="O167" s="39"/>
      <c r="P167" s="40"/>
      <c r="Q167" s="40">
        <v>0</v>
      </c>
      <c r="R167" s="376"/>
      <c r="S167" s="40">
        <v>1</v>
      </c>
      <c r="T167" s="40"/>
      <c r="U167" s="40">
        <v>1</v>
      </c>
      <c r="V167" s="40"/>
      <c r="W167" s="40">
        <v>1</v>
      </c>
      <c r="X167" s="40"/>
      <c r="Y167" s="40">
        <v>1</v>
      </c>
      <c r="Z167" s="40"/>
      <c r="AA167" s="28">
        <v>1</v>
      </c>
      <c r="AB167" s="28"/>
      <c r="AC167" s="28">
        <v>1</v>
      </c>
      <c r="AD167" s="374"/>
      <c r="AE167" s="27">
        <v>1</v>
      </c>
      <c r="AF167" s="28"/>
      <c r="AG167" s="28">
        <v>1</v>
      </c>
      <c r="AH167" s="28"/>
      <c r="AI167" s="28">
        <v>1</v>
      </c>
      <c r="AJ167" s="374"/>
      <c r="AK167" s="39"/>
      <c r="AL167" s="40"/>
      <c r="AM167" s="40"/>
      <c r="AN167" s="376"/>
      <c r="AO167" s="721">
        <f t="shared" si="65"/>
        <v>9</v>
      </c>
      <c r="AP167" s="592"/>
      <c r="AQ167" s="1037"/>
      <c r="AR167" s="1040"/>
      <c r="AS167" s="349"/>
    </row>
    <row r="168" spans="1:45" s="150" customFormat="1" ht="17" hidden="1" customHeight="1">
      <c r="A168" s="140"/>
      <c r="B168" s="117"/>
      <c r="C168" s="1391" t="s">
        <v>418</v>
      </c>
      <c r="D168" s="1392" t="s">
        <v>19</v>
      </c>
      <c r="E168" s="1392" t="s">
        <v>603</v>
      </c>
      <c r="F168" s="1393" t="s">
        <v>627</v>
      </c>
      <c r="G168" s="1394" t="s">
        <v>672</v>
      </c>
      <c r="H168" s="781">
        <v>45762</v>
      </c>
      <c r="I168" s="817">
        <v>45791</v>
      </c>
      <c r="J168" s="359"/>
      <c r="K168" s="49"/>
      <c r="L168" s="49"/>
      <c r="M168" s="49"/>
      <c r="N168" s="373"/>
      <c r="O168" s="48">
        <v>0.5</v>
      </c>
      <c r="P168" s="49">
        <v>0.25</v>
      </c>
      <c r="Q168" s="49">
        <v>0.5</v>
      </c>
      <c r="R168" s="373">
        <f t="shared" si="85"/>
        <v>0.375</v>
      </c>
      <c r="S168" s="536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50"/>
      <c r="AE168" s="366"/>
      <c r="AF168" s="366"/>
      <c r="AG168" s="53"/>
      <c r="AH168" s="383"/>
      <c r="AI168" s="383"/>
      <c r="AJ168" s="900"/>
      <c r="AK168" s="48"/>
      <c r="AL168" s="49"/>
      <c r="AM168" s="49"/>
      <c r="AN168" s="50"/>
      <c r="AO168" s="1030">
        <f t="shared" si="65"/>
        <v>1</v>
      </c>
      <c r="AP168" s="524">
        <f t="shared" si="65"/>
        <v>0.625</v>
      </c>
      <c r="AQ168" s="525">
        <f t="shared" ref="AQ168:AQ172" si="86">AO168-AP168</f>
        <v>0.375</v>
      </c>
      <c r="AR168" s="687"/>
      <c r="AS168" s="349"/>
    </row>
    <row r="169" spans="1:45" s="150" customFormat="1" ht="17" hidden="1" customHeight="1">
      <c r="A169" s="140"/>
      <c r="B169" s="117"/>
      <c r="C169" s="272" t="s">
        <v>604</v>
      </c>
      <c r="D169" s="2" t="s">
        <v>641</v>
      </c>
      <c r="E169" s="2" t="s">
        <v>603</v>
      </c>
      <c r="F169" s="2" t="s">
        <v>639</v>
      </c>
      <c r="G169" s="599"/>
      <c r="H169" s="862">
        <v>45784</v>
      </c>
      <c r="I169" s="804">
        <v>45869</v>
      </c>
      <c r="J169" s="29"/>
      <c r="K169" s="28"/>
      <c r="L169" s="28"/>
      <c r="M169" s="28"/>
      <c r="N169" s="383"/>
      <c r="O169" s="27"/>
      <c r="P169" s="28"/>
      <c r="Q169" s="28">
        <v>1</v>
      </c>
      <c r="R169" s="374">
        <v>0</v>
      </c>
      <c r="S169" s="376">
        <v>1</v>
      </c>
      <c r="T169" s="28"/>
      <c r="U169" s="28">
        <v>1</v>
      </c>
      <c r="V169" s="28"/>
      <c r="W169" s="28"/>
      <c r="X169" s="28"/>
      <c r="Y169" s="28"/>
      <c r="Z169" s="28"/>
      <c r="AA169" s="28"/>
      <c r="AB169" s="28"/>
      <c r="AC169" s="28"/>
      <c r="AD169" s="25"/>
      <c r="AE169" s="366"/>
      <c r="AF169" s="366"/>
      <c r="AG169" s="53"/>
      <c r="AH169" s="383"/>
      <c r="AI169" s="383"/>
      <c r="AJ169" s="900"/>
      <c r="AK169" s="27"/>
      <c r="AL169" s="28"/>
      <c r="AM169" s="28"/>
      <c r="AN169" s="25"/>
      <c r="AO169" s="1030">
        <f t="shared" si="65"/>
        <v>3</v>
      </c>
      <c r="AP169" s="524">
        <f t="shared" si="65"/>
        <v>0</v>
      </c>
      <c r="AQ169" s="525">
        <f t="shared" si="86"/>
        <v>3</v>
      </c>
      <c r="AR169" s="639"/>
      <c r="AS169" s="349"/>
    </row>
    <row r="170" spans="1:45" s="150" customFormat="1" ht="17" hidden="1" customHeight="1">
      <c r="A170" s="140"/>
      <c r="B170" s="117"/>
      <c r="C170" s="272" t="s">
        <v>599</v>
      </c>
      <c r="D170" s="2" t="s">
        <v>642</v>
      </c>
      <c r="E170" s="2" t="s">
        <v>603</v>
      </c>
      <c r="F170" s="2" t="s">
        <v>640</v>
      </c>
      <c r="G170" s="599"/>
      <c r="H170" s="862">
        <v>45784</v>
      </c>
      <c r="I170" s="804">
        <v>45869</v>
      </c>
      <c r="J170" s="29"/>
      <c r="K170" s="28"/>
      <c r="L170" s="28"/>
      <c r="M170" s="28"/>
      <c r="N170" s="383"/>
      <c r="O170" s="27"/>
      <c r="P170" s="28"/>
      <c r="Q170" s="28">
        <v>1</v>
      </c>
      <c r="R170" s="374">
        <v>0</v>
      </c>
      <c r="S170" s="536">
        <v>1</v>
      </c>
      <c r="T170" s="28"/>
      <c r="U170" s="28">
        <v>1</v>
      </c>
      <c r="V170" s="28"/>
      <c r="W170" s="28"/>
      <c r="X170" s="28"/>
      <c r="Y170" s="28"/>
      <c r="Z170" s="28"/>
      <c r="AA170" s="28"/>
      <c r="AB170" s="28"/>
      <c r="AC170" s="28"/>
      <c r="AD170" s="25"/>
      <c r="AE170" s="366"/>
      <c r="AF170" s="366"/>
      <c r="AG170" s="53"/>
      <c r="AH170" s="383"/>
      <c r="AI170" s="383"/>
      <c r="AJ170" s="900"/>
      <c r="AK170" s="27"/>
      <c r="AL170" s="28"/>
      <c r="AM170" s="28"/>
      <c r="AN170" s="25"/>
      <c r="AO170" s="1030">
        <f t="shared" si="65"/>
        <v>3</v>
      </c>
      <c r="AP170" s="524">
        <f t="shared" si="65"/>
        <v>0</v>
      </c>
      <c r="AQ170" s="525">
        <f t="shared" si="86"/>
        <v>3</v>
      </c>
      <c r="AR170" s="639"/>
      <c r="AS170" s="349"/>
    </row>
    <row r="171" spans="1:45" s="150" customFormat="1" ht="17" hidden="1" customHeight="1">
      <c r="A171" s="140"/>
      <c r="B171" s="117"/>
      <c r="C171" s="169" t="s">
        <v>600</v>
      </c>
      <c r="D171" s="30" t="s">
        <v>19</v>
      </c>
      <c r="E171" s="30" t="s">
        <v>602</v>
      </c>
      <c r="F171" s="30" t="s">
        <v>605</v>
      </c>
      <c r="G171" s="786" t="s">
        <v>682</v>
      </c>
      <c r="H171" s="782">
        <v>45870</v>
      </c>
      <c r="I171" s="775">
        <v>46112</v>
      </c>
      <c r="J171" s="29"/>
      <c r="K171" s="28"/>
      <c r="L171" s="28"/>
      <c r="M171" s="28"/>
      <c r="N171" s="383"/>
      <c r="O171" s="27"/>
      <c r="P171" s="28"/>
      <c r="Q171" s="28"/>
      <c r="R171" s="374"/>
      <c r="S171" s="27"/>
      <c r="T171" s="28"/>
      <c r="U171" s="28"/>
      <c r="V171" s="28"/>
      <c r="W171" s="28">
        <v>1</v>
      </c>
      <c r="X171" s="28"/>
      <c r="Y171" s="28">
        <v>0.2</v>
      </c>
      <c r="Z171" s="28"/>
      <c r="AA171" s="28">
        <v>0.2</v>
      </c>
      <c r="AB171" s="28"/>
      <c r="AC171" s="28">
        <v>0.2</v>
      </c>
      <c r="AD171" s="25"/>
      <c r="AE171" s="366">
        <v>0.2</v>
      </c>
      <c r="AF171" s="366"/>
      <c r="AG171" s="53">
        <v>0.2</v>
      </c>
      <c r="AH171" s="383"/>
      <c r="AI171" s="383">
        <v>0.2</v>
      </c>
      <c r="AJ171" s="900"/>
      <c r="AK171" s="27">
        <v>0.2</v>
      </c>
      <c r="AL171" s="28"/>
      <c r="AM171" s="28"/>
      <c r="AN171" s="25"/>
      <c r="AO171" s="1030">
        <f t="shared" si="65"/>
        <v>2.4</v>
      </c>
      <c r="AP171" s="524">
        <f t="shared" si="65"/>
        <v>0</v>
      </c>
      <c r="AQ171" s="525">
        <f t="shared" si="86"/>
        <v>2.4</v>
      </c>
      <c r="AR171" s="639"/>
      <c r="AS171" s="349"/>
    </row>
    <row r="172" spans="1:45" s="150" customFormat="1" ht="17" hidden="1" customHeight="1" thickBot="1">
      <c r="A172" s="140"/>
      <c r="B172" s="117"/>
      <c r="C172" s="694" t="s">
        <v>601</v>
      </c>
      <c r="D172" s="695" t="s">
        <v>19</v>
      </c>
      <c r="E172" s="695" t="s">
        <v>602</v>
      </c>
      <c r="F172" s="695" t="s">
        <v>606</v>
      </c>
      <c r="G172" s="785"/>
      <c r="H172" s="782">
        <v>45870</v>
      </c>
      <c r="I172" s="735">
        <v>45898</v>
      </c>
      <c r="J172" s="360"/>
      <c r="K172" s="40"/>
      <c r="L172" s="40"/>
      <c r="M172" s="760"/>
      <c r="N172" s="1042"/>
      <c r="O172" s="51"/>
      <c r="P172" s="592"/>
      <c r="Q172" s="592"/>
      <c r="R172" s="595"/>
      <c r="S172" s="51"/>
      <c r="T172" s="592"/>
      <c r="U172" s="592"/>
      <c r="V172" s="592"/>
      <c r="W172" s="592">
        <v>1</v>
      </c>
      <c r="X172" s="592"/>
      <c r="Y172" s="592"/>
      <c r="Z172" s="592"/>
      <c r="AA172" s="592"/>
      <c r="AB172" s="592"/>
      <c r="AC172" s="592"/>
      <c r="AD172" s="593"/>
      <c r="AE172" s="366"/>
      <c r="AF172" s="366"/>
      <c r="AG172" s="53"/>
      <c r="AH172" s="383"/>
      <c r="AI172" s="383"/>
      <c r="AJ172" s="900"/>
      <c r="AK172" s="51"/>
      <c r="AL172" s="592"/>
      <c r="AM172" s="592"/>
      <c r="AN172" s="593"/>
      <c r="AO172" s="1031">
        <f t="shared" si="65"/>
        <v>1</v>
      </c>
      <c r="AP172" s="520">
        <f t="shared" si="65"/>
        <v>0</v>
      </c>
      <c r="AQ172" s="521">
        <f t="shared" si="86"/>
        <v>1</v>
      </c>
      <c r="AR172" s="697"/>
      <c r="AS172" s="349"/>
    </row>
    <row r="173" spans="1:45" s="150" customFormat="1" ht="17" hidden="1" customHeight="1">
      <c r="A173" s="140"/>
      <c r="B173" s="737" t="s">
        <v>664</v>
      </c>
      <c r="C173" s="271" t="s">
        <v>357</v>
      </c>
      <c r="D173" s="57" t="s">
        <v>42</v>
      </c>
      <c r="E173" s="532" t="s">
        <v>40</v>
      </c>
      <c r="F173" s="688" t="s">
        <v>352</v>
      </c>
      <c r="G173" s="688"/>
      <c r="H173" s="787">
        <v>45691</v>
      </c>
      <c r="I173" s="814">
        <v>46142</v>
      </c>
      <c r="J173" s="359"/>
      <c r="K173" s="585">
        <v>1</v>
      </c>
      <c r="L173" s="49">
        <f t="shared" ref="L173:L174" si="87">K173*$L$1</f>
        <v>1</v>
      </c>
      <c r="M173" s="585">
        <v>1</v>
      </c>
      <c r="N173" s="49">
        <f t="shared" si="78"/>
        <v>1</v>
      </c>
      <c r="O173" s="739">
        <v>1</v>
      </c>
      <c r="P173" s="53">
        <f t="shared" ref="P173:P174" si="88">$P$1*O173</f>
        <v>1</v>
      </c>
      <c r="Q173" s="1264">
        <v>1</v>
      </c>
      <c r="R173" s="506">
        <f t="shared" ref="R173:R175" si="89">$Q$1*Q173</f>
        <v>0.75</v>
      </c>
      <c r="S173" s="1154">
        <v>1</v>
      </c>
      <c r="T173" s="1155"/>
      <c r="U173" s="1155">
        <v>1</v>
      </c>
      <c r="V173" s="1155"/>
      <c r="W173" s="1155">
        <v>1</v>
      </c>
      <c r="X173" s="1155"/>
      <c r="Y173" s="1155">
        <v>1</v>
      </c>
      <c r="Z173" s="1155"/>
      <c r="AA173" s="1155">
        <v>1</v>
      </c>
      <c r="AB173" s="1155"/>
      <c r="AC173" s="1155">
        <v>1</v>
      </c>
      <c r="AD173" s="1156"/>
      <c r="AE173" s="1157">
        <v>1</v>
      </c>
      <c r="AF173" s="1158"/>
      <c r="AG173" s="1159">
        <v>1</v>
      </c>
      <c r="AH173" s="1160"/>
      <c r="AI173" s="1160">
        <v>1</v>
      </c>
      <c r="AJ173" s="1161"/>
      <c r="AK173" s="1265">
        <v>1</v>
      </c>
      <c r="AL173" s="1266"/>
      <c r="AM173" s="1266">
        <v>1</v>
      </c>
      <c r="AN173" s="1264"/>
      <c r="AO173" s="511">
        <f t="shared" si="65"/>
        <v>15</v>
      </c>
      <c r="AP173" s="512">
        <f t="shared" si="65"/>
        <v>3.75</v>
      </c>
      <c r="AQ173" s="513">
        <f t="shared" si="66"/>
        <v>11.25</v>
      </c>
      <c r="AR173" s="639" t="s">
        <v>77</v>
      </c>
      <c r="AS173" s="349"/>
    </row>
    <row r="174" spans="1:45" s="150" customFormat="1" ht="17" hidden="1" customHeight="1">
      <c r="A174" s="140"/>
      <c r="B174" s="737"/>
      <c r="C174" s="169" t="s">
        <v>251</v>
      </c>
      <c r="D174" s="30" t="s">
        <v>42</v>
      </c>
      <c r="E174" s="446" t="s">
        <v>40</v>
      </c>
      <c r="F174" s="618" t="s">
        <v>353</v>
      </c>
      <c r="G174" s="618"/>
      <c r="H174" s="788">
        <v>45691</v>
      </c>
      <c r="I174" s="775">
        <v>46142</v>
      </c>
      <c r="J174" s="29"/>
      <c r="K174" s="583">
        <v>1</v>
      </c>
      <c r="L174" s="3">
        <f t="shared" si="87"/>
        <v>1</v>
      </c>
      <c r="M174" s="583">
        <v>1</v>
      </c>
      <c r="N174" s="28">
        <f t="shared" si="78"/>
        <v>1</v>
      </c>
      <c r="O174" s="583">
        <v>1</v>
      </c>
      <c r="P174" s="53">
        <f t="shared" si="88"/>
        <v>1</v>
      </c>
      <c r="Q174" s="1267">
        <v>1</v>
      </c>
      <c r="R174" s="506">
        <f t="shared" si="89"/>
        <v>0.75</v>
      </c>
      <c r="S174" s="1163">
        <v>1</v>
      </c>
      <c r="T174" s="1164"/>
      <c r="U174" s="1164">
        <v>1</v>
      </c>
      <c r="V174" s="1164"/>
      <c r="W174" s="1164">
        <v>1</v>
      </c>
      <c r="X174" s="1164"/>
      <c r="Y174" s="1164">
        <v>1</v>
      </c>
      <c r="Z174" s="1164"/>
      <c r="AA174" s="1164">
        <v>1</v>
      </c>
      <c r="AB174" s="1164"/>
      <c r="AC174" s="1164">
        <v>1</v>
      </c>
      <c r="AD174" s="1268"/>
      <c r="AE174" s="1166">
        <v>1</v>
      </c>
      <c r="AF174" s="1167"/>
      <c r="AG174" s="1164">
        <v>1</v>
      </c>
      <c r="AH174" s="1162"/>
      <c r="AI174" s="1162">
        <v>1</v>
      </c>
      <c r="AJ174" s="1267"/>
      <c r="AK174" s="1269">
        <v>1</v>
      </c>
      <c r="AL174" s="1270"/>
      <c r="AM174" s="1270">
        <v>1</v>
      </c>
      <c r="AN174" s="1267"/>
      <c r="AO174" s="522">
        <f t="shared" si="65"/>
        <v>15</v>
      </c>
      <c r="AP174" s="524">
        <f t="shared" si="65"/>
        <v>3.75</v>
      </c>
      <c r="AQ174" s="525">
        <f t="shared" si="66"/>
        <v>11.25</v>
      </c>
      <c r="AR174" s="639" t="s">
        <v>77</v>
      </c>
      <c r="AS174" s="349"/>
    </row>
    <row r="175" spans="1:45" s="150" customFormat="1" ht="17" hidden="1" customHeight="1">
      <c r="A175" s="140"/>
      <c r="B175" s="737"/>
      <c r="C175" s="169" t="s">
        <v>190</v>
      </c>
      <c r="D175" s="30" t="s">
        <v>42</v>
      </c>
      <c r="E175" s="446" t="s">
        <v>40</v>
      </c>
      <c r="F175" s="828" t="s">
        <v>613</v>
      </c>
      <c r="G175" s="618"/>
      <c r="H175" s="789">
        <v>45775</v>
      </c>
      <c r="I175" s="775">
        <v>46142</v>
      </c>
      <c r="J175" s="29"/>
      <c r="K175" s="734"/>
      <c r="L175" s="734"/>
      <c r="M175" s="734"/>
      <c r="N175" s="28"/>
      <c r="O175" s="734"/>
      <c r="P175" s="219"/>
      <c r="Q175" s="1267">
        <v>1</v>
      </c>
      <c r="R175" s="506">
        <f t="shared" si="89"/>
        <v>0.75</v>
      </c>
      <c r="S175" s="1163">
        <v>1</v>
      </c>
      <c r="T175" s="1164"/>
      <c r="U175" s="1164">
        <v>1</v>
      </c>
      <c r="V175" s="1164"/>
      <c r="W175" s="1164">
        <v>1</v>
      </c>
      <c r="X175" s="1164"/>
      <c r="Y175" s="1164">
        <v>1</v>
      </c>
      <c r="Z175" s="1164"/>
      <c r="AA175" s="1164">
        <v>1</v>
      </c>
      <c r="AB175" s="1164"/>
      <c r="AC175" s="1164">
        <v>1</v>
      </c>
      <c r="AD175" s="1268"/>
      <c r="AE175" s="1166">
        <v>1</v>
      </c>
      <c r="AF175" s="1167"/>
      <c r="AG175" s="1164">
        <v>1</v>
      </c>
      <c r="AH175" s="1162"/>
      <c r="AI175" s="1162">
        <v>1</v>
      </c>
      <c r="AJ175" s="1267"/>
      <c r="AK175" s="1269">
        <v>1</v>
      </c>
      <c r="AL175" s="1270"/>
      <c r="AM175" s="1270">
        <v>1</v>
      </c>
      <c r="AN175" s="1267"/>
      <c r="AO175" s="522">
        <f t="shared" si="65"/>
        <v>12</v>
      </c>
      <c r="AP175" s="524">
        <f t="shared" si="65"/>
        <v>0.75</v>
      </c>
      <c r="AQ175" s="525">
        <f t="shared" si="66"/>
        <v>11.25</v>
      </c>
      <c r="AR175" s="639" t="s">
        <v>42</v>
      </c>
      <c r="AS175" s="349"/>
    </row>
    <row r="176" spans="1:45" s="150" customFormat="1" ht="17" hidden="1" customHeight="1">
      <c r="A176" s="140"/>
      <c r="B176" s="737"/>
      <c r="C176" s="272" t="s">
        <v>190</v>
      </c>
      <c r="D176" s="2" t="s">
        <v>42</v>
      </c>
      <c r="E176" s="533" t="s">
        <v>40</v>
      </c>
      <c r="F176" s="828" t="s">
        <v>74</v>
      </c>
      <c r="G176" s="618"/>
      <c r="H176" s="611">
        <v>45839</v>
      </c>
      <c r="I176" s="775">
        <v>46053</v>
      </c>
      <c r="J176" s="29"/>
      <c r="K176" s="734"/>
      <c r="L176" s="734"/>
      <c r="M176" s="734"/>
      <c r="N176" s="28"/>
      <c r="O176" s="761"/>
      <c r="P176" s="219"/>
      <c r="Q176" s="1267"/>
      <c r="R176" s="1271"/>
      <c r="S176" s="1163"/>
      <c r="T176" s="1164"/>
      <c r="U176" s="1164">
        <v>1</v>
      </c>
      <c r="V176" s="1164"/>
      <c r="W176" s="1164">
        <v>1</v>
      </c>
      <c r="X176" s="1164"/>
      <c r="Y176" s="1164">
        <v>1</v>
      </c>
      <c r="Z176" s="1164"/>
      <c r="AA176" s="1164">
        <v>1</v>
      </c>
      <c r="AB176" s="1164"/>
      <c r="AC176" s="1164">
        <v>1</v>
      </c>
      <c r="AD176" s="1268"/>
      <c r="AE176" s="1166">
        <v>1</v>
      </c>
      <c r="AF176" s="1167"/>
      <c r="AG176" s="1164">
        <v>1</v>
      </c>
      <c r="AH176" s="1162"/>
      <c r="AI176" s="1162"/>
      <c r="AJ176" s="1267"/>
      <c r="AK176" s="1269"/>
      <c r="AL176" s="1270"/>
      <c r="AM176" s="1270"/>
      <c r="AN176" s="1267"/>
      <c r="AO176" s="522">
        <f>+K176+M176+O176+Q176+S176+U176+W176+Y176+AA176+AC176+AE176+AG176+AI176+AK176+AM176</f>
        <v>7</v>
      </c>
      <c r="AP176" s="524">
        <f>+L176+N176+P176+R176+T176+V176+X176+Z176+AB176+AD176+AF176+AH176+AJ176+AL176+AN176</f>
        <v>0</v>
      </c>
      <c r="AQ176" s="525">
        <f t="shared" si="66"/>
        <v>7</v>
      </c>
      <c r="AR176" s="639" t="s">
        <v>42</v>
      </c>
      <c r="AS176" s="349"/>
    </row>
    <row r="177" spans="1:45" s="150" customFormat="1" ht="17" hidden="1" customHeight="1">
      <c r="A177" s="140"/>
      <c r="B177" s="737"/>
      <c r="C177" s="272" t="s">
        <v>252</v>
      </c>
      <c r="D177" s="2" t="s">
        <v>42</v>
      </c>
      <c r="E177" s="533" t="s">
        <v>40</v>
      </c>
      <c r="F177" s="828" t="s">
        <v>74</v>
      </c>
      <c r="G177" s="618"/>
      <c r="H177" s="611">
        <v>45839</v>
      </c>
      <c r="I177" s="775">
        <v>46053</v>
      </c>
      <c r="J177" s="29"/>
      <c r="K177" s="734"/>
      <c r="L177" s="734"/>
      <c r="M177" s="734"/>
      <c r="N177" s="28"/>
      <c r="O177" s="761"/>
      <c r="P177" s="219"/>
      <c r="Q177" s="1267"/>
      <c r="R177" s="1271"/>
      <c r="S177" s="1163"/>
      <c r="T177" s="1164"/>
      <c r="U177" s="1164">
        <v>1</v>
      </c>
      <c r="V177" s="1164"/>
      <c r="W177" s="1164">
        <v>1</v>
      </c>
      <c r="X177" s="1164"/>
      <c r="Y177" s="1164">
        <v>1</v>
      </c>
      <c r="Z177" s="1164"/>
      <c r="AA177" s="1164">
        <v>1</v>
      </c>
      <c r="AB177" s="1164"/>
      <c r="AC177" s="1164">
        <v>1</v>
      </c>
      <c r="AD177" s="1268"/>
      <c r="AE177" s="1166">
        <v>1</v>
      </c>
      <c r="AF177" s="1167"/>
      <c r="AG177" s="1164">
        <v>1</v>
      </c>
      <c r="AH177" s="1162"/>
      <c r="AI177" s="1162"/>
      <c r="AJ177" s="1267"/>
      <c r="AK177" s="1269"/>
      <c r="AL177" s="1270"/>
      <c r="AM177" s="1270"/>
      <c r="AN177" s="1267"/>
      <c r="AO177" s="522">
        <f t="shared" si="65"/>
        <v>7</v>
      </c>
      <c r="AP177" s="524">
        <f t="shared" si="65"/>
        <v>0</v>
      </c>
      <c r="AQ177" s="525">
        <f t="shared" si="66"/>
        <v>7</v>
      </c>
      <c r="AR177" s="639" t="s">
        <v>42</v>
      </c>
      <c r="AS177" s="349"/>
    </row>
    <row r="178" spans="1:45" s="150" customFormat="1" ht="17" hidden="1" customHeight="1">
      <c r="A178" s="140"/>
      <c r="B178" s="737"/>
      <c r="C178" s="272" t="s">
        <v>252</v>
      </c>
      <c r="D178" s="2" t="s">
        <v>42</v>
      </c>
      <c r="E178" s="533" t="s">
        <v>40</v>
      </c>
      <c r="F178" s="828" t="s">
        <v>74</v>
      </c>
      <c r="G178" s="618"/>
      <c r="H178" s="789">
        <v>45839</v>
      </c>
      <c r="I178" s="775">
        <v>46080</v>
      </c>
      <c r="J178" s="29"/>
      <c r="K178" s="734"/>
      <c r="L178" s="734"/>
      <c r="M178" s="734"/>
      <c r="N178" s="28"/>
      <c r="O178" s="734"/>
      <c r="P178" s="219"/>
      <c r="Q178" s="1267"/>
      <c r="R178" s="1271"/>
      <c r="S178" s="1163"/>
      <c r="T178" s="1164"/>
      <c r="U178" s="1164">
        <v>1</v>
      </c>
      <c r="V178" s="1164"/>
      <c r="W178" s="1164">
        <v>1</v>
      </c>
      <c r="X178" s="1164"/>
      <c r="Y178" s="1164">
        <v>1</v>
      </c>
      <c r="Z178" s="1164"/>
      <c r="AA178" s="1164">
        <v>1</v>
      </c>
      <c r="AB178" s="1164"/>
      <c r="AC178" s="1164">
        <v>1</v>
      </c>
      <c r="AD178" s="1268"/>
      <c r="AE178" s="1166">
        <v>1</v>
      </c>
      <c r="AF178" s="1167"/>
      <c r="AG178" s="1164">
        <v>1</v>
      </c>
      <c r="AH178" s="1162"/>
      <c r="AI178" s="1162">
        <v>1</v>
      </c>
      <c r="AJ178" s="1267"/>
      <c r="AK178" s="1269"/>
      <c r="AL178" s="1270"/>
      <c r="AM178" s="1270"/>
      <c r="AN178" s="1267"/>
      <c r="AO178" s="522">
        <f t="shared" si="65"/>
        <v>8</v>
      </c>
      <c r="AP178" s="524">
        <f t="shared" si="65"/>
        <v>0</v>
      </c>
      <c r="AQ178" s="525">
        <f t="shared" si="66"/>
        <v>8</v>
      </c>
      <c r="AR178" s="639" t="s">
        <v>42</v>
      </c>
      <c r="AS178" s="349"/>
    </row>
    <row r="179" spans="1:45" s="150" customFormat="1" ht="17" hidden="1" customHeight="1">
      <c r="A179" s="140"/>
      <c r="B179" s="737"/>
      <c r="C179" s="169" t="s">
        <v>252</v>
      </c>
      <c r="D179" s="30" t="s">
        <v>42</v>
      </c>
      <c r="E179" s="446" t="s">
        <v>40</v>
      </c>
      <c r="F179" s="618" t="s">
        <v>354</v>
      </c>
      <c r="G179" s="618"/>
      <c r="H179" s="789">
        <v>45733</v>
      </c>
      <c r="I179" s="810">
        <v>46142</v>
      </c>
      <c r="J179" s="29"/>
      <c r="K179" s="734"/>
      <c r="L179" s="734"/>
      <c r="M179" s="761">
        <v>0.5</v>
      </c>
      <c r="N179" s="28">
        <f t="shared" ref="N179:N180" si="90">M179*N$1</f>
        <v>0.5</v>
      </c>
      <c r="O179" s="758">
        <v>1</v>
      </c>
      <c r="P179" s="53">
        <f t="shared" ref="P179:P184" si="91">$P$1*O179</f>
        <v>1</v>
      </c>
      <c r="Q179" s="1272">
        <v>1</v>
      </c>
      <c r="R179" s="506">
        <f t="shared" ref="R179:R183" si="92">$Q$1*Q179</f>
        <v>0.75</v>
      </c>
      <c r="S179" s="1273">
        <v>1</v>
      </c>
      <c r="T179" s="1164"/>
      <c r="U179" s="1274">
        <v>1</v>
      </c>
      <c r="V179" s="1164"/>
      <c r="W179" s="1274">
        <v>1</v>
      </c>
      <c r="X179" s="1164"/>
      <c r="Y179" s="1274">
        <v>1</v>
      </c>
      <c r="Z179" s="1164"/>
      <c r="AA179" s="1274">
        <v>1</v>
      </c>
      <c r="AB179" s="1164"/>
      <c r="AC179" s="1274">
        <v>1</v>
      </c>
      <c r="AD179" s="1268"/>
      <c r="AE179" s="1275">
        <v>1</v>
      </c>
      <c r="AF179" s="1167"/>
      <c r="AG179" s="1274">
        <v>1</v>
      </c>
      <c r="AH179" s="1162"/>
      <c r="AI179" s="1276">
        <v>1</v>
      </c>
      <c r="AJ179" s="1267"/>
      <c r="AK179" s="1277">
        <v>1</v>
      </c>
      <c r="AL179" s="1270"/>
      <c r="AM179" s="1278">
        <v>1</v>
      </c>
      <c r="AN179" s="1267"/>
      <c r="AO179" s="522">
        <f t="shared" si="65"/>
        <v>13.5</v>
      </c>
      <c r="AP179" s="524">
        <f t="shared" si="65"/>
        <v>2.25</v>
      </c>
      <c r="AQ179" s="525">
        <f t="shared" si="66"/>
        <v>11.25</v>
      </c>
      <c r="AR179" s="639" t="s">
        <v>42</v>
      </c>
      <c r="AS179" s="349"/>
    </row>
    <row r="180" spans="1:45" s="150" customFormat="1" ht="17" hidden="1" customHeight="1" thickBot="1">
      <c r="A180" s="140"/>
      <c r="B180" s="737"/>
      <c r="C180" s="694" t="s">
        <v>252</v>
      </c>
      <c r="D180" s="695" t="s">
        <v>283</v>
      </c>
      <c r="E180" s="696" t="s">
        <v>40</v>
      </c>
      <c r="F180" s="736" t="s">
        <v>355</v>
      </c>
      <c r="G180" s="736"/>
      <c r="H180" s="790">
        <v>45733</v>
      </c>
      <c r="I180" s="816">
        <v>46142</v>
      </c>
      <c r="J180" s="597"/>
      <c r="K180" s="742"/>
      <c r="L180" s="742"/>
      <c r="M180" s="762">
        <v>0.5</v>
      </c>
      <c r="N180" s="592">
        <f t="shared" si="90"/>
        <v>0.5</v>
      </c>
      <c r="O180" s="1049">
        <v>1</v>
      </c>
      <c r="P180" s="40">
        <f t="shared" si="91"/>
        <v>1</v>
      </c>
      <c r="Q180" s="1279">
        <v>1</v>
      </c>
      <c r="R180" s="779">
        <f t="shared" si="92"/>
        <v>0.75</v>
      </c>
      <c r="S180" s="1280">
        <v>1</v>
      </c>
      <c r="T180" s="1281"/>
      <c r="U180" s="1282">
        <v>1</v>
      </c>
      <c r="V180" s="1281"/>
      <c r="W180" s="1282">
        <v>1</v>
      </c>
      <c r="X180" s="1281"/>
      <c r="Y180" s="1282">
        <v>1</v>
      </c>
      <c r="Z180" s="1281"/>
      <c r="AA180" s="1282">
        <v>1</v>
      </c>
      <c r="AB180" s="1281"/>
      <c r="AC180" s="1282">
        <v>1</v>
      </c>
      <c r="AD180" s="1283"/>
      <c r="AE180" s="1284">
        <v>1</v>
      </c>
      <c r="AF180" s="1285"/>
      <c r="AG180" s="1282">
        <v>1</v>
      </c>
      <c r="AH180" s="1286"/>
      <c r="AI180" s="1287">
        <v>1</v>
      </c>
      <c r="AJ180" s="1288"/>
      <c r="AK180" s="1289">
        <v>1</v>
      </c>
      <c r="AL180" s="1290"/>
      <c r="AM180" s="1291">
        <v>1</v>
      </c>
      <c r="AN180" s="1288"/>
      <c r="AO180" s="689">
        <f t="shared" si="65"/>
        <v>13.5</v>
      </c>
      <c r="AP180" s="690">
        <f t="shared" si="65"/>
        <v>2.25</v>
      </c>
      <c r="AQ180" s="691">
        <f t="shared" si="66"/>
        <v>11.25</v>
      </c>
      <c r="AR180" s="639" t="s">
        <v>283</v>
      </c>
      <c r="AS180" s="349"/>
    </row>
    <row r="181" spans="1:45" s="150" customFormat="1" ht="17" hidden="1" customHeight="1">
      <c r="A181" s="140"/>
      <c r="B181" s="737"/>
      <c r="C181" s="271" t="s">
        <v>253</v>
      </c>
      <c r="D181" s="57" t="s">
        <v>42</v>
      </c>
      <c r="E181" s="532" t="s">
        <v>40</v>
      </c>
      <c r="F181" s="746" t="s">
        <v>356</v>
      </c>
      <c r="G181" s="770"/>
      <c r="H181" s="774">
        <v>45720</v>
      </c>
      <c r="I181" s="815">
        <v>46142</v>
      </c>
      <c r="J181" s="366"/>
      <c r="K181" s="757"/>
      <c r="L181" s="757"/>
      <c r="M181" s="739">
        <v>1</v>
      </c>
      <c r="N181" s="383">
        <f t="shared" si="78"/>
        <v>1</v>
      </c>
      <c r="O181" s="741">
        <v>1</v>
      </c>
      <c r="P181" s="49">
        <f t="shared" si="91"/>
        <v>1</v>
      </c>
      <c r="Q181" s="1160">
        <v>1</v>
      </c>
      <c r="R181" s="548">
        <f t="shared" si="92"/>
        <v>0.75</v>
      </c>
      <c r="S181" s="1158">
        <v>1</v>
      </c>
      <c r="T181" s="1155"/>
      <c r="U181" s="1159">
        <v>1</v>
      </c>
      <c r="V181" s="1155"/>
      <c r="W181" s="1159">
        <v>1</v>
      </c>
      <c r="X181" s="1155"/>
      <c r="Y181" s="1159">
        <v>1</v>
      </c>
      <c r="Z181" s="1155"/>
      <c r="AA181" s="1159">
        <v>1</v>
      </c>
      <c r="AB181" s="1155"/>
      <c r="AC181" s="1159">
        <v>1</v>
      </c>
      <c r="AD181" s="1156"/>
      <c r="AE181" s="1157">
        <v>1</v>
      </c>
      <c r="AF181" s="1292"/>
      <c r="AG181" s="1159">
        <v>1</v>
      </c>
      <c r="AH181" s="1153"/>
      <c r="AI181" s="1160">
        <v>1</v>
      </c>
      <c r="AJ181" s="1264"/>
      <c r="AK181" s="1293">
        <v>1</v>
      </c>
      <c r="AL181" s="1266"/>
      <c r="AM181" s="1294">
        <v>1</v>
      </c>
      <c r="AN181" s="1264"/>
      <c r="AO181" s="511">
        <f t="shared" si="65"/>
        <v>14</v>
      </c>
      <c r="AP181" s="524">
        <f t="shared" si="65"/>
        <v>2.75</v>
      </c>
      <c r="AQ181" s="513">
        <f t="shared" si="66"/>
        <v>11.25</v>
      </c>
      <c r="AR181" s="639" t="s">
        <v>42</v>
      </c>
      <c r="AS181" s="349"/>
    </row>
    <row r="182" spans="1:45" s="150" customFormat="1" ht="17" hidden="1" customHeight="1">
      <c r="A182" s="140"/>
      <c r="B182" s="737"/>
      <c r="C182" s="169" t="s">
        <v>190</v>
      </c>
      <c r="D182" s="30" t="s">
        <v>13</v>
      </c>
      <c r="E182" s="446" t="s">
        <v>40</v>
      </c>
      <c r="F182" s="828" t="s">
        <v>584</v>
      </c>
      <c r="G182" s="771"/>
      <c r="H182" s="775">
        <v>45740</v>
      </c>
      <c r="I182" s="775">
        <v>46112</v>
      </c>
      <c r="J182" s="366"/>
      <c r="K182" s="757"/>
      <c r="L182" s="757"/>
      <c r="M182" s="739">
        <v>0.25</v>
      </c>
      <c r="N182" s="383">
        <f t="shared" si="78"/>
        <v>0.25</v>
      </c>
      <c r="O182" s="740">
        <v>0.8</v>
      </c>
      <c r="P182" s="53">
        <f t="shared" si="91"/>
        <v>0.8</v>
      </c>
      <c r="Q182" s="1153">
        <v>1</v>
      </c>
      <c r="R182" s="557">
        <f t="shared" si="92"/>
        <v>0.75</v>
      </c>
      <c r="S182" s="1292">
        <v>1</v>
      </c>
      <c r="T182" s="1155"/>
      <c r="U182" s="1155">
        <v>1</v>
      </c>
      <c r="V182" s="1155"/>
      <c r="W182" s="1155">
        <v>1</v>
      </c>
      <c r="X182" s="1155"/>
      <c r="Y182" s="1155">
        <v>1</v>
      </c>
      <c r="Z182" s="1155"/>
      <c r="AA182" s="1155">
        <v>1</v>
      </c>
      <c r="AB182" s="1155"/>
      <c r="AC182" s="1155">
        <v>1</v>
      </c>
      <c r="AD182" s="1156"/>
      <c r="AE182" s="1295">
        <v>1</v>
      </c>
      <c r="AF182" s="1292"/>
      <c r="AG182" s="1155">
        <v>1</v>
      </c>
      <c r="AH182" s="1153"/>
      <c r="AI182" s="1153">
        <v>1</v>
      </c>
      <c r="AJ182" s="1264"/>
      <c r="AK182" s="1265">
        <v>1</v>
      </c>
      <c r="AL182" s="1266"/>
      <c r="AM182" s="1266"/>
      <c r="AN182" s="1264"/>
      <c r="AO182" s="522">
        <f t="shared" si="65"/>
        <v>12.05</v>
      </c>
      <c r="AP182" s="524">
        <f t="shared" si="65"/>
        <v>1.8</v>
      </c>
      <c r="AQ182" s="525">
        <f t="shared" si="66"/>
        <v>10.25</v>
      </c>
      <c r="AR182" s="639"/>
      <c r="AS182" s="349"/>
    </row>
    <row r="183" spans="1:45" s="150" customFormat="1" ht="17" hidden="1" customHeight="1" thickBot="1">
      <c r="A183" s="140"/>
      <c r="B183" s="737"/>
      <c r="C183" s="169" t="s">
        <v>190</v>
      </c>
      <c r="D183" s="30" t="s">
        <v>13</v>
      </c>
      <c r="E183" s="446" t="s">
        <v>40</v>
      </c>
      <c r="F183" s="828" t="s">
        <v>579</v>
      </c>
      <c r="G183" s="771"/>
      <c r="H183" s="775">
        <v>45726</v>
      </c>
      <c r="I183" s="775">
        <v>45808</v>
      </c>
      <c r="J183" s="29"/>
      <c r="K183" s="734"/>
      <c r="L183" s="734"/>
      <c r="M183" s="759">
        <v>0.75</v>
      </c>
      <c r="N183" s="1048">
        <f>2/20</f>
        <v>0.1</v>
      </c>
      <c r="O183" s="594">
        <v>1</v>
      </c>
      <c r="P183" s="53">
        <f t="shared" si="91"/>
        <v>1</v>
      </c>
      <c r="Q183" s="1162">
        <v>1</v>
      </c>
      <c r="R183" s="557">
        <f t="shared" si="92"/>
        <v>0.75</v>
      </c>
      <c r="S183" s="1167"/>
      <c r="T183" s="1164"/>
      <c r="U183" s="1164"/>
      <c r="V183" s="1164"/>
      <c r="W183" s="1164"/>
      <c r="X183" s="1164"/>
      <c r="Y183" s="1164"/>
      <c r="Z183" s="1164"/>
      <c r="AA183" s="1164"/>
      <c r="AB183" s="1164"/>
      <c r="AC183" s="1164"/>
      <c r="AD183" s="1268"/>
      <c r="AE183" s="1166"/>
      <c r="AF183" s="1167"/>
      <c r="AG183" s="1164"/>
      <c r="AH183" s="1162"/>
      <c r="AI183" s="1162"/>
      <c r="AJ183" s="1267"/>
      <c r="AK183" s="1269"/>
      <c r="AL183" s="1270"/>
      <c r="AM183" s="1270"/>
      <c r="AN183" s="1267"/>
      <c r="AO183" s="522">
        <f t="shared" si="65"/>
        <v>2.75</v>
      </c>
      <c r="AP183" s="524">
        <f t="shared" si="65"/>
        <v>1.85</v>
      </c>
      <c r="AQ183" s="525">
        <f t="shared" si="66"/>
        <v>0.89999999999999991</v>
      </c>
      <c r="AR183" s="639" t="s">
        <v>42</v>
      </c>
      <c r="AS183" s="349"/>
    </row>
    <row r="184" spans="1:45" s="150" customFormat="1" ht="17" hidden="1" customHeight="1">
      <c r="A184" s="140"/>
      <c r="B184" s="1096"/>
      <c r="C184" s="1115" t="s">
        <v>190</v>
      </c>
      <c r="D184" s="1116" t="s">
        <v>21</v>
      </c>
      <c r="E184" s="1118" t="s">
        <v>40</v>
      </c>
      <c r="F184" s="1119" t="s">
        <v>609</v>
      </c>
      <c r="G184" s="1106" t="s">
        <v>628</v>
      </c>
      <c r="H184" s="775">
        <v>45726</v>
      </c>
      <c r="I184" s="775">
        <v>45757</v>
      </c>
      <c r="J184" s="29"/>
      <c r="K184" s="734"/>
      <c r="L184" s="734"/>
      <c r="M184" s="759">
        <v>0.75</v>
      </c>
      <c r="N184" s="1048">
        <f>2/20</f>
        <v>0.1</v>
      </c>
      <c r="O184" s="594">
        <v>0.3</v>
      </c>
      <c r="P184" s="53">
        <f t="shared" si="91"/>
        <v>0.3</v>
      </c>
      <c r="Q184" s="1270"/>
      <c r="R184" s="1267"/>
      <c r="S184" s="1167"/>
      <c r="T184" s="1164"/>
      <c r="U184" s="1164"/>
      <c r="V184" s="1164"/>
      <c r="W184" s="1164"/>
      <c r="X184" s="1164"/>
      <c r="Y184" s="1164"/>
      <c r="Z184" s="1164"/>
      <c r="AA184" s="1164"/>
      <c r="AB184" s="1164"/>
      <c r="AC184" s="1164"/>
      <c r="AD184" s="1268"/>
      <c r="AE184" s="1166"/>
      <c r="AF184" s="1167"/>
      <c r="AG184" s="1164"/>
      <c r="AH184" s="1162"/>
      <c r="AI184" s="1162"/>
      <c r="AJ184" s="1267"/>
      <c r="AK184" s="1269"/>
      <c r="AL184" s="1270"/>
      <c r="AM184" s="1270"/>
      <c r="AN184" s="1267"/>
      <c r="AO184" s="522">
        <f t="shared" si="65"/>
        <v>1.05</v>
      </c>
      <c r="AP184" s="524">
        <f t="shared" si="65"/>
        <v>0.4</v>
      </c>
      <c r="AQ184" s="525">
        <f t="shared" si="66"/>
        <v>0.65</v>
      </c>
      <c r="AR184" s="639" t="s">
        <v>42</v>
      </c>
      <c r="AS184" s="349"/>
    </row>
    <row r="185" spans="1:45" s="150" customFormat="1" ht="17" hidden="1" customHeight="1">
      <c r="A185" s="140"/>
      <c r="B185" s="737"/>
      <c r="C185" s="169" t="s">
        <v>190</v>
      </c>
      <c r="D185" s="30" t="s">
        <v>13</v>
      </c>
      <c r="E185" s="446" t="s">
        <v>40</v>
      </c>
      <c r="F185" s="1091" t="s">
        <v>614</v>
      </c>
      <c r="G185" s="830" t="s">
        <v>687</v>
      </c>
      <c r="H185" s="924">
        <v>45763</v>
      </c>
      <c r="I185" s="924">
        <v>46080</v>
      </c>
      <c r="J185" s="29"/>
      <c r="K185" s="734"/>
      <c r="L185" s="734"/>
      <c r="M185" s="759"/>
      <c r="N185" s="1048"/>
      <c r="O185" s="958">
        <v>0</v>
      </c>
      <c r="P185" s="765">
        <v>0.25</v>
      </c>
      <c r="Q185" s="983">
        <v>1</v>
      </c>
      <c r="R185" s="557">
        <f t="shared" ref="R185:R186" si="93">$Q$1*Q185</f>
        <v>0.75</v>
      </c>
      <c r="S185" s="988">
        <v>1</v>
      </c>
      <c r="T185" s="984"/>
      <c r="U185" s="984">
        <v>1</v>
      </c>
      <c r="V185" s="984"/>
      <c r="W185" s="984">
        <v>1</v>
      </c>
      <c r="X185" s="984"/>
      <c r="Y185" s="984">
        <v>1</v>
      </c>
      <c r="Z185" s="984"/>
      <c r="AA185" s="984">
        <v>1</v>
      </c>
      <c r="AB185" s="984"/>
      <c r="AC185" s="985">
        <v>1</v>
      </c>
      <c r="AD185" s="986"/>
      <c r="AE185" s="987">
        <v>1</v>
      </c>
      <c r="AF185" s="988"/>
      <c r="AG185" s="984">
        <v>1</v>
      </c>
      <c r="AH185" s="985"/>
      <c r="AI185" s="985">
        <v>1</v>
      </c>
      <c r="AJ185" s="1267"/>
      <c r="AK185" s="1269"/>
      <c r="AL185" s="1270"/>
      <c r="AM185" s="1270"/>
      <c r="AN185" s="1267"/>
      <c r="AO185" s="522">
        <f t="shared" si="65"/>
        <v>10</v>
      </c>
      <c r="AP185" s="524">
        <f t="shared" si="65"/>
        <v>1</v>
      </c>
      <c r="AQ185" s="525">
        <f t="shared" si="66"/>
        <v>9</v>
      </c>
      <c r="AR185" s="639"/>
      <c r="AS185" s="349"/>
    </row>
    <row r="186" spans="1:45" s="150" customFormat="1" ht="17" hidden="1" customHeight="1">
      <c r="A186" s="140"/>
      <c r="B186" s="737"/>
      <c r="C186" s="169" t="s">
        <v>190</v>
      </c>
      <c r="D186" s="30" t="s">
        <v>21</v>
      </c>
      <c r="E186" s="446" t="s">
        <v>40</v>
      </c>
      <c r="F186" s="828" t="s">
        <v>615</v>
      </c>
      <c r="G186" s="772"/>
      <c r="H186" s="775">
        <v>45768</v>
      </c>
      <c r="I186" s="775">
        <v>45818</v>
      </c>
      <c r="J186" s="29"/>
      <c r="K186" s="734"/>
      <c r="L186" s="734"/>
      <c r="M186" s="759"/>
      <c r="N186" s="1048"/>
      <c r="O186" s="75">
        <v>0.3</v>
      </c>
      <c r="P186" s="53"/>
      <c r="Q186" s="1270">
        <v>1</v>
      </c>
      <c r="R186" s="557">
        <f t="shared" si="93"/>
        <v>0.75</v>
      </c>
      <c r="S186" s="1167"/>
      <c r="T186" s="1164"/>
      <c r="U186" s="1164">
        <v>0.3</v>
      </c>
      <c r="V186" s="1164"/>
      <c r="W186" s="1164"/>
      <c r="X186" s="1164"/>
      <c r="Y186" s="1164"/>
      <c r="Z186" s="1164"/>
      <c r="AA186" s="1164"/>
      <c r="AB186" s="1164"/>
      <c r="AC186" s="1162"/>
      <c r="AD186" s="1268"/>
      <c r="AE186" s="1166"/>
      <c r="AF186" s="1167"/>
      <c r="AG186" s="1164"/>
      <c r="AH186" s="1162"/>
      <c r="AI186" s="1162"/>
      <c r="AJ186" s="1267"/>
      <c r="AK186" s="1269"/>
      <c r="AL186" s="1270"/>
      <c r="AM186" s="1270"/>
      <c r="AN186" s="1267"/>
      <c r="AO186" s="522">
        <f t="shared" si="65"/>
        <v>1.6</v>
      </c>
      <c r="AP186" s="524">
        <f t="shared" si="65"/>
        <v>0.75</v>
      </c>
      <c r="AQ186" s="525">
        <f t="shared" si="66"/>
        <v>0.85000000000000009</v>
      </c>
      <c r="AR186" s="639"/>
      <c r="AS186" s="349"/>
    </row>
    <row r="187" spans="1:45" s="150" customFormat="1" ht="17" hidden="1" customHeight="1">
      <c r="A187" s="140"/>
      <c r="B187" s="737"/>
      <c r="C187" s="169" t="s">
        <v>190</v>
      </c>
      <c r="D187" s="30" t="s">
        <v>42</v>
      </c>
      <c r="E187" s="446" t="s">
        <v>40</v>
      </c>
      <c r="F187" s="1091" t="s">
        <v>573</v>
      </c>
      <c r="G187" s="830" t="s">
        <v>650</v>
      </c>
      <c r="H187" s="924">
        <v>45720</v>
      </c>
      <c r="I187" s="924">
        <v>45838</v>
      </c>
      <c r="J187" s="676"/>
      <c r="K187" s="751"/>
      <c r="L187" s="751"/>
      <c r="M187" s="745"/>
      <c r="N187" s="495">
        <v>0.25</v>
      </c>
      <c r="O187" s="75"/>
      <c r="P187" s="765">
        <f>$O$1*$P$1</f>
        <v>1</v>
      </c>
      <c r="Q187" s="1126">
        <v>0</v>
      </c>
      <c r="R187" s="767">
        <f>R$1*Q1</f>
        <v>0.75</v>
      </c>
      <c r="S187" s="1364">
        <v>0</v>
      </c>
      <c r="T187" s="1164"/>
      <c r="U187" s="1164"/>
      <c r="V187" s="1164"/>
      <c r="W187" s="1164"/>
      <c r="X187" s="1164"/>
      <c r="Y187" s="1164"/>
      <c r="Z187" s="1164"/>
      <c r="AA187" s="1296"/>
      <c r="AB187" s="1296"/>
      <c r="AC187" s="1297"/>
      <c r="AD187" s="1298"/>
      <c r="AE187" s="1166"/>
      <c r="AF187" s="1167"/>
      <c r="AG187" s="1164"/>
      <c r="AH187" s="1162"/>
      <c r="AI187" s="1162"/>
      <c r="AJ187" s="1267"/>
      <c r="AK187" s="1269"/>
      <c r="AL187" s="1270"/>
      <c r="AM187" s="1270"/>
      <c r="AN187" s="1267"/>
      <c r="AO187" s="522">
        <f t="shared" si="65"/>
        <v>0</v>
      </c>
      <c r="AP187" s="524">
        <f t="shared" si="65"/>
        <v>2</v>
      </c>
      <c r="AQ187" s="525">
        <f t="shared" si="66"/>
        <v>-2</v>
      </c>
      <c r="AR187" s="639" t="s">
        <v>42</v>
      </c>
      <c r="AS187" s="349"/>
    </row>
    <row r="188" spans="1:45" s="150" customFormat="1" ht="17" hidden="1" customHeight="1">
      <c r="A188" s="140"/>
      <c r="B188" s="737"/>
      <c r="C188" s="858" t="s">
        <v>558</v>
      </c>
      <c r="D188" s="26" t="s">
        <v>561</v>
      </c>
      <c r="E188" s="908" t="s">
        <v>559</v>
      </c>
      <c r="F188" s="895" t="s">
        <v>302</v>
      </c>
      <c r="G188" s="773"/>
      <c r="H188" s="735">
        <v>45992</v>
      </c>
      <c r="I188" s="775">
        <v>46112</v>
      </c>
      <c r="J188" s="29"/>
      <c r="K188" s="734"/>
      <c r="L188" s="734"/>
      <c r="M188" s="583"/>
      <c r="N188" s="374"/>
      <c r="O188" s="75"/>
      <c r="P188" s="587"/>
      <c r="Q188" s="1162"/>
      <c r="R188" s="1268"/>
      <c r="S188" s="1167"/>
      <c r="T188" s="1164"/>
      <c r="U188" s="1164"/>
      <c r="V188" s="1164"/>
      <c r="W188" s="1164"/>
      <c r="X188" s="1164"/>
      <c r="Y188" s="1164"/>
      <c r="Z188" s="1164"/>
      <c r="AA188" s="1164"/>
      <c r="AB188" s="1164"/>
      <c r="AC188" s="1164"/>
      <c r="AD188" s="1268"/>
      <c r="AE188" s="1166">
        <v>1</v>
      </c>
      <c r="AF188" s="1167"/>
      <c r="AG188" s="1164">
        <v>1</v>
      </c>
      <c r="AH188" s="1162"/>
      <c r="AI188" s="1162">
        <v>1</v>
      </c>
      <c r="AJ188" s="1267"/>
      <c r="AK188" s="1269">
        <v>1</v>
      </c>
      <c r="AL188" s="1270"/>
      <c r="AM188" s="1270"/>
      <c r="AN188" s="1267"/>
      <c r="AO188" s="522">
        <f t="shared" si="65"/>
        <v>4</v>
      </c>
      <c r="AP188" s="524">
        <f t="shared" si="65"/>
        <v>0</v>
      </c>
      <c r="AQ188" s="525">
        <f t="shared" si="66"/>
        <v>4</v>
      </c>
      <c r="AR188" s="639"/>
      <c r="AS188" s="349"/>
    </row>
    <row r="189" spans="1:45" s="150" customFormat="1" ht="17" hidden="1" customHeight="1" thickBot="1">
      <c r="A189" s="140"/>
      <c r="B189" s="737"/>
      <c r="C189" s="909" t="s">
        <v>252</v>
      </c>
      <c r="D189" s="910" t="s">
        <v>560</v>
      </c>
      <c r="E189" s="860" t="s">
        <v>40</v>
      </c>
      <c r="F189" s="915" t="s">
        <v>302</v>
      </c>
      <c r="G189" s="599" t="s">
        <v>638</v>
      </c>
      <c r="H189" s="861">
        <v>45839</v>
      </c>
      <c r="I189" s="816">
        <v>46112</v>
      </c>
      <c r="J189" s="597"/>
      <c r="K189" s="742"/>
      <c r="L189" s="742"/>
      <c r="M189" s="590"/>
      <c r="N189" s="595"/>
      <c r="O189" s="1050"/>
      <c r="P189" s="591"/>
      <c r="Q189" s="1286"/>
      <c r="R189" s="1283"/>
      <c r="S189" s="1285"/>
      <c r="T189" s="1281"/>
      <c r="U189" s="1281">
        <v>1</v>
      </c>
      <c r="V189" s="1281"/>
      <c r="W189" s="1281">
        <v>1</v>
      </c>
      <c r="X189" s="1281"/>
      <c r="Y189" s="1281">
        <v>1</v>
      </c>
      <c r="Z189" s="1281"/>
      <c r="AA189" s="1281">
        <v>1</v>
      </c>
      <c r="AB189" s="1281"/>
      <c r="AC189" s="1281">
        <v>1</v>
      </c>
      <c r="AD189" s="1283"/>
      <c r="AE189" s="1299">
        <v>1</v>
      </c>
      <c r="AF189" s="1285"/>
      <c r="AG189" s="1281">
        <v>1</v>
      </c>
      <c r="AH189" s="1286"/>
      <c r="AI189" s="1286">
        <v>1</v>
      </c>
      <c r="AJ189" s="1288"/>
      <c r="AK189" s="1300">
        <v>1</v>
      </c>
      <c r="AL189" s="1290"/>
      <c r="AM189" s="1290"/>
      <c r="AN189" s="1288"/>
      <c r="AO189" s="689">
        <f t="shared" si="65"/>
        <v>9</v>
      </c>
      <c r="AP189" s="690">
        <f t="shared" si="65"/>
        <v>0</v>
      </c>
      <c r="AQ189" s="691">
        <f t="shared" si="66"/>
        <v>9</v>
      </c>
      <c r="AR189" s="639"/>
      <c r="AS189" s="349"/>
    </row>
    <row r="190" spans="1:45" s="150" customFormat="1" ht="17" hidden="1" customHeight="1">
      <c r="A190" s="140"/>
      <c r="B190" s="737"/>
      <c r="C190" s="911" t="s">
        <v>254</v>
      </c>
      <c r="D190" s="6" t="s">
        <v>42</v>
      </c>
      <c r="E190" s="912" t="s">
        <v>40</v>
      </c>
      <c r="F190" s="916" t="s">
        <v>302</v>
      </c>
      <c r="G190" s="688"/>
      <c r="H190" s="600">
        <v>45839</v>
      </c>
      <c r="I190" s="735">
        <v>46112</v>
      </c>
      <c r="J190" s="366"/>
      <c r="K190" s="738"/>
      <c r="L190" s="738"/>
      <c r="M190" s="738"/>
      <c r="N190" s="383"/>
      <c r="O190" s="1051"/>
      <c r="P190" s="1052"/>
      <c r="Q190" s="1160"/>
      <c r="R190" s="1301"/>
      <c r="S190" s="1292"/>
      <c r="T190" s="1155"/>
      <c r="U190" s="1155">
        <v>1</v>
      </c>
      <c r="V190" s="1155"/>
      <c r="W190" s="1155">
        <v>1</v>
      </c>
      <c r="X190" s="1155"/>
      <c r="Y190" s="1155">
        <v>1</v>
      </c>
      <c r="Z190" s="1155"/>
      <c r="AA190" s="1155">
        <v>1</v>
      </c>
      <c r="AB190" s="1155"/>
      <c r="AC190" s="1155">
        <v>1</v>
      </c>
      <c r="AD190" s="1156"/>
      <c r="AE190" s="1295">
        <v>1</v>
      </c>
      <c r="AF190" s="1292"/>
      <c r="AG190" s="1155">
        <v>1</v>
      </c>
      <c r="AH190" s="1153"/>
      <c r="AI190" s="1153">
        <v>1</v>
      </c>
      <c r="AJ190" s="1264"/>
      <c r="AK190" s="1265">
        <v>1</v>
      </c>
      <c r="AL190" s="1266"/>
      <c r="AM190" s="1302"/>
      <c r="AN190" s="1264"/>
      <c r="AO190" s="522">
        <f t="shared" si="65"/>
        <v>9</v>
      </c>
      <c r="AP190" s="524">
        <f t="shared" si="65"/>
        <v>0</v>
      </c>
      <c r="AQ190" s="525">
        <f t="shared" si="66"/>
        <v>9</v>
      </c>
      <c r="AR190" s="639" t="s">
        <v>42</v>
      </c>
      <c r="AS190" s="349"/>
    </row>
    <row r="191" spans="1:45" s="150" customFormat="1" ht="17" hidden="1" customHeight="1">
      <c r="A191" s="140"/>
      <c r="B191" s="737"/>
      <c r="C191" s="272" t="s">
        <v>254</v>
      </c>
      <c r="D191" s="2" t="s">
        <v>283</v>
      </c>
      <c r="E191" s="533" t="s">
        <v>40</v>
      </c>
      <c r="F191" s="828" t="s">
        <v>302</v>
      </c>
      <c r="G191" s="618"/>
      <c r="H191" s="600">
        <v>45839</v>
      </c>
      <c r="I191" s="735">
        <v>46112</v>
      </c>
      <c r="J191" s="29"/>
      <c r="K191" s="219"/>
      <c r="L191" s="219"/>
      <c r="M191" s="219"/>
      <c r="N191" s="383"/>
      <c r="O191" s="75"/>
      <c r="P191" s="379"/>
      <c r="Q191" s="1162"/>
      <c r="R191" s="1268"/>
      <c r="S191" s="1167"/>
      <c r="T191" s="1164"/>
      <c r="U191" s="1164">
        <v>1</v>
      </c>
      <c r="V191" s="1164"/>
      <c r="W191" s="1164">
        <v>1</v>
      </c>
      <c r="X191" s="1164"/>
      <c r="Y191" s="1164">
        <v>1</v>
      </c>
      <c r="Z191" s="1164"/>
      <c r="AA191" s="1164">
        <v>1</v>
      </c>
      <c r="AB191" s="1164"/>
      <c r="AC191" s="1164">
        <v>1</v>
      </c>
      <c r="AD191" s="1268"/>
      <c r="AE191" s="1166">
        <v>1</v>
      </c>
      <c r="AF191" s="1167"/>
      <c r="AG191" s="1164">
        <v>1</v>
      </c>
      <c r="AH191" s="1162"/>
      <c r="AI191" s="1162">
        <v>1</v>
      </c>
      <c r="AJ191" s="1267"/>
      <c r="AK191" s="1269">
        <v>1</v>
      </c>
      <c r="AL191" s="1270"/>
      <c r="AM191" s="1270"/>
      <c r="AN191" s="1267"/>
      <c r="AO191" s="522">
        <f t="shared" si="65"/>
        <v>9</v>
      </c>
      <c r="AP191" s="524">
        <f t="shared" si="65"/>
        <v>0</v>
      </c>
      <c r="AQ191" s="525">
        <f t="shared" si="66"/>
        <v>9</v>
      </c>
      <c r="AR191" s="639" t="s">
        <v>283</v>
      </c>
      <c r="AS191" s="349"/>
    </row>
    <row r="192" spans="1:45" s="150" customFormat="1" ht="17" hidden="1" customHeight="1">
      <c r="A192" s="140"/>
      <c r="B192" s="737"/>
      <c r="C192" s="272" t="s">
        <v>255</v>
      </c>
      <c r="D192" s="2" t="s">
        <v>42</v>
      </c>
      <c r="E192" s="533" t="s">
        <v>40</v>
      </c>
      <c r="F192" s="828" t="s">
        <v>302</v>
      </c>
      <c r="G192" s="618"/>
      <c r="H192" s="792">
        <v>45839</v>
      </c>
      <c r="I192" s="810">
        <v>46142</v>
      </c>
      <c r="J192" s="29"/>
      <c r="K192" s="219"/>
      <c r="L192" s="219"/>
      <c r="M192" s="219"/>
      <c r="N192" s="383"/>
      <c r="O192" s="75"/>
      <c r="P192" s="379"/>
      <c r="Q192" s="1162"/>
      <c r="R192" s="1268"/>
      <c r="S192" s="1167"/>
      <c r="T192" s="1164"/>
      <c r="U192" s="1164">
        <v>1</v>
      </c>
      <c r="V192" s="1164"/>
      <c r="W192" s="1164">
        <v>1</v>
      </c>
      <c r="X192" s="1164"/>
      <c r="Y192" s="1164">
        <v>1</v>
      </c>
      <c r="Z192" s="1164"/>
      <c r="AA192" s="1164">
        <v>1</v>
      </c>
      <c r="AB192" s="1164"/>
      <c r="AC192" s="1164">
        <v>1</v>
      </c>
      <c r="AD192" s="1268"/>
      <c r="AE192" s="1166">
        <v>1</v>
      </c>
      <c r="AF192" s="1167"/>
      <c r="AG192" s="1164">
        <v>1</v>
      </c>
      <c r="AH192" s="1162"/>
      <c r="AI192" s="1162">
        <v>1</v>
      </c>
      <c r="AJ192" s="1267"/>
      <c r="AK192" s="1269">
        <v>1</v>
      </c>
      <c r="AL192" s="1270"/>
      <c r="AM192" s="1270">
        <v>1</v>
      </c>
      <c r="AN192" s="1267"/>
      <c r="AO192" s="522">
        <f t="shared" si="65"/>
        <v>10</v>
      </c>
      <c r="AP192" s="524">
        <f t="shared" si="65"/>
        <v>0</v>
      </c>
      <c r="AQ192" s="525">
        <f t="shared" si="66"/>
        <v>10</v>
      </c>
      <c r="AR192" s="639" t="s">
        <v>42</v>
      </c>
      <c r="AS192" s="349"/>
    </row>
    <row r="193" spans="1:45" s="150" customFormat="1" ht="17" customHeight="1">
      <c r="A193" s="140"/>
      <c r="B193" s="117"/>
      <c r="C193" s="889" t="s">
        <v>622</v>
      </c>
      <c r="D193" s="891" t="s">
        <v>22</v>
      </c>
      <c r="E193" s="890" t="s">
        <v>17</v>
      </c>
      <c r="F193" s="874" t="s">
        <v>74</v>
      </c>
      <c r="G193" s="110"/>
      <c r="H193" s="836">
        <v>45810</v>
      </c>
      <c r="I193" s="837">
        <v>46112</v>
      </c>
      <c r="J193" s="360"/>
      <c r="K193" s="220"/>
      <c r="L193" s="220"/>
      <c r="M193" s="220"/>
      <c r="N193" s="900"/>
      <c r="O193" s="75"/>
      <c r="P193" s="835"/>
      <c r="Q193" s="1303"/>
      <c r="R193" s="1304"/>
      <c r="S193" s="1144">
        <v>1</v>
      </c>
      <c r="T193" s="1305"/>
      <c r="U193" s="1305">
        <v>1</v>
      </c>
      <c r="V193" s="1305"/>
      <c r="W193" s="1305">
        <v>1</v>
      </c>
      <c r="X193" s="1305"/>
      <c r="Y193" s="1305">
        <v>1</v>
      </c>
      <c r="Z193" s="1305"/>
      <c r="AA193" s="1305">
        <v>1</v>
      </c>
      <c r="AB193" s="1305"/>
      <c r="AC193" s="1305">
        <v>1</v>
      </c>
      <c r="AD193" s="1304"/>
      <c r="AE193" s="1306">
        <v>1</v>
      </c>
      <c r="AF193" s="1303"/>
      <c r="AG193" s="1303">
        <v>1</v>
      </c>
      <c r="AH193" s="1303"/>
      <c r="AI193" s="1303">
        <v>1</v>
      </c>
      <c r="AJ193" s="1307"/>
      <c r="AK193" s="1308">
        <v>1</v>
      </c>
      <c r="AL193" s="1309"/>
      <c r="AM193" s="1309"/>
      <c r="AN193" s="1307"/>
      <c r="AO193" s="522">
        <f t="shared" si="65"/>
        <v>10</v>
      </c>
      <c r="AP193" s="520">
        <f t="shared" si="65"/>
        <v>0</v>
      </c>
      <c r="AQ193" s="521">
        <f t="shared" si="66"/>
        <v>10</v>
      </c>
      <c r="AR193" s="639"/>
      <c r="AS193" s="349"/>
    </row>
    <row r="194" spans="1:45" s="150" customFormat="1" ht="17" customHeight="1" thickBot="1">
      <c r="A194" s="140"/>
      <c r="B194" s="117"/>
      <c r="C194" s="73" t="s">
        <v>622</v>
      </c>
      <c r="D194" s="30" t="s">
        <v>21</v>
      </c>
      <c r="E194" s="30" t="s">
        <v>17</v>
      </c>
      <c r="F194" s="1004" t="s">
        <v>74</v>
      </c>
      <c r="G194" s="838" t="s">
        <v>685</v>
      </c>
      <c r="H194" s="925">
        <v>45810</v>
      </c>
      <c r="I194" s="926">
        <v>46053</v>
      </c>
      <c r="J194" s="597"/>
      <c r="K194" s="592"/>
      <c r="L194" s="592"/>
      <c r="M194" s="592"/>
      <c r="N194" s="595"/>
      <c r="O194" s="290"/>
      <c r="P194" s="376"/>
      <c r="Q194" s="380"/>
      <c r="R194" s="1451"/>
      <c r="S194" s="1364">
        <v>0</v>
      </c>
      <c r="T194" s="1377"/>
      <c r="U194" s="1126">
        <v>0</v>
      </c>
      <c r="V194" s="1377"/>
      <c r="W194" s="1126">
        <v>0</v>
      </c>
      <c r="X194" s="1377"/>
      <c r="Y194" s="1126">
        <v>0</v>
      </c>
      <c r="Z194" s="1377"/>
      <c r="AA194" s="1126">
        <v>0</v>
      </c>
      <c r="AB194" s="1377"/>
      <c r="AC194" s="1126">
        <v>0</v>
      </c>
      <c r="AD194" s="1378"/>
      <c r="AE194" s="1126">
        <v>0</v>
      </c>
      <c r="AF194" s="1379"/>
      <c r="AG194" s="1126">
        <v>0</v>
      </c>
      <c r="AH194" s="1382"/>
      <c r="AI194" s="1310"/>
      <c r="AJ194" s="593"/>
      <c r="AK194" s="1311"/>
      <c r="AL194" s="592"/>
      <c r="AM194" s="1223"/>
      <c r="AN194" s="593"/>
      <c r="AO194" s="517">
        <f t="shared" si="65"/>
        <v>0</v>
      </c>
      <c r="AP194" s="524">
        <f t="shared" si="65"/>
        <v>0</v>
      </c>
      <c r="AQ194" s="525">
        <f t="shared" si="66"/>
        <v>0</v>
      </c>
      <c r="AR194" s="638"/>
      <c r="AS194" s="349"/>
    </row>
    <row r="195" spans="1:45" s="150" customFormat="1" ht="17" hidden="1" customHeight="1" thickBot="1">
      <c r="A195" s="140"/>
      <c r="B195" s="133"/>
      <c r="C195" s="492" t="s">
        <v>16</v>
      </c>
      <c r="D195" s="197"/>
      <c r="E195" s="437"/>
      <c r="F195" s="602"/>
      <c r="G195" s="602"/>
      <c r="H195" s="603"/>
      <c r="I195" s="356"/>
      <c r="J195" s="159">
        <f>SUM(J125:J157)</f>
        <v>0</v>
      </c>
      <c r="K195" s="198">
        <f t="shared" ref="K195:Q195" si="94">SUM(K125:K194)</f>
        <v>13</v>
      </c>
      <c r="L195" s="178">
        <f t="shared" si="94"/>
        <v>13.8</v>
      </c>
      <c r="M195" s="198">
        <f t="shared" si="94"/>
        <v>18.25</v>
      </c>
      <c r="N195" s="1053">
        <f t="shared" si="94"/>
        <v>20.550000000000004</v>
      </c>
      <c r="O195" s="161">
        <f t="shared" si="94"/>
        <v>22.400000000000002</v>
      </c>
      <c r="P195" s="178">
        <f t="shared" si="94"/>
        <v>26.6</v>
      </c>
      <c r="Q195" s="178">
        <f t="shared" si="94"/>
        <v>27.5</v>
      </c>
      <c r="R195" s="185"/>
      <c r="S195" s="963">
        <f>SUM(S125:S194)</f>
        <v>42.5</v>
      </c>
      <c r="T195" s="560"/>
      <c r="U195" s="560">
        <f>SUM(U125:U194)</f>
        <v>55.3</v>
      </c>
      <c r="V195" s="560"/>
      <c r="W195" s="560">
        <f>SUM(W125:W194)</f>
        <v>56</v>
      </c>
      <c r="X195" s="560"/>
      <c r="Y195" s="560">
        <f>SUM(Y125:Y194)</f>
        <v>54.2</v>
      </c>
      <c r="Z195" s="560"/>
      <c r="AA195" s="560">
        <f>SUM(AA125:AA194)</f>
        <v>54.2</v>
      </c>
      <c r="AB195" s="560"/>
      <c r="AC195" s="560">
        <f>SUM(AC125:AC194)</f>
        <v>54.2</v>
      </c>
      <c r="AD195" s="561"/>
      <c r="AE195" s="389">
        <f>SUM(AE125:AE194)</f>
        <v>54.2</v>
      </c>
      <c r="AF195" s="368"/>
      <c r="AG195" s="198">
        <f>SUM(AG125:AG194)</f>
        <v>54.2</v>
      </c>
      <c r="AH195" s="384"/>
      <c r="AI195" s="384">
        <f>SUM(AI125:AI194)</f>
        <v>52.2</v>
      </c>
      <c r="AJ195" s="372"/>
      <c r="AK195" s="389">
        <f>SUM(AK125:AK194)</f>
        <v>43.7</v>
      </c>
      <c r="AL195" s="198"/>
      <c r="AM195" s="198">
        <f>SUM(AM125:AM194)</f>
        <v>24.25</v>
      </c>
      <c r="AN195" s="372"/>
      <c r="AO195" s="514">
        <f>+SUM(AO125:AO194)</f>
        <v>626.09999999999991</v>
      </c>
      <c r="AP195" s="515">
        <f>+SUM(AP125:AP194)</f>
        <v>81.45</v>
      </c>
      <c r="AQ195" s="516">
        <f>+SUM(AQ125:AQ194)</f>
        <v>525.14999999999986</v>
      </c>
      <c r="AR195" s="648"/>
      <c r="AS195" s="349"/>
    </row>
    <row r="196" spans="1:45" s="140" customFormat="1" ht="17" hidden="1" customHeight="1">
      <c r="B196" s="1870" t="s">
        <v>67</v>
      </c>
      <c r="C196" s="200" t="s">
        <v>194</v>
      </c>
      <c r="D196" s="201" t="s">
        <v>198</v>
      </c>
      <c r="E196" s="532" t="s">
        <v>59</v>
      </c>
      <c r="F196" s="616" t="s">
        <v>567</v>
      </c>
      <c r="G196" s="616"/>
      <c r="H196" s="620">
        <v>45691</v>
      </c>
      <c r="I196" s="818">
        <v>46142</v>
      </c>
      <c r="J196" s="366"/>
      <c r="K196" s="302">
        <v>1</v>
      </c>
      <c r="L196" s="53">
        <f t="shared" ref="L196:L197" si="95">K196*$L$1</f>
        <v>1</v>
      </c>
      <c r="M196" s="302">
        <v>1</v>
      </c>
      <c r="N196" s="53">
        <f t="shared" si="78"/>
        <v>1</v>
      </c>
      <c r="O196" s="992">
        <v>1</v>
      </c>
      <c r="P196" s="53">
        <f t="shared" ref="P196" si="96">$P$1*O196</f>
        <v>1</v>
      </c>
      <c r="Q196" s="1312">
        <v>1</v>
      </c>
      <c r="R196" s="506">
        <f>$Q$1*Q196</f>
        <v>0.75</v>
      </c>
      <c r="S196" s="1313">
        <v>1</v>
      </c>
      <c r="T196" s="1314"/>
      <c r="U196" s="1314">
        <v>1</v>
      </c>
      <c r="V196" s="1314"/>
      <c r="W196" s="1314">
        <v>1</v>
      </c>
      <c r="X196" s="1314"/>
      <c r="Y196" s="1314">
        <v>1</v>
      </c>
      <c r="Z196" s="1314"/>
      <c r="AA196" s="1314">
        <v>1</v>
      </c>
      <c r="AB196" s="1314"/>
      <c r="AC196" s="1314">
        <v>1</v>
      </c>
      <c r="AD196" s="1315"/>
      <c r="AE196" s="1316">
        <v>1</v>
      </c>
      <c r="AF196" s="1317"/>
      <c r="AG196" s="1318">
        <v>1</v>
      </c>
      <c r="AH196" s="1319"/>
      <c r="AI196" s="1319">
        <v>1</v>
      </c>
      <c r="AJ196" s="1320"/>
      <c r="AK196" s="1316">
        <v>1</v>
      </c>
      <c r="AL196" s="1318"/>
      <c r="AM196" s="1318">
        <v>1</v>
      </c>
      <c r="AN196" s="1320"/>
      <c r="AO196" s="522">
        <f t="shared" ref="AO196:AP204" si="97">+K196+M196+O196+Q196+S196+U196+W196+Y196+AA196+AC196+AE196+AG196+AI196+AK196+AM196</f>
        <v>15</v>
      </c>
      <c r="AP196" s="524">
        <f t="shared" si="97"/>
        <v>3.75</v>
      </c>
      <c r="AQ196" s="525">
        <f t="shared" ref="AQ196:AQ204" si="98">AO196-AP196</f>
        <v>11.25</v>
      </c>
      <c r="AR196" s="641" t="s">
        <v>77</v>
      </c>
      <c r="AS196" s="349">
        <v>15</v>
      </c>
    </row>
    <row r="197" spans="1:45" s="140" customFormat="1" ht="17" hidden="1" customHeight="1">
      <c r="B197" s="1800"/>
      <c r="C197" s="1120" t="s">
        <v>195</v>
      </c>
      <c r="D197" s="1121" t="s">
        <v>199</v>
      </c>
      <c r="E197" s="1118" t="s">
        <v>59</v>
      </c>
      <c r="F197" s="1122" t="s">
        <v>366</v>
      </c>
      <c r="G197" s="1122" t="s">
        <v>654</v>
      </c>
      <c r="H197" s="611">
        <v>45691</v>
      </c>
      <c r="I197" s="818">
        <v>45776</v>
      </c>
      <c r="J197" s="797"/>
      <c r="K197" s="304">
        <v>1</v>
      </c>
      <c r="L197" s="53">
        <f t="shared" si="95"/>
        <v>1</v>
      </c>
      <c r="M197" s="304">
        <v>1</v>
      </c>
      <c r="N197" s="53">
        <f t="shared" si="78"/>
        <v>1</v>
      </c>
      <c r="O197" s="763">
        <v>0.5</v>
      </c>
      <c r="P197" s="673">
        <v>0.8</v>
      </c>
      <c r="Q197" s="1321"/>
      <c r="R197" s="1322"/>
      <c r="S197" s="1323"/>
      <c r="T197" s="1324"/>
      <c r="U197" s="1324"/>
      <c r="V197" s="1324"/>
      <c r="W197" s="1324"/>
      <c r="X197" s="1324"/>
      <c r="Y197" s="1324"/>
      <c r="Z197" s="1324"/>
      <c r="AA197" s="1324"/>
      <c r="AB197" s="1324"/>
      <c r="AC197" s="1324"/>
      <c r="AD197" s="1325"/>
      <c r="AE197" s="1326"/>
      <c r="AF197" s="1327"/>
      <c r="AG197" s="1328"/>
      <c r="AH197" s="1329"/>
      <c r="AI197" s="1329"/>
      <c r="AJ197" s="1330"/>
      <c r="AK197" s="1326"/>
      <c r="AL197" s="1328"/>
      <c r="AM197" s="1328"/>
      <c r="AN197" s="1330"/>
      <c r="AO197" s="522">
        <f t="shared" si="97"/>
        <v>2.5</v>
      </c>
      <c r="AP197" s="524">
        <f t="shared" si="97"/>
        <v>2.8</v>
      </c>
      <c r="AQ197" s="525">
        <f t="shared" si="98"/>
        <v>-0.29999999999999982</v>
      </c>
      <c r="AR197" s="649" t="s">
        <v>42</v>
      </c>
      <c r="AS197" s="349">
        <v>2.5</v>
      </c>
    </row>
    <row r="198" spans="1:45" s="140" customFormat="1" ht="17" hidden="1" customHeight="1">
      <c r="B198" s="1871"/>
      <c r="C198" s="202" t="s">
        <v>195</v>
      </c>
      <c r="D198" s="203" t="s">
        <v>199</v>
      </c>
      <c r="E198" s="446" t="s">
        <v>59</v>
      </c>
      <c r="F198" s="617" t="s">
        <v>607</v>
      </c>
      <c r="G198" s="791"/>
      <c r="H198" s="358">
        <v>45763</v>
      </c>
      <c r="I198" s="817">
        <v>46142</v>
      </c>
      <c r="J198" s="797"/>
      <c r="K198" s="304"/>
      <c r="L198" s="53"/>
      <c r="M198" s="304"/>
      <c r="N198" s="53"/>
      <c r="O198" s="67">
        <v>0.5</v>
      </c>
      <c r="P198" s="4">
        <v>0.25</v>
      </c>
      <c r="Q198" s="1321">
        <v>1</v>
      </c>
      <c r="R198" s="506">
        <f>$Q$1*Q198</f>
        <v>0.75</v>
      </c>
      <c r="S198" s="1323">
        <v>1</v>
      </c>
      <c r="T198" s="1324"/>
      <c r="U198" s="1324">
        <v>1</v>
      </c>
      <c r="V198" s="1324"/>
      <c r="W198" s="1324">
        <v>1</v>
      </c>
      <c r="X198" s="1324"/>
      <c r="Y198" s="1324">
        <v>1</v>
      </c>
      <c r="Z198" s="1324"/>
      <c r="AA198" s="1324">
        <v>1</v>
      </c>
      <c r="AB198" s="1324"/>
      <c r="AC198" s="1324">
        <v>1</v>
      </c>
      <c r="AD198" s="1325"/>
      <c r="AE198" s="1326">
        <v>1</v>
      </c>
      <c r="AF198" s="1327"/>
      <c r="AG198" s="1328">
        <v>1</v>
      </c>
      <c r="AH198" s="1329"/>
      <c r="AI198" s="1329">
        <v>1</v>
      </c>
      <c r="AJ198" s="1330"/>
      <c r="AK198" s="1326">
        <v>1</v>
      </c>
      <c r="AL198" s="1328"/>
      <c r="AM198" s="1328">
        <v>1</v>
      </c>
      <c r="AN198" s="1330"/>
      <c r="AO198" s="522">
        <f t="shared" si="97"/>
        <v>12.5</v>
      </c>
      <c r="AP198" s="524">
        <f t="shared" si="97"/>
        <v>1</v>
      </c>
      <c r="AQ198" s="525">
        <f t="shared" si="98"/>
        <v>11.5</v>
      </c>
      <c r="AR198" s="649" t="s">
        <v>42</v>
      </c>
      <c r="AS198" s="349">
        <v>12.5</v>
      </c>
    </row>
    <row r="199" spans="1:45" s="140" customFormat="1" ht="17" hidden="1" customHeight="1">
      <c r="B199" s="1871"/>
      <c r="C199" s="202" t="s">
        <v>195</v>
      </c>
      <c r="D199" s="203" t="s">
        <v>199</v>
      </c>
      <c r="E199" s="533" t="s">
        <v>59</v>
      </c>
      <c r="F199" s="617" t="s">
        <v>367</v>
      </c>
      <c r="G199" s="610"/>
      <c r="H199" s="619">
        <v>45810</v>
      </c>
      <c r="I199" s="800">
        <v>46081</v>
      </c>
      <c r="J199" s="797"/>
      <c r="K199" s="307"/>
      <c r="L199" s="307"/>
      <c r="M199" s="307"/>
      <c r="N199" s="53"/>
      <c r="O199" s="763"/>
      <c r="P199" s="499"/>
      <c r="Q199" s="1321"/>
      <c r="R199" s="1322"/>
      <c r="S199" s="1323">
        <v>1</v>
      </c>
      <c r="T199" s="1324"/>
      <c r="U199" s="1324">
        <v>1</v>
      </c>
      <c r="V199" s="1324"/>
      <c r="W199" s="1324">
        <v>1</v>
      </c>
      <c r="X199" s="1324"/>
      <c r="Y199" s="1324">
        <v>1</v>
      </c>
      <c r="Z199" s="1324"/>
      <c r="AA199" s="1324">
        <v>1</v>
      </c>
      <c r="AB199" s="1324"/>
      <c r="AC199" s="1324">
        <v>1</v>
      </c>
      <c r="AD199" s="1325"/>
      <c r="AE199" s="1326">
        <v>1</v>
      </c>
      <c r="AF199" s="1327"/>
      <c r="AG199" s="1328">
        <v>1</v>
      </c>
      <c r="AH199" s="1329"/>
      <c r="AI199" s="1329">
        <v>1</v>
      </c>
      <c r="AJ199" s="1330"/>
      <c r="AK199" s="1326"/>
      <c r="AL199" s="1328"/>
      <c r="AM199" s="1328"/>
      <c r="AN199" s="1330"/>
      <c r="AO199" s="522">
        <f t="shared" si="97"/>
        <v>9</v>
      </c>
      <c r="AP199" s="524">
        <f t="shared" si="97"/>
        <v>0</v>
      </c>
      <c r="AQ199" s="525">
        <f t="shared" si="98"/>
        <v>9</v>
      </c>
      <c r="AR199" s="649" t="s">
        <v>42</v>
      </c>
      <c r="AS199" s="349">
        <v>9</v>
      </c>
    </row>
    <row r="200" spans="1:45" s="140" customFormat="1" ht="17" hidden="1" customHeight="1">
      <c r="B200" s="1871"/>
      <c r="C200" s="202" t="s">
        <v>195</v>
      </c>
      <c r="D200" s="203" t="s">
        <v>199</v>
      </c>
      <c r="E200" s="446" t="s">
        <v>59</v>
      </c>
      <c r="F200" s="617" t="s">
        <v>571</v>
      </c>
      <c r="G200" s="610"/>
      <c r="H200" s="619">
        <v>45720</v>
      </c>
      <c r="I200" s="800">
        <v>46081</v>
      </c>
      <c r="J200" s="797"/>
      <c r="K200" s="304"/>
      <c r="L200" s="304"/>
      <c r="M200" s="307">
        <v>1</v>
      </c>
      <c r="N200" s="53">
        <f t="shared" si="78"/>
        <v>1</v>
      </c>
      <c r="O200" s="763">
        <v>1</v>
      </c>
      <c r="P200" s="53">
        <f t="shared" ref="P200:P202" si="99">$P$1*O200</f>
        <v>1</v>
      </c>
      <c r="Q200" s="1331">
        <v>1</v>
      </c>
      <c r="R200" s="506">
        <f t="shared" ref="R200:R202" si="100">$Q$1*Q200</f>
        <v>0.75</v>
      </c>
      <c r="S200" s="1323">
        <v>1</v>
      </c>
      <c r="T200" s="1324"/>
      <c r="U200" s="1324">
        <v>1</v>
      </c>
      <c r="V200" s="1324"/>
      <c r="W200" s="1324">
        <v>1</v>
      </c>
      <c r="X200" s="1324"/>
      <c r="Y200" s="1324">
        <v>1</v>
      </c>
      <c r="Z200" s="1324"/>
      <c r="AA200" s="1324">
        <v>1</v>
      </c>
      <c r="AB200" s="1324"/>
      <c r="AC200" s="1324">
        <v>1</v>
      </c>
      <c r="AD200" s="1325"/>
      <c r="AE200" s="1326">
        <v>1</v>
      </c>
      <c r="AF200" s="1327"/>
      <c r="AG200" s="1328">
        <v>1</v>
      </c>
      <c r="AH200" s="1329"/>
      <c r="AI200" s="1329">
        <v>1</v>
      </c>
      <c r="AJ200" s="1330"/>
      <c r="AK200" s="1326"/>
      <c r="AL200" s="1328"/>
      <c r="AM200" s="1328"/>
      <c r="AN200" s="1330"/>
      <c r="AO200" s="522">
        <f t="shared" si="97"/>
        <v>12</v>
      </c>
      <c r="AP200" s="524">
        <f t="shared" si="97"/>
        <v>2.75</v>
      </c>
      <c r="AQ200" s="525">
        <f t="shared" si="98"/>
        <v>9.25</v>
      </c>
      <c r="AR200" s="649" t="s">
        <v>42</v>
      </c>
      <c r="AS200" s="349">
        <v>12</v>
      </c>
    </row>
    <row r="201" spans="1:45" s="140" customFormat="1" ht="17" hidden="1" customHeight="1">
      <c r="B201" s="1871"/>
      <c r="C201" s="202" t="s">
        <v>196</v>
      </c>
      <c r="D201" s="203" t="s">
        <v>199</v>
      </c>
      <c r="E201" s="446" t="s">
        <v>59</v>
      </c>
      <c r="F201" s="617" t="s">
        <v>368</v>
      </c>
      <c r="G201" s="610"/>
      <c r="H201" s="619">
        <v>45691</v>
      </c>
      <c r="I201" s="817">
        <v>46142</v>
      </c>
      <c r="J201" s="29"/>
      <c r="K201" s="304">
        <v>1</v>
      </c>
      <c r="L201" s="53">
        <f t="shared" ref="L201:L202" si="101">K201*$L$1</f>
        <v>1</v>
      </c>
      <c r="M201" s="304">
        <v>1</v>
      </c>
      <c r="N201" s="53">
        <f t="shared" si="78"/>
        <v>1</v>
      </c>
      <c r="O201" s="763">
        <v>1</v>
      </c>
      <c r="P201" s="53">
        <f t="shared" si="99"/>
        <v>1</v>
      </c>
      <c r="Q201" s="1321">
        <v>1</v>
      </c>
      <c r="R201" s="506">
        <f t="shared" si="100"/>
        <v>0.75</v>
      </c>
      <c r="S201" s="1323">
        <v>1</v>
      </c>
      <c r="T201" s="1324"/>
      <c r="U201" s="1324">
        <v>1</v>
      </c>
      <c r="V201" s="1324"/>
      <c r="W201" s="1324">
        <v>1</v>
      </c>
      <c r="X201" s="1324"/>
      <c r="Y201" s="1324">
        <v>1</v>
      </c>
      <c r="Z201" s="1324"/>
      <c r="AA201" s="1324">
        <v>1</v>
      </c>
      <c r="AB201" s="1324"/>
      <c r="AC201" s="1324">
        <v>1</v>
      </c>
      <c r="AD201" s="1325"/>
      <c r="AE201" s="1326">
        <v>1</v>
      </c>
      <c r="AF201" s="1327"/>
      <c r="AG201" s="1328">
        <v>1</v>
      </c>
      <c r="AH201" s="1329"/>
      <c r="AI201" s="1329">
        <v>1</v>
      </c>
      <c r="AJ201" s="1330"/>
      <c r="AK201" s="1326">
        <v>1</v>
      </c>
      <c r="AL201" s="1328"/>
      <c r="AM201" s="1328">
        <v>1</v>
      </c>
      <c r="AN201" s="1330"/>
      <c r="AO201" s="522">
        <f t="shared" si="97"/>
        <v>15</v>
      </c>
      <c r="AP201" s="524">
        <f t="shared" si="97"/>
        <v>3.75</v>
      </c>
      <c r="AQ201" s="525">
        <f t="shared" si="98"/>
        <v>11.25</v>
      </c>
      <c r="AR201" s="638" t="s">
        <v>42</v>
      </c>
      <c r="AS201" s="349">
        <v>15</v>
      </c>
    </row>
    <row r="202" spans="1:45" s="140" customFormat="1" ht="17" hidden="1" customHeight="1">
      <c r="B202" s="1871"/>
      <c r="C202" s="202" t="s">
        <v>197</v>
      </c>
      <c r="D202" s="203" t="s">
        <v>198</v>
      </c>
      <c r="E202" s="446" t="s">
        <v>59</v>
      </c>
      <c r="F202" s="610" t="s">
        <v>369</v>
      </c>
      <c r="G202" s="610"/>
      <c r="H202" s="619">
        <v>45691</v>
      </c>
      <c r="I202" s="817">
        <v>46142</v>
      </c>
      <c r="J202" s="797"/>
      <c r="K202" s="304">
        <v>1</v>
      </c>
      <c r="L202" s="53">
        <f t="shared" si="101"/>
        <v>1</v>
      </c>
      <c r="M202" s="304">
        <v>1</v>
      </c>
      <c r="N202" s="53">
        <f t="shared" si="78"/>
        <v>1</v>
      </c>
      <c r="O202" s="763">
        <v>1</v>
      </c>
      <c r="P202" s="53">
        <f t="shared" si="99"/>
        <v>1</v>
      </c>
      <c r="Q202" s="1321">
        <v>1</v>
      </c>
      <c r="R202" s="506">
        <f t="shared" si="100"/>
        <v>0.75</v>
      </c>
      <c r="S202" s="1323">
        <v>1</v>
      </c>
      <c r="T202" s="1324"/>
      <c r="U202" s="1324">
        <v>1</v>
      </c>
      <c r="V202" s="1324"/>
      <c r="W202" s="1324">
        <v>1</v>
      </c>
      <c r="X202" s="1324"/>
      <c r="Y202" s="1324">
        <v>1</v>
      </c>
      <c r="Z202" s="1324"/>
      <c r="AA202" s="1324">
        <v>1</v>
      </c>
      <c r="AB202" s="1324"/>
      <c r="AC202" s="1324">
        <v>1</v>
      </c>
      <c r="AD202" s="1325"/>
      <c r="AE202" s="1326">
        <v>1</v>
      </c>
      <c r="AF202" s="1327"/>
      <c r="AG202" s="1328">
        <v>1</v>
      </c>
      <c r="AH202" s="1329"/>
      <c r="AI202" s="1329">
        <v>1</v>
      </c>
      <c r="AJ202" s="1330"/>
      <c r="AK202" s="1326">
        <v>1</v>
      </c>
      <c r="AL202" s="1328"/>
      <c r="AM202" s="1328">
        <v>1</v>
      </c>
      <c r="AN202" s="1330"/>
      <c r="AO202" s="522">
        <f t="shared" si="97"/>
        <v>15</v>
      </c>
      <c r="AP202" s="524">
        <f t="shared" si="97"/>
        <v>3.75</v>
      </c>
      <c r="AQ202" s="525">
        <f t="shared" si="98"/>
        <v>11.25</v>
      </c>
      <c r="AR202" s="649" t="s">
        <v>77</v>
      </c>
      <c r="AS202" s="349">
        <v>15</v>
      </c>
    </row>
    <row r="203" spans="1:45" s="140" customFormat="1" ht="17" hidden="1" customHeight="1">
      <c r="B203" s="1871"/>
      <c r="C203" s="202" t="s">
        <v>197</v>
      </c>
      <c r="D203" s="203" t="s">
        <v>200</v>
      </c>
      <c r="E203" s="446" t="s">
        <v>59</v>
      </c>
      <c r="F203" s="610" t="s">
        <v>370</v>
      </c>
      <c r="G203" s="610"/>
      <c r="H203" s="619">
        <v>45810</v>
      </c>
      <c r="I203" s="775">
        <v>45991</v>
      </c>
      <c r="J203" s="797"/>
      <c r="K203" s="304"/>
      <c r="L203" s="304"/>
      <c r="M203" s="307"/>
      <c r="N203" s="53"/>
      <c r="O203" s="763"/>
      <c r="P203" s="499"/>
      <c r="Q203" s="1331"/>
      <c r="R203" s="1332"/>
      <c r="S203" s="1323">
        <v>1</v>
      </c>
      <c r="T203" s="1324"/>
      <c r="U203" s="1324">
        <v>1</v>
      </c>
      <c r="V203" s="1324"/>
      <c r="W203" s="1324">
        <v>1</v>
      </c>
      <c r="X203" s="1324"/>
      <c r="Y203" s="1324">
        <v>1</v>
      </c>
      <c r="Z203" s="1324"/>
      <c r="AA203" s="1324">
        <v>1</v>
      </c>
      <c r="AB203" s="1324"/>
      <c r="AC203" s="1324">
        <v>1</v>
      </c>
      <c r="AD203" s="1325"/>
      <c r="AE203" s="1326"/>
      <c r="AF203" s="1327"/>
      <c r="AG203" s="1328"/>
      <c r="AH203" s="1329"/>
      <c r="AI203" s="1329"/>
      <c r="AJ203" s="1330"/>
      <c r="AK203" s="1326"/>
      <c r="AL203" s="1328"/>
      <c r="AM203" s="1328"/>
      <c r="AN203" s="1330"/>
      <c r="AO203" s="522">
        <f t="shared" si="97"/>
        <v>6</v>
      </c>
      <c r="AP203" s="524">
        <f t="shared" si="97"/>
        <v>0</v>
      </c>
      <c r="AQ203" s="525">
        <f t="shared" si="98"/>
        <v>6</v>
      </c>
      <c r="AR203" s="649" t="s">
        <v>283</v>
      </c>
      <c r="AS203" s="349">
        <v>6</v>
      </c>
    </row>
    <row r="204" spans="1:45" s="140" customFormat="1" ht="17" customHeight="1">
      <c r="B204" s="1871"/>
      <c r="C204" s="892" t="s">
        <v>623</v>
      </c>
      <c r="D204" s="893" t="s">
        <v>199</v>
      </c>
      <c r="E204" s="890" t="s">
        <v>17</v>
      </c>
      <c r="F204" s="890" t="s">
        <v>74</v>
      </c>
      <c r="G204" s="599"/>
      <c r="H204" s="839">
        <v>45810</v>
      </c>
      <c r="I204" s="840">
        <v>46053</v>
      </c>
      <c r="J204" s="360"/>
      <c r="K204" s="346"/>
      <c r="L204" s="346"/>
      <c r="M204" s="346"/>
      <c r="N204" s="53"/>
      <c r="O204" s="763"/>
      <c r="P204" s="500"/>
      <c r="Q204" s="1333"/>
      <c r="R204" s="1334"/>
      <c r="S204" s="1335">
        <v>1</v>
      </c>
      <c r="T204" s="1336"/>
      <c r="U204" s="1336">
        <v>1</v>
      </c>
      <c r="V204" s="1336"/>
      <c r="W204" s="1336">
        <v>1</v>
      </c>
      <c r="X204" s="1336"/>
      <c r="Y204" s="1336">
        <v>1</v>
      </c>
      <c r="Z204" s="1336"/>
      <c r="AA204" s="1336">
        <v>1</v>
      </c>
      <c r="AB204" s="1336"/>
      <c r="AC204" s="1336">
        <v>1</v>
      </c>
      <c r="AD204" s="1337"/>
      <c r="AE204" s="1338">
        <v>1</v>
      </c>
      <c r="AF204" s="1339"/>
      <c r="AG204" s="1340">
        <v>1</v>
      </c>
      <c r="AH204" s="1341"/>
      <c r="AI204" s="1341"/>
      <c r="AJ204" s="1342"/>
      <c r="AK204" s="1338"/>
      <c r="AL204" s="1340"/>
      <c r="AM204" s="1340"/>
      <c r="AN204" s="1343"/>
      <c r="AO204" s="517">
        <f t="shared" si="97"/>
        <v>8</v>
      </c>
      <c r="AP204" s="524">
        <f t="shared" si="97"/>
        <v>0</v>
      </c>
      <c r="AQ204" s="525">
        <f t="shared" si="98"/>
        <v>8</v>
      </c>
      <c r="AR204" s="650"/>
      <c r="AS204" s="349"/>
    </row>
    <row r="205" spans="1:45" s="150" customFormat="1" ht="17" hidden="1" customHeight="1" thickBot="1">
      <c r="A205" s="140"/>
      <c r="B205" s="1872"/>
      <c r="C205" s="489" t="s">
        <v>16</v>
      </c>
      <c r="D205" s="191"/>
      <c r="E205" s="458"/>
      <c r="F205" s="621"/>
      <c r="G205" s="621"/>
      <c r="H205" s="622"/>
      <c r="I205" s="819"/>
      <c r="J205" s="369">
        <f t="shared" ref="J205:Q205" si="102">SUM(J196:J204)</f>
        <v>0</v>
      </c>
      <c r="K205" s="318">
        <f t="shared" si="102"/>
        <v>4</v>
      </c>
      <c r="L205" s="318">
        <f t="shared" si="102"/>
        <v>4</v>
      </c>
      <c r="M205" s="318">
        <f t="shared" si="102"/>
        <v>5</v>
      </c>
      <c r="N205" s="318">
        <f t="shared" si="102"/>
        <v>5</v>
      </c>
      <c r="O205" s="318">
        <f t="shared" si="102"/>
        <v>5</v>
      </c>
      <c r="P205" s="318">
        <f t="shared" si="102"/>
        <v>5.05</v>
      </c>
      <c r="Q205" s="1081">
        <f t="shared" si="102"/>
        <v>5</v>
      </c>
      <c r="R205" s="508"/>
      <c r="S205" s="562">
        <f>SUM(S196:S204)</f>
        <v>8</v>
      </c>
      <c r="T205" s="563"/>
      <c r="U205" s="563">
        <f>SUM(U196:U204)</f>
        <v>8</v>
      </c>
      <c r="V205" s="563"/>
      <c r="W205" s="563">
        <f>SUM(W196:W204)</f>
        <v>8</v>
      </c>
      <c r="X205" s="563"/>
      <c r="Y205" s="563">
        <f>SUM(Y196:Y204)</f>
        <v>8</v>
      </c>
      <c r="Z205" s="563"/>
      <c r="AA205" s="563">
        <f>SUM(AA196:AA204)</f>
        <v>8</v>
      </c>
      <c r="AB205" s="563"/>
      <c r="AC205" s="563">
        <f>SUM(AC196:AC204)</f>
        <v>8</v>
      </c>
      <c r="AD205" s="564"/>
      <c r="AE205" s="317">
        <f>SUM(AE196:AE204)</f>
        <v>7</v>
      </c>
      <c r="AF205" s="369"/>
      <c r="AG205" s="318">
        <f>SUM(AG196:AG204)</f>
        <v>7</v>
      </c>
      <c r="AH205" s="385"/>
      <c r="AI205" s="385">
        <f>SUM(AI196:AI204)</f>
        <v>6</v>
      </c>
      <c r="AJ205" s="344"/>
      <c r="AK205" s="317">
        <f>SUM(AK196:AK204)</f>
        <v>4</v>
      </c>
      <c r="AL205" s="318"/>
      <c r="AM205" s="318">
        <f>SUM(AM196:AM204)</f>
        <v>4</v>
      </c>
      <c r="AN205" s="344"/>
      <c r="AO205" s="526">
        <f>+SUM(AO196:AO204)</f>
        <v>95</v>
      </c>
      <c r="AP205" s="581">
        <f>+SUM(AP196:AP204)</f>
        <v>17.8</v>
      </c>
      <c r="AQ205" s="582">
        <f>+SUM(AQ196:AQ204)</f>
        <v>77.2</v>
      </c>
      <c r="AR205" s="651"/>
      <c r="AS205" s="349"/>
    </row>
    <row r="206" spans="1:45" s="140" customFormat="1" ht="26.5" hidden="1" customHeight="1">
      <c r="B206" s="1870" t="s">
        <v>68</v>
      </c>
      <c r="C206" s="627" t="s">
        <v>510</v>
      </c>
      <c r="D206" s="30" t="s">
        <v>77</v>
      </c>
      <c r="E206" s="598" t="s">
        <v>60</v>
      </c>
      <c r="F206" s="610" t="s">
        <v>575</v>
      </c>
      <c r="G206" s="608"/>
      <c r="H206" s="609">
        <v>45726</v>
      </c>
      <c r="I206" s="820">
        <v>46112</v>
      </c>
      <c r="J206" s="359"/>
      <c r="K206" s="49"/>
      <c r="L206" s="49"/>
      <c r="M206" s="756">
        <v>0.2</v>
      </c>
      <c r="N206" s="53">
        <f t="shared" si="78"/>
        <v>0.2</v>
      </c>
      <c r="O206" s="763">
        <v>0.2</v>
      </c>
      <c r="P206" s="53">
        <f t="shared" ref="P206" si="103">$P$1*O206</f>
        <v>0.2</v>
      </c>
      <c r="Q206" s="49">
        <v>0.2</v>
      </c>
      <c r="R206" s="506">
        <f>$Q$1*Q206</f>
        <v>0.15000000000000002</v>
      </c>
      <c r="S206" s="49">
        <v>0.2</v>
      </c>
      <c r="T206" s="547"/>
      <c r="U206" s="49">
        <v>0.2</v>
      </c>
      <c r="V206" s="556"/>
      <c r="W206" s="536">
        <v>1</v>
      </c>
      <c r="X206" s="536"/>
      <c r="Y206" s="536">
        <v>1</v>
      </c>
      <c r="Z206" s="536"/>
      <c r="AA206" s="536">
        <v>1</v>
      </c>
      <c r="AB206" s="536"/>
      <c r="AC206" s="536">
        <v>1</v>
      </c>
      <c r="AD206" s="537"/>
      <c r="AE206" s="27">
        <v>1</v>
      </c>
      <c r="AF206" s="29"/>
      <c r="AG206" s="28">
        <v>1</v>
      </c>
      <c r="AH206" s="374"/>
      <c r="AI206" s="374">
        <v>1</v>
      </c>
      <c r="AJ206" s="25"/>
      <c r="AK206" s="27">
        <v>1</v>
      </c>
      <c r="AL206" s="53"/>
      <c r="AM206" s="49"/>
      <c r="AN206" s="50"/>
      <c r="AO206" s="522">
        <f t="shared" ref="AO206:AP218" si="104">+K206+M206+O206+Q206+S206+U206+W206+Y206+AA206+AC206+AE206+AG206+AI206+AK206+AM206</f>
        <v>9</v>
      </c>
      <c r="AP206" s="524">
        <f t="shared" si="104"/>
        <v>0.55000000000000004</v>
      </c>
      <c r="AQ206" s="525">
        <f t="shared" ref="AQ206:AQ218" si="105">AO206-AP206</f>
        <v>8.4499999999999993</v>
      </c>
      <c r="AR206" s="647" t="s">
        <v>77</v>
      </c>
      <c r="AS206" s="349"/>
    </row>
    <row r="207" spans="1:45" s="140" customFormat="1" ht="17" hidden="1" customHeight="1">
      <c r="B207" s="1871"/>
      <c r="C207" s="528" t="s">
        <v>541</v>
      </c>
      <c r="D207" s="2" t="s">
        <v>42</v>
      </c>
      <c r="E207" s="533" t="s">
        <v>60</v>
      </c>
      <c r="F207" s="610" t="s">
        <v>391</v>
      </c>
      <c r="G207" s="610"/>
      <c r="H207" s="611">
        <v>45870</v>
      </c>
      <c r="I207" s="804"/>
      <c r="J207" s="29"/>
      <c r="K207" s="28"/>
      <c r="L207" s="28"/>
      <c r="M207" s="28"/>
      <c r="N207" s="53"/>
      <c r="O207" s="763"/>
      <c r="P207" s="374"/>
      <c r="Q207" s="374"/>
      <c r="R207" s="503"/>
      <c r="S207" s="535"/>
      <c r="T207" s="536"/>
      <c r="U207" s="536"/>
      <c r="V207" s="536"/>
      <c r="W207" s="536">
        <v>1</v>
      </c>
      <c r="X207" s="536"/>
      <c r="Y207" s="536">
        <v>1</v>
      </c>
      <c r="Z207" s="536"/>
      <c r="AA207" s="536">
        <v>1</v>
      </c>
      <c r="AB207" s="536"/>
      <c r="AC207" s="536">
        <v>1</v>
      </c>
      <c r="AD207" s="537"/>
      <c r="AE207" s="27">
        <v>1</v>
      </c>
      <c r="AF207" s="29"/>
      <c r="AG207" s="28">
        <v>1</v>
      </c>
      <c r="AH207" s="374"/>
      <c r="AI207" s="374">
        <v>1</v>
      </c>
      <c r="AJ207" s="25"/>
      <c r="AK207" s="27">
        <v>1</v>
      </c>
      <c r="AL207" s="28"/>
      <c r="AM207" s="28"/>
      <c r="AN207" s="25"/>
      <c r="AO207" s="522">
        <f t="shared" si="104"/>
        <v>8</v>
      </c>
      <c r="AP207" s="524">
        <f t="shared" si="104"/>
        <v>0</v>
      </c>
      <c r="AQ207" s="525">
        <f t="shared" si="105"/>
        <v>8</v>
      </c>
      <c r="AR207" s="649" t="s">
        <v>42</v>
      </c>
      <c r="AS207" s="349"/>
    </row>
    <row r="208" spans="1:45" s="140" customFormat="1" ht="17" hidden="1" customHeight="1">
      <c r="B208" s="1871"/>
      <c r="C208" s="528" t="s">
        <v>80</v>
      </c>
      <c r="D208" s="2" t="s">
        <v>43</v>
      </c>
      <c r="E208" s="533" t="s">
        <v>60</v>
      </c>
      <c r="F208" s="617" t="s">
        <v>74</v>
      </c>
      <c r="G208" s="610"/>
      <c r="H208" s="611">
        <v>45870</v>
      </c>
      <c r="I208" s="804"/>
      <c r="J208" s="29"/>
      <c r="K208" s="28"/>
      <c r="L208" s="28"/>
      <c r="M208" s="28"/>
      <c r="N208" s="53"/>
      <c r="O208" s="763"/>
      <c r="P208" s="374"/>
      <c r="Q208" s="374"/>
      <c r="R208" s="503"/>
      <c r="S208" s="535"/>
      <c r="T208" s="536"/>
      <c r="U208" s="536"/>
      <c r="V208" s="536"/>
      <c r="W208" s="536">
        <v>1</v>
      </c>
      <c r="X208" s="536"/>
      <c r="Y208" s="536">
        <v>1</v>
      </c>
      <c r="Z208" s="536"/>
      <c r="AA208" s="536">
        <v>1</v>
      </c>
      <c r="AB208" s="536"/>
      <c r="AC208" s="536">
        <v>1</v>
      </c>
      <c r="AD208" s="537"/>
      <c r="AE208" s="27">
        <v>1</v>
      </c>
      <c r="AF208" s="29"/>
      <c r="AG208" s="28">
        <v>1</v>
      </c>
      <c r="AH208" s="374"/>
      <c r="AI208" s="374">
        <v>1</v>
      </c>
      <c r="AJ208" s="25"/>
      <c r="AK208" s="27">
        <v>1</v>
      </c>
      <c r="AL208" s="28"/>
      <c r="AM208" s="28"/>
      <c r="AN208" s="25"/>
      <c r="AO208" s="522">
        <f t="shared" si="104"/>
        <v>8</v>
      </c>
      <c r="AP208" s="524">
        <f t="shared" si="104"/>
        <v>0</v>
      </c>
      <c r="AQ208" s="525">
        <f t="shared" si="105"/>
        <v>8</v>
      </c>
      <c r="AR208" s="649" t="s">
        <v>43</v>
      </c>
      <c r="AS208" s="349"/>
    </row>
    <row r="209" spans="1:45" s="140" customFormat="1" ht="17" hidden="1" customHeight="1">
      <c r="B209" s="1871"/>
      <c r="C209" s="528" t="s">
        <v>81</v>
      </c>
      <c r="D209" s="2" t="s">
        <v>42</v>
      </c>
      <c r="E209" s="533" t="s">
        <v>60</v>
      </c>
      <c r="F209" s="617" t="s">
        <v>74</v>
      </c>
      <c r="G209" s="610"/>
      <c r="H209" s="611">
        <v>45901</v>
      </c>
      <c r="I209" s="804"/>
      <c r="J209" s="29"/>
      <c r="K209" s="28"/>
      <c r="L209" s="28"/>
      <c r="M209" s="28"/>
      <c r="N209" s="53"/>
      <c r="O209" s="763"/>
      <c r="P209" s="374"/>
      <c r="Q209" s="374"/>
      <c r="R209" s="503"/>
      <c r="S209" s="535"/>
      <c r="T209" s="536"/>
      <c r="U209" s="536"/>
      <c r="V209" s="536"/>
      <c r="W209" s="536"/>
      <c r="X209" s="536"/>
      <c r="Y209" s="536">
        <v>1</v>
      </c>
      <c r="Z209" s="536"/>
      <c r="AA209" s="536">
        <v>1</v>
      </c>
      <c r="AB209" s="536"/>
      <c r="AC209" s="536">
        <v>1</v>
      </c>
      <c r="AD209" s="537"/>
      <c r="AE209" s="27">
        <v>1</v>
      </c>
      <c r="AF209" s="29"/>
      <c r="AG209" s="28">
        <v>1</v>
      </c>
      <c r="AH209" s="374"/>
      <c r="AI209" s="374">
        <v>1</v>
      </c>
      <c r="AJ209" s="25"/>
      <c r="AK209" s="27">
        <v>1</v>
      </c>
      <c r="AL209" s="28"/>
      <c r="AM209" s="28"/>
      <c r="AN209" s="25"/>
      <c r="AO209" s="522">
        <f t="shared" si="104"/>
        <v>7</v>
      </c>
      <c r="AP209" s="524">
        <f t="shared" si="104"/>
        <v>0</v>
      </c>
      <c r="AQ209" s="525">
        <f t="shared" si="105"/>
        <v>7</v>
      </c>
      <c r="AR209" s="649" t="s">
        <v>42</v>
      </c>
      <c r="AS209" s="349"/>
    </row>
    <row r="210" spans="1:45" s="140" customFormat="1" ht="17" hidden="1" customHeight="1">
      <c r="B210" s="1871"/>
      <c r="C210" s="528" t="s">
        <v>82</v>
      </c>
      <c r="D210" s="2" t="s">
        <v>42</v>
      </c>
      <c r="E210" s="533" t="s">
        <v>60</v>
      </c>
      <c r="F210" s="617" t="s">
        <v>74</v>
      </c>
      <c r="G210" s="610"/>
      <c r="H210" s="611">
        <v>45901</v>
      </c>
      <c r="I210" s="804"/>
      <c r="J210" s="29"/>
      <c r="K210" s="28"/>
      <c r="L210" s="28"/>
      <c r="M210" s="28"/>
      <c r="N210" s="53"/>
      <c r="O210" s="763"/>
      <c r="P210" s="374"/>
      <c r="Q210" s="374"/>
      <c r="R210" s="503"/>
      <c r="S210" s="535"/>
      <c r="T210" s="536"/>
      <c r="U210" s="536"/>
      <c r="V210" s="536"/>
      <c r="W210" s="536"/>
      <c r="X210" s="536"/>
      <c r="Y210" s="536">
        <v>1</v>
      </c>
      <c r="Z210" s="536"/>
      <c r="AA210" s="536">
        <v>1</v>
      </c>
      <c r="AB210" s="536"/>
      <c r="AC210" s="536">
        <v>1</v>
      </c>
      <c r="AD210" s="537"/>
      <c r="AE210" s="27">
        <v>1</v>
      </c>
      <c r="AF210" s="29"/>
      <c r="AG210" s="28">
        <v>1</v>
      </c>
      <c r="AH210" s="374"/>
      <c r="AI210" s="374">
        <v>1</v>
      </c>
      <c r="AJ210" s="25"/>
      <c r="AK210" s="27">
        <v>1</v>
      </c>
      <c r="AL210" s="28"/>
      <c r="AM210" s="28"/>
      <c r="AN210" s="25"/>
      <c r="AO210" s="522">
        <f t="shared" si="104"/>
        <v>7</v>
      </c>
      <c r="AP210" s="524">
        <f t="shared" si="104"/>
        <v>0</v>
      </c>
      <c r="AQ210" s="525">
        <f t="shared" si="105"/>
        <v>7</v>
      </c>
      <c r="AR210" s="649" t="s">
        <v>43</v>
      </c>
      <c r="AS210" s="349"/>
    </row>
    <row r="211" spans="1:45" s="140" customFormat="1" ht="17" hidden="1" customHeight="1">
      <c r="B211" s="1871"/>
      <c r="C211" s="528" t="s">
        <v>83</v>
      </c>
      <c r="D211" s="2" t="s">
        <v>77</v>
      </c>
      <c r="E211" s="533" t="s">
        <v>60</v>
      </c>
      <c r="F211" s="610" t="s">
        <v>392</v>
      </c>
      <c r="G211" s="610"/>
      <c r="H211" s="611">
        <v>45870</v>
      </c>
      <c r="I211" s="804"/>
      <c r="J211" s="29"/>
      <c r="K211" s="28"/>
      <c r="L211" s="28"/>
      <c r="M211" s="28"/>
      <c r="N211" s="53"/>
      <c r="O211" s="763"/>
      <c r="P211" s="374"/>
      <c r="Q211" s="374"/>
      <c r="R211" s="503"/>
      <c r="S211" s="535"/>
      <c r="T211" s="536"/>
      <c r="U211" s="536"/>
      <c r="V211" s="536"/>
      <c r="W211" s="536">
        <v>1</v>
      </c>
      <c r="X211" s="536"/>
      <c r="Y211" s="536">
        <v>1</v>
      </c>
      <c r="Z211" s="536"/>
      <c r="AA211" s="536">
        <v>1</v>
      </c>
      <c r="AB211" s="536"/>
      <c r="AC211" s="536">
        <v>1</v>
      </c>
      <c r="AD211" s="537"/>
      <c r="AE211" s="27">
        <v>1</v>
      </c>
      <c r="AF211" s="29"/>
      <c r="AG211" s="28">
        <v>1</v>
      </c>
      <c r="AH211" s="374"/>
      <c r="AI211" s="374">
        <v>1</v>
      </c>
      <c r="AJ211" s="25"/>
      <c r="AK211" s="27">
        <v>1</v>
      </c>
      <c r="AL211" s="28"/>
      <c r="AM211" s="28"/>
      <c r="AN211" s="25"/>
      <c r="AO211" s="522">
        <f t="shared" si="104"/>
        <v>8</v>
      </c>
      <c r="AP211" s="524">
        <f t="shared" si="104"/>
        <v>0</v>
      </c>
      <c r="AQ211" s="525">
        <f t="shared" si="105"/>
        <v>8</v>
      </c>
      <c r="AR211" s="649" t="s">
        <v>42</v>
      </c>
      <c r="AS211" s="349"/>
    </row>
    <row r="212" spans="1:45" s="140" customFormat="1" ht="17" hidden="1" customHeight="1">
      <c r="B212" s="1871"/>
      <c r="C212" s="528" t="s">
        <v>84</v>
      </c>
      <c r="D212" s="2" t="s">
        <v>42</v>
      </c>
      <c r="E212" s="533" t="s">
        <v>60</v>
      </c>
      <c r="F212" s="617" t="s">
        <v>74</v>
      </c>
      <c r="G212" s="610"/>
      <c r="H212" s="611">
        <v>45901</v>
      </c>
      <c r="I212" s="804"/>
      <c r="J212" s="29"/>
      <c r="K212" s="28"/>
      <c r="L212" s="28"/>
      <c r="M212" s="28"/>
      <c r="N212" s="53"/>
      <c r="O212" s="763"/>
      <c r="P212" s="374"/>
      <c r="Q212" s="374"/>
      <c r="R212" s="503"/>
      <c r="S212" s="535"/>
      <c r="T212" s="536"/>
      <c r="U212" s="536"/>
      <c r="V212" s="536"/>
      <c r="W212" s="536"/>
      <c r="X212" s="536"/>
      <c r="Y212" s="536">
        <v>1</v>
      </c>
      <c r="Z212" s="536"/>
      <c r="AA212" s="536">
        <v>1</v>
      </c>
      <c r="AB212" s="536"/>
      <c r="AC212" s="536">
        <v>1</v>
      </c>
      <c r="AD212" s="537"/>
      <c r="AE212" s="27">
        <v>1</v>
      </c>
      <c r="AF212" s="29"/>
      <c r="AG212" s="28">
        <v>1</v>
      </c>
      <c r="AH212" s="374"/>
      <c r="AI212" s="374">
        <v>1</v>
      </c>
      <c r="AJ212" s="25"/>
      <c r="AK212" s="27">
        <v>1</v>
      </c>
      <c r="AL212" s="28"/>
      <c r="AM212" s="28"/>
      <c r="AN212" s="25"/>
      <c r="AO212" s="522">
        <f t="shared" si="104"/>
        <v>7</v>
      </c>
      <c r="AP212" s="524">
        <f t="shared" si="104"/>
        <v>0</v>
      </c>
      <c r="AQ212" s="525">
        <f t="shared" si="105"/>
        <v>7</v>
      </c>
      <c r="AR212" s="649" t="s">
        <v>43</v>
      </c>
      <c r="AS212" s="349"/>
    </row>
    <row r="213" spans="1:45" s="140" customFormat="1" ht="17" hidden="1" customHeight="1" thickBot="1">
      <c r="B213" s="1871"/>
      <c r="C213" s="913" t="s">
        <v>509</v>
      </c>
      <c r="D213" s="914" t="s">
        <v>42</v>
      </c>
      <c r="E213" s="533" t="s">
        <v>60</v>
      </c>
      <c r="F213" s="897" t="s">
        <v>74</v>
      </c>
      <c r="G213" s="897" t="s">
        <v>389</v>
      </c>
      <c r="H213" s="611">
        <v>45870</v>
      </c>
      <c r="I213" s="804"/>
      <c r="J213" s="29"/>
      <c r="K213" s="28"/>
      <c r="L213" s="28"/>
      <c r="M213" s="28"/>
      <c r="N213" s="53"/>
      <c r="O213" s="763"/>
      <c r="P213" s="374"/>
      <c r="Q213" s="374"/>
      <c r="R213" s="503"/>
      <c r="S213" s="535"/>
      <c r="T213" s="536"/>
      <c r="U213" s="536"/>
      <c r="V213" s="536"/>
      <c r="W213" s="565">
        <v>1</v>
      </c>
      <c r="X213" s="565"/>
      <c r="Y213" s="565">
        <v>1</v>
      </c>
      <c r="Z213" s="565"/>
      <c r="AA213" s="565">
        <v>1</v>
      </c>
      <c r="AB213" s="565"/>
      <c r="AC213" s="674">
        <v>0</v>
      </c>
      <c r="AD213" s="844"/>
      <c r="AE213" s="674">
        <v>0</v>
      </c>
      <c r="AF213" s="845"/>
      <c r="AG213" s="674">
        <v>0</v>
      </c>
      <c r="AH213" s="846"/>
      <c r="AI213" s="674">
        <v>0</v>
      </c>
      <c r="AJ213" s="847"/>
      <c r="AK213" s="674">
        <v>0</v>
      </c>
      <c r="AL213" s="529"/>
      <c r="AM213" s="529"/>
      <c r="AN213" s="530"/>
      <c r="AO213" s="522">
        <f t="shared" si="104"/>
        <v>3</v>
      </c>
      <c r="AP213" s="524">
        <f t="shared" si="104"/>
        <v>0</v>
      </c>
      <c r="AQ213" s="525">
        <f t="shared" si="105"/>
        <v>3</v>
      </c>
      <c r="AR213" s="652" t="s">
        <v>42</v>
      </c>
      <c r="AS213" s="349"/>
    </row>
    <row r="214" spans="1:45" s="140" customFormat="1" ht="17" hidden="1" customHeight="1">
      <c r="B214" s="1871"/>
      <c r="C214" s="528" t="s">
        <v>85</v>
      </c>
      <c r="D214" s="2" t="s">
        <v>77</v>
      </c>
      <c r="E214" s="533" t="s">
        <v>60</v>
      </c>
      <c r="F214" s="608" t="s">
        <v>683</v>
      </c>
      <c r="G214" s="610"/>
      <c r="H214" s="611">
        <v>45726</v>
      </c>
      <c r="I214" s="804">
        <v>46112</v>
      </c>
      <c r="J214" s="29"/>
      <c r="K214" s="28"/>
      <c r="L214" s="28"/>
      <c r="M214" s="357">
        <v>0.2</v>
      </c>
      <c r="N214" s="53">
        <f t="shared" si="78"/>
        <v>0.2</v>
      </c>
      <c r="O214" s="763">
        <v>0.2</v>
      </c>
      <c r="P214" s="53">
        <f t="shared" ref="P214" si="106">$P$1*O214</f>
        <v>0.2</v>
      </c>
      <c r="Q214" s="28">
        <v>0.2</v>
      </c>
      <c r="R214" s="506">
        <f>$Q$1*Q214</f>
        <v>0.15000000000000002</v>
      </c>
      <c r="S214" s="28">
        <v>0.2</v>
      </c>
      <c r="T214" s="536"/>
      <c r="U214" s="28">
        <v>0.2</v>
      </c>
      <c r="V214" s="536"/>
      <c r="W214" s="536">
        <v>1</v>
      </c>
      <c r="X214" s="536"/>
      <c r="Y214" s="536">
        <v>1</v>
      </c>
      <c r="Z214" s="536"/>
      <c r="AA214" s="536">
        <v>1</v>
      </c>
      <c r="AB214" s="536"/>
      <c r="AC214" s="536">
        <v>1</v>
      </c>
      <c r="AD214" s="537"/>
      <c r="AE214" s="27">
        <v>1</v>
      </c>
      <c r="AF214" s="29"/>
      <c r="AG214" s="28">
        <v>1</v>
      </c>
      <c r="AH214" s="374"/>
      <c r="AI214" s="374">
        <v>1</v>
      </c>
      <c r="AJ214" s="25"/>
      <c r="AK214" s="27">
        <v>1</v>
      </c>
      <c r="AL214" s="28"/>
      <c r="AM214" s="28"/>
      <c r="AN214" s="25"/>
      <c r="AO214" s="522">
        <f t="shared" si="104"/>
        <v>9</v>
      </c>
      <c r="AP214" s="524">
        <f t="shared" si="104"/>
        <v>0.55000000000000004</v>
      </c>
      <c r="AQ214" s="525">
        <f t="shared" si="105"/>
        <v>8.4499999999999993</v>
      </c>
      <c r="AR214" s="649" t="s">
        <v>77</v>
      </c>
      <c r="AS214" s="349"/>
    </row>
    <row r="215" spans="1:45" s="140" customFormat="1" ht="17" hidden="1" customHeight="1">
      <c r="B215" s="1871"/>
      <c r="C215" s="528" t="s">
        <v>86</v>
      </c>
      <c r="D215" s="2" t="s">
        <v>42</v>
      </c>
      <c r="E215" s="533" t="s">
        <v>60</v>
      </c>
      <c r="F215" s="617" t="s">
        <v>74</v>
      </c>
      <c r="G215" s="610"/>
      <c r="H215" s="611">
        <v>45901</v>
      </c>
      <c r="I215" s="804"/>
      <c r="J215" s="29"/>
      <c r="K215" s="28"/>
      <c r="L215" s="571"/>
      <c r="M215" s="28"/>
      <c r="N215" s="53"/>
      <c r="O215" s="763"/>
      <c r="P215" s="374"/>
      <c r="Q215" s="374"/>
      <c r="R215" s="503"/>
      <c r="S215" s="535"/>
      <c r="T215" s="536"/>
      <c r="U215" s="536"/>
      <c r="V215" s="536"/>
      <c r="W215" s="536"/>
      <c r="X215" s="536"/>
      <c r="Y215" s="536">
        <v>1</v>
      </c>
      <c r="Z215" s="536"/>
      <c r="AA215" s="536">
        <v>1</v>
      </c>
      <c r="AB215" s="536"/>
      <c r="AC215" s="536">
        <v>1</v>
      </c>
      <c r="AD215" s="537"/>
      <c r="AE215" s="27">
        <v>1</v>
      </c>
      <c r="AF215" s="29"/>
      <c r="AG215" s="28">
        <v>1</v>
      </c>
      <c r="AH215" s="374"/>
      <c r="AI215" s="374">
        <v>1</v>
      </c>
      <c r="AJ215" s="25"/>
      <c r="AK215" s="27">
        <v>1</v>
      </c>
      <c r="AL215" s="28"/>
      <c r="AM215" s="28"/>
      <c r="AN215" s="25"/>
      <c r="AO215" s="522">
        <f t="shared" si="104"/>
        <v>7</v>
      </c>
      <c r="AP215" s="524">
        <f t="shared" si="104"/>
        <v>0</v>
      </c>
      <c r="AQ215" s="525">
        <f t="shared" si="105"/>
        <v>7</v>
      </c>
      <c r="AR215" s="649" t="s">
        <v>42</v>
      </c>
      <c r="AS215" s="349"/>
    </row>
    <row r="216" spans="1:45" s="140" customFormat="1" ht="17" hidden="1" customHeight="1">
      <c r="B216" s="1871"/>
      <c r="C216" s="528" t="s">
        <v>88</v>
      </c>
      <c r="D216" s="2" t="s">
        <v>42</v>
      </c>
      <c r="E216" s="533" t="s">
        <v>60</v>
      </c>
      <c r="F216" s="617" t="s">
        <v>74</v>
      </c>
      <c r="G216" s="610"/>
      <c r="H216" s="611">
        <v>45901</v>
      </c>
      <c r="I216" s="804"/>
      <c r="J216" s="29"/>
      <c r="K216" s="28"/>
      <c r="L216" s="28"/>
      <c r="M216" s="28"/>
      <c r="N216" s="53"/>
      <c r="O216" s="763"/>
      <c r="P216" s="374"/>
      <c r="Q216" s="374"/>
      <c r="R216" s="503"/>
      <c r="S216" s="535"/>
      <c r="T216" s="536"/>
      <c r="U216" s="536"/>
      <c r="V216" s="536"/>
      <c r="W216" s="536"/>
      <c r="X216" s="536"/>
      <c r="Y216" s="536">
        <v>1</v>
      </c>
      <c r="Z216" s="536"/>
      <c r="AA216" s="536">
        <v>1</v>
      </c>
      <c r="AB216" s="536"/>
      <c r="AC216" s="536">
        <v>1</v>
      </c>
      <c r="AD216" s="537"/>
      <c r="AE216" s="27">
        <v>1</v>
      </c>
      <c r="AF216" s="29"/>
      <c r="AG216" s="28">
        <v>1</v>
      </c>
      <c r="AH216" s="374"/>
      <c r="AI216" s="374">
        <v>1</v>
      </c>
      <c r="AJ216" s="25"/>
      <c r="AK216" s="27">
        <v>1</v>
      </c>
      <c r="AL216" s="28"/>
      <c r="AM216" s="28"/>
      <c r="AN216" s="25"/>
      <c r="AO216" s="522">
        <f t="shared" si="104"/>
        <v>7</v>
      </c>
      <c r="AP216" s="524">
        <f t="shared" si="104"/>
        <v>0</v>
      </c>
      <c r="AQ216" s="525">
        <f t="shared" si="105"/>
        <v>7</v>
      </c>
      <c r="AR216" s="649" t="s">
        <v>42</v>
      </c>
      <c r="AS216" s="349"/>
    </row>
    <row r="217" spans="1:45" s="140" customFormat="1" ht="17" customHeight="1" thickBot="1">
      <c r="B217" s="1871"/>
      <c r="C217" s="894" t="s">
        <v>100</v>
      </c>
      <c r="D217" s="886" t="s">
        <v>19</v>
      </c>
      <c r="E217" s="887" t="s">
        <v>17</v>
      </c>
      <c r="F217" s="888" t="s">
        <v>74</v>
      </c>
      <c r="G217" s="599"/>
      <c r="H217" s="600">
        <v>45915</v>
      </c>
      <c r="I217" s="803">
        <v>46037</v>
      </c>
      <c r="J217" s="29"/>
      <c r="K217" s="3"/>
      <c r="L217" s="3"/>
      <c r="M217" s="3"/>
      <c r="N217" s="53"/>
      <c r="O217" s="763"/>
      <c r="P217" s="378"/>
      <c r="Q217" s="1131"/>
      <c r="R217" s="1184"/>
      <c r="S217" s="1150"/>
      <c r="T217" s="1128"/>
      <c r="U217" s="1128"/>
      <c r="V217" s="1128"/>
      <c r="W217" s="1128"/>
      <c r="X217" s="1128"/>
      <c r="Y217" s="1128">
        <v>0.5</v>
      </c>
      <c r="Z217" s="536"/>
      <c r="AA217" s="1128">
        <v>1</v>
      </c>
      <c r="AB217" s="1128"/>
      <c r="AC217" s="1128">
        <v>1</v>
      </c>
      <c r="AD217" s="1181"/>
      <c r="AE217" s="1129">
        <v>1</v>
      </c>
      <c r="AF217" s="1143"/>
      <c r="AG217" s="1130">
        <v>0.5</v>
      </c>
      <c r="AH217" s="374"/>
      <c r="AI217" s="1131"/>
      <c r="AJ217" s="1142"/>
      <c r="AK217" s="1129"/>
      <c r="AL217" s="1130"/>
      <c r="AM217" s="1130"/>
      <c r="AN217" s="1142"/>
      <c r="AO217" s="517">
        <f t="shared" si="104"/>
        <v>4</v>
      </c>
      <c r="AP217" s="524">
        <f t="shared" si="104"/>
        <v>0</v>
      </c>
      <c r="AQ217" s="525">
        <f t="shared" si="105"/>
        <v>4</v>
      </c>
      <c r="AR217" s="638"/>
      <c r="AS217" s="349"/>
    </row>
    <row r="218" spans="1:45" s="140" customFormat="1" ht="17" hidden="1" customHeight="1" thickBot="1">
      <c r="B218" s="1871"/>
      <c r="C218" s="258" t="s">
        <v>99</v>
      </c>
      <c r="D218" s="44" t="s">
        <v>21</v>
      </c>
      <c r="E218" s="491" t="s">
        <v>41</v>
      </c>
      <c r="F218" s="601" t="s">
        <v>388</v>
      </c>
      <c r="G218" s="601"/>
      <c r="H218" s="605">
        <v>45839</v>
      </c>
      <c r="I218" s="801">
        <v>46032</v>
      </c>
      <c r="J218" s="370"/>
      <c r="K218" s="239"/>
      <c r="L218" s="239"/>
      <c r="M218" s="239"/>
      <c r="N218" s="53"/>
      <c r="O218" s="763"/>
      <c r="P218" s="386"/>
      <c r="Q218" s="1344"/>
      <c r="R218" s="1345"/>
      <c r="S218" s="1346"/>
      <c r="T218" s="1347"/>
      <c r="U218" s="1347">
        <v>1</v>
      </c>
      <c r="V218" s="1347"/>
      <c r="W218" s="1347">
        <v>1</v>
      </c>
      <c r="X218" s="1347"/>
      <c r="Y218" s="1347">
        <v>1</v>
      </c>
      <c r="Z218" s="1347"/>
      <c r="AA218" s="1347">
        <v>1</v>
      </c>
      <c r="AB218" s="1347"/>
      <c r="AC218" s="1348">
        <v>1</v>
      </c>
      <c r="AD218" s="1349"/>
      <c r="AE218" s="1350">
        <v>1</v>
      </c>
      <c r="AF218" s="1351"/>
      <c r="AG218" s="1348">
        <v>0.3</v>
      </c>
      <c r="AH218" s="1352"/>
      <c r="AI218" s="1352"/>
      <c r="AJ218" s="1353"/>
      <c r="AK218" s="1350"/>
      <c r="AL218" s="1354"/>
      <c r="AM218" s="1354"/>
      <c r="AN218" s="1353"/>
      <c r="AO218" s="522">
        <f t="shared" si="104"/>
        <v>6.3</v>
      </c>
      <c r="AP218" s="524">
        <f t="shared" si="104"/>
        <v>0</v>
      </c>
      <c r="AQ218" s="525">
        <f t="shared" si="105"/>
        <v>6.3</v>
      </c>
      <c r="AR218" s="650" t="s">
        <v>283</v>
      </c>
      <c r="AS218" s="349"/>
    </row>
    <row r="219" spans="1:45" s="150" customFormat="1" ht="17" hidden="1" customHeight="1" thickBot="1">
      <c r="A219" s="140"/>
      <c r="B219" s="1872"/>
      <c r="C219" s="489" t="s">
        <v>16</v>
      </c>
      <c r="D219" s="191"/>
      <c r="E219" s="458"/>
      <c r="F219" s="621"/>
      <c r="G219" s="621"/>
      <c r="H219" s="622"/>
      <c r="I219" s="819"/>
      <c r="J219" s="369">
        <f t="shared" ref="J219:P219" si="107">SUM(J206:J218)</f>
        <v>0</v>
      </c>
      <c r="K219" s="318">
        <f t="shared" si="107"/>
        <v>0</v>
      </c>
      <c r="L219" s="318">
        <f t="shared" si="107"/>
        <v>0</v>
      </c>
      <c r="M219" s="318">
        <f t="shared" si="107"/>
        <v>0.4</v>
      </c>
      <c r="N219" s="318">
        <f t="shared" si="107"/>
        <v>0.4</v>
      </c>
      <c r="O219" s="318">
        <f t="shared" si="107"/>
        <v>0.4</v>
      </c>
      <c r="P219" s="318">
        <f t="shared" si="107"/>
        <v>0.4</v>
      </c>
      <c r="Q219" s="1081">
        <f>SUM(Q206:Q218)</f>
        <v>0.4</v>
      </c>
      <c r="R219" s="508"/>
      <c r="S219" s="562">
        <f>SUM(S206:S218)</f>
        <v>0.4</v>
      </c>
      <c r="T219" s="563"/>
      <c r="U219" s="563">
        <f>SUM(U206:U218)</f>
        <v>1.4</v>
      </c>
      <c r="V219" s="563"/>
      <c r="W219" s="563">
        <f>SUM(W206:W218)</f>
        <v>7</v>
      </c>
      <c r="X219" s="563"/>
      <c r="Y219" s="563">
        <f>SUM(Y206:Y218)</f>
        <v>12.5</v>
      </c>
      <c r="Z219" s="563"/>
      <c r="AA219" s="563">
        <f>SUM(AA206:AA218)</f>
        <v>13</v>
      </c>
      <c r="AB219" s="563"/>
      <c r="AC219" s="563">
        <f>SUM(AC206:AC218)</f>
        <v>12</v>
      </c>
      <c r="AD219" s="564"/>
      <c r="AE219" s="317">
        <f>SUM(AE206:AE218)</f>
        <v>12</v>
      </c>
      <c r="AF219" s="369"/>
      <c r="AG219" s="318">
        <f>SUM(AG206:AG218)</f>
        <v>10.8</v>
      </c>
      <c r="AH219" s="385"/>
      <c r="AI219" s="385">
        <f>SUM(AI206:AI218)</f>
        <v>10</v>
      </c>
      <c r="AJ219" s="344"/>
      <c r="AK219" s="317">
        <f>SUM(AK206:AK218)</f>
        <v>10</v>
      </c>
      <c r="AL219" s="318"/>
      <c r="AM219" s="318">
        <f>SUM(AM206:AM218)</f>
        <v>0</v>
      </c>
      <c r="AN219" s="344"/>
      <c r="AO219" s="317">
        <f>+SUM(AO206:AO218)</f>
        <v>90.3</v>
      </c>
      <c r="AP219" s="318">
        <f>+SUM(AP206:AP218)</f>
        <v>1.1000000000000001</v>
      </c>
      <c r="AQ219" s="344">
        <f>+SUM(AQ206:AQ218)</f>
        <v>89.2</v>
      </c>
      <c r="AR219" s="651"/>
      <c r="AS219" s="349"/>
    </row>
    <row r="220" spans="1:45" s="140" customFormat="1" ht="17" customHeight="1" thickBot="1">
      <c r="B220" s="1871" t="s">
        <v>63</v>
      </c>
      <c r="C220" s="1060" t="s">
        <v>171</v>
      </c>
      <c r="D220" s="1061" t="s">
        <v>19</v>
      </c>
      <c r="E220" s="1064" t="s">
        <v>17</v>
      </c>
      <c r="F220" s="1064" t="s">
        <v>74</v>
      </c>
      <c r="G220" s="1067"/>
      <c r="H220" s="820">
        <v>45810</v>
      </c>
      <c r="I220" s="799">
        <v>46142</v>
      </c>
      <c r="J220" s="29"/>
      <c r="K220" s="28"/>
      <c r="L220" s="28"/>
      <c r="M220" s="28"/>
      <c r="N220" s="53"/>
      <c r="O220" s="763"/>
      <c r="P220" s="4"/>
      <c r="Q220" s="1131"/>
      <c r="R220" s="1184"/>
      <c r="S220" s="1150">
        <v>1</v>
      </c>
      <c r="T220" s="1128"/>
      <c r="U220" s="1128">
        <v>1</v>
      </c>
      <c r="V220" s="1128"/>
      <c r="W220" s="1128">
        <v>1</v>
      </c>
      <c r="X220" s="1128"/>
      <c r="Y220" s="1128">
        <v>1</v>
      </c>
      <c r="Z220" s="1128"/>
      <c r="AA220" s="1128">
        <v>1</v>
      </c>
      <c r="AB220" s="1128"/>
      <c r="AC220" s="1128">
        <v>1</v>
      </c>
      <c r="AD220" s="1181"/>
      <c r="AE220" s="1129">
        <v>1</v>
      </c>
      <c r="AF220" s="1143"/>
      <c r="AG220" s="1130">
        <v>1</v>
      </c>
      <c r="AH220" s="1131"/>
      <c r="AI220" s="1131">
        <v>1</v>
      </c>
      <c r="AJ220" s="1142"/>
      <c r="AK220" s="1129">
        <v>1</v>
      </c>
      <c r="AL220" s="1130"/>
      <c r="AM220" s="1130"/>
      <c r="AN220" s="1142"/>
      <c r="AO220" s="522">
        <f t="shared" ref="AO220:AP235" si="108">+K220+M220+O220+Q220+S220+U220+W220+Y220+AA220+AC220+AE220+AG220+AI220+AK220+AM220</f>
        <v>10</v>
      </c>
      <c r="AP220" s="524">
        <f t="shared" si="108"/>
        <v>0</v>
      </c>
      <c r="AQ220" s="525">
        <f t="shared" ref="AQ220:AQ235" si="109">AO220-AP220</f>
        <v>10</v>
      </c>
      <c r="AR220" s="635"/>
      <c r="AS220" s="349"/>
    </row>
    <row r="221" spans="1:45" s="140" customFormat="1" ht="17" hidden="1" customHeight="1">
      <c r="B221" s="1871"/>
      <c r="C221" s="169" t="s">
        <v>107</v>
      </c>
      <c r="D221" s="236" t="s">
        <v>19</v>
      </c>
      <c r="E221" s="1006" t="s">
        <v>61</v>
      </c>
      <c r="F221" s="1006" t="s">
        <v>371</v>
      </c>
      <c r="G221" s="1058"/>
      <c r="H221" s="800">
        <v>45705</v>
      </c>
      <c r="I221" s="804">
        <v>46112</v>
      </c>
      <c r="J221" s="798"/>
      <c r="K221" s="40">
        <v>0.5</v>
      </c>
      <c r="L221" s="53">
        <f t="shared" ref="L221" si="110">K221*$L$1</f>
        <v>0.5</v>
      </c>
      <c r="M221" s="40">
        <v>1</v>
      </c>
      <c r="N221" s="53">
        <f t="shared" si="78"/>
        <v>1</v>
      </c>
      <c r="O221" s="763">
        <v>1</v>
      </c>
      <c r="P221" s="53">
        <f t="shared" ref="P221:P222" si="111">$P$1*O221</f>
        <v>1</v>
      </c>
      <c r="Q221" s="374">
        <v>1</v>
      </c>
      <c r="R221" s="506">
        <f t="shared" ref="R221:R222" si="112">$Q$1*Q221</f>
        <v>0.75</v>
      </c>
      <c r="S221" s="535">
        <v>1</v>
      </c>
      <c r="T221" s="536"/>
      <c r="U221" s="536">
        <v>1</v>
      </c>
      <c r="V221" s="536"/>
      <c r="W221" s="536">
        <v>1</v>
      </c>
      <c r="X221" s="536"/>
      <c r="Y221" s="536">
        <v>1</v>
      </c>
      <c r="Z221" s="536"/>
      <c r="AA221" s="536">
        <v>1</v>
      </c>
      <c r="AB221" s="536"/>
      <c r="AC221" s="536">
        <v>1</v>
      </c>
      <c r="AD221" s="537"/>
      <c r="AE221" s="27">
        <v>1</v>
      </c>
      <c r="AF221" s="29"/>
      <c r="AG221" s="29">
        <v>1</v>
      </c>
      <c r="AH221" s="391"/>
      <c r="AI221" s="374">
        <v>1</v>
      </c>
      <c r="AJ221" s="25"/>
      <c r="AK221" s="27">
        <v>1</v>
      </c>
      <c r="AL221" s="28"/>
      <c r="AM221" s="1355"/>
      <c r="AN221" s="1356"/>
      <c r="AO221" s="522">
        <f t="shared" si="108"/>
        <v>13.5</v>
      </c>
      <c r="AP221" s="524">
        <f t="shared" si="108"/>
        <v>3.25</v>
      </c>
      <c r="AQ221" s="525">
        <f t="shared" si="109"/>
        <v>10.25</v>
      </c>
      <c r="AR221" s="649" t="s">
        <v>42</v>
      </c>
      <c r="AS221" s="349"/>
    </row>
    <row r="222" spans="1:45" s="140" customFormat="1" ht="17" hidden="1" customHeight="1" thickBot="1">
      <c r="B222" s="1871"/>
      <c r="C222" s="169" t="s">
        <v>589</v>
      </c>
      <c r="D222" s="236" t="s">
        <v>19</v>
      </c>
      <c r="E222" s="1006" t="s">
        <v>61</v>
      </c>
      <c r="F222" s="1006" t="s">
        <v>372</v>
      </c>
      <c r="G222" s="1058"/>
      <c r="H222" s="804">
        <v>45720</v>
      </c>
      <c r="I222" s="804">
        <v>46112</v>
      </c>
      <c r="J222" s="798"/>
      <c r="K222" s="28"/>
      <c r="L222" s="28"/>
      <c r="M222" s="28">
        <v>1</v>
      </c>
      <c r="N222" s="53">
        <f t="shared" si="78"/>
        <v>1</v>
      </c>
      <c r="O222" s="763">
        <v>1</v>
      </c>
      <c r="P222" s="53">
        <f t="shared" si="111"/>
        <v>1</v>
      </c>
      <c r="Q222" s="374">
        <v>1</v>
      </c>
      <c r="R222" s="506">
        <f t="shared" si="112"/>
        <v>0.75</v>
      </c>
      <c r="S222" s="535">
        <v>1</v>
      </c>
      <c r="T222" s="536"/>
      <c r="U222" s="536">
        <v>1</v>
      </c>
      <c r="V222" s="536"/>
      <c r="W222" s="536">
        <v>1</v>
      </c>
      <c r="X222" s="536"/>
      <c r="Y222" s="536">
        <v>1</v>
      </c>
      <c r="Z222" s="536"/>
      <c r="AA222" s="536">
        <v>1</v>
      </c>
      <c r="AB222" s="536"/>
      <c r="AC222" s="536">
        <v>1</v>
      </c>
      <c r="AD222" s="537"/>
      <c r="AE222" s="27">
        <v>1</v>
      </c>
      <c r="AF222" s="29"/>
      <c r="AG222" s="29">
        <v>1</v>
      </c>
      <c r="AH222" s="391"/>
      <c r="AI222" s="374">
        <v>1</v>
      </c>
      <c r="AJ222" s="25"/>
      <c r="AK222" s="27">
        <v>1</v>
      </c>
      <c r="AL222" s="28"/>
      <c r="AM222" s="1355"/>
      <c r="AN222" s="1356"/>
      <c r="AO222" s="522">
        <f t="shared" si="108"/>
        <v>13</v>
      </c>
      <c r="AP222" s="524">
        <f t="shared" si="108"/>
        <v>2.75</v>
      </c>
      <c r="AQ222" s="525">
        <f t="shared" si="109"/>
        <v>10.25</v>
      </c>
      <c r="AR222" s="649" t="s">
        <v>42</v>
      </c>
      <c r="AS222" s="349"/>
    </row>
    <row r="223" spans="1:45" s="140" customFormat="1" ht="17" hidden="1" customHeight="1" thickBot="1">
      <c r="B223" s="1800"/>
      <c r="C223" s="1115" t="s">
        <v>590</v>
      </c>
      <c r="D223" s="1123" t="s">
        <v>19</v>
      </c>
      <c r="E223" s="1101" t="s">
        <v>61</v>
      </c>
      <c r="F223" s="1101" t="s">
        <v>574</v>
      </c>
      <c r="G223" s="1124" t="s">
        <v>628</v>
      </c>
      <c r="H223" s="804">
        <v>45720</v>
      </c>
      <c r="I223" s="804">
        <v>45747</v>
      </c>
      <c r="J223" s="798"/>
      <c r="K223" s="28"/>
      <c r="L223" s="28"/>
      <c r="M223" s="28">
        <v>1</v>
      </c>
      <c r="N223" s="53">
        <f t="shared" si="78"/>
        <v>1</v>
      </c>
      <c r="O223" s="763"/>
      <c r="P223" s="374"/>
      <c r="Q223" s="374"/>
      <c r="R223" s="503"/>
      <c r="S223" s="535"/>
      <c r="T223" s="536"/>
      <c r="U223" s="536"/>
      <c r="V223" s="536"/>
      <c r="W223" s="536"/>
      <c r="X223" s="536"/>
      <c r="Y223" s="536"/>
      <c r="Z223" s="536"/>
      <c r="AA223" s="536"/>
      <c r="AB223" s="536"/>
      <c r="AC223" s="536"/>
      <c r="AD223" s="537"/>
      <c r="AE223" s="27"/>
      <c r="AF223" s="29"/>
      <c r="AG223" s="29"/>
      <c r="AH223" s="391"/>
      <c r="AI223" s="374"/>
      <c r="AJ223" s="25"/>
      <c r="AK223" s="27"/>
      <c r="AL223" s="28"/>
      <c r="AM223" s="1355"/>
      <c r="AN223" s="1356"/>
      <c r="AO223" s="522">
        <f t="shared" si="108"/>
        <v>1</v>
      </c>
      <c r="AP223" s="524">
        <f t="shared" si="108"/>
        <v>1</v>
      </c>
      <c r="AQ223" s="525">
        <f t="shared" si="109"/>
        <v>0</v>
      </c>
      <c r="AR223" s="649" t="s">
        <v>42</v>
      </c>
      <c r="AS223" s="349"/>
    </row>
    <row r="224" spans="1:45" s="140" customFormat="1" ht="17" hidden="1" customHeight="1" thickBot="1">
      <c r="B224" s="1871"/>
      <c r="C224" s="169" t="s">
        <v>590</v>
      </c>
      <c r="D224" s="236" t="s">
        <v>19</v>
      </c>
      <c r="E224" s="1006" t="s">
        <v>61</v>
      </c>
      <c r="F224" s="1006" t="s">
        <v>643</v>
      </c>
      <c r="G224" s="1068"/>
      <c r="H224" s="804">
        <v>45784</v>
      </c>
      <c r="I224" s="804">
        <v>46112</v>
      </c>
      <c r="J224" s="798"/>
      <c r="K224" s="28"/>
      <c r="L224" s="28"/>
      <c r="M224" s="28"/>
      <c r="N224" s="53"/>
      <c r="O224" s="763"/>
      <c r="P224" s="383"/>
      <c r="Q224" s="391">
        <v>0.8</v>
      </c>
      <c r="R224" s="506">
        <v>0</v>
      </c>
      <c r="S224" s="535">
        <v>1</v>
      </c>
      <c r="T224" s="536"/>
      <c r="U224" s="536">
        <v>1</v>
      </c>
      <c r="V224" s="536"/>
      <c r="W224" s="536">
        <v>1</v>
      </c>
      <c r="X224" s="536"/>
      <c r="Y224" s="536">
        <v>1</v>
      </c>
      <c r="Z224" s="536"/>
      <c r="AA224" s="536">
        <v>1</v>
      </c>
      <c r="AB224" s="536"/>
      <c r="AC224" s="536">
        <v>1</v>
      </c>
      <c r="AD224" s="537"/>
      <c r="AE224" s="27">
        <v>1</v>
      </c>
      <c r="AF224" s="29"/>
      <c r="AG224" s="29">
        <v>1</v>
      </c>
      <c r="AH224" s="391"/>
      <c r="AI224" s="374">
        <v>1</v>
      </c>
      <c r="AJ224" s="25"/>
      <c r="AK224" s="27">
        <v>1</v>
      </c>
      <c r="AL224" s="28"/>
      <c r="AM224" s="1355">
        <v>0.2</v>
      </c>
      <c r="AN224" s="1356"/>
      <c r="AO224" s="1415">
        <f t="shared" si="108"/>
        <v>11</v>
      </c>
      <c r="AP224" s="524">
        <f t="shared" si="108"/>
        <v>0</v>
      </c>
      <c r="AQ224" s="525">
        <f t="shared" si="109"/>
        <v>11</v>
      </c>
      <c r="AR224" s="649" t="s">
        <v>42</v>
      </c>
      <c r="AS224" s="349"/>
    </row>
    <row r="225" spans="1:45" s="140" customFormat="1" ht="17" hidden="1" customHeight="1">
      <c r="B225" s="1800"/>
      <c r="C225" s="1115" t="s">
        <v>590</v>
      </c>
      <c r="D225" s="1123" t="s">
        <v>19</v>
      </c>
      <c r="E225" s="1101" t="s">
        <v>61</v>
      </c>
      <c r="F225" s="1101" t="s">
        <v>587</v>
      </c>
      <c r="G225" s="1124" t="s">
        <v>672</v>
      </c>
      <c r="H225" s="804">
        <v>45748</v>
      </c>
      <c r="I225" s="804">
        <v>45797</v>
      </c>
      <c r="J225" s="798"/>
      <c r="K225" s="28"/>
      <c r="L225" s="28"/>
      <c r="M225" s="28"/>
      <c r="N225" s="53"/>
      <c r="O225" s="763">
        <v>1</v>
      </c>
      <c r="P225" s="53">
        <f t="shared" ref="P225:P227" si="113">$P$1*O225</f>
        <v>1</v>
      </c>
      <c r="Q225" s="674">
        <v>0</v>
      </c>
      <c r="R225" s="766">
        <f>R$1*Q1</f>
        <v>0.75</v>
      </c>
      <c r="S225" s="535"/>
      <c r="T225" s="536"/>
      <c r="U225" s="536"/>
      <c r="V225" s="536"/>
      <c r="W225" s="536"/>
      <c r="X225" s="536"/>
      <c r="Y225" s="536"/>
      <c r="Z225" s="536"/>
      <c r="AA225" s="536"/>
      <c r="AB225" s="536"/>
      <c r="AC225" s="536"/>
      <c r="AD225" s="537"/>
      <c r="AE225" s="27"/>
      <c r="AF225" s="29"/>
      <c r="AG225" s="29"/>
      <c r="AH225" s="391"/>
      <c r="AI225" s="374"/>
      <c r="AJ225" s="25"/>
      <c r="AK225" s="27"/>
      <c r="AL225" s="28"/>
      <c r="AM225" s="1355"/>
      <c r="AN225" s="1356"/>
      <c r="AO225" s="522">
        <f t="shared" si="108"/>
        <v>1</v>
      </c>
      <c r="AP225" s="524">
        <f t="shared" si="108"/>
        <v>1.75</v>
      </c>
      <c r="AQ225" s="525">
        <f t="shared" si="109"/>
        <v>-0.75</v>
      </c>
      <c r="AR225" s="649" t="s">
        <v>42</v>
      </c>
      <c r="AS225" s="349"/>
    </row>
    <row r="226" spans="1:45" s="140" customFormat="1" ht="17" hidden="1" customHeight="1">
      <c r="B226" s="1871"/>
      <c r="C226" s="272" t="s">
        <v>592</v>
      </c>
      <c r="D226" s="163" t="s">
        <v>21</v>
      </c>
      <c r="E226" s="1006" t="s">
        <v>61</v>
      </c>
      <c r="F226" s="1006" t="s">
        <v>373</v>
      </c>
      <c r="G226" s="1058"/>
      <c r="H226" s="800">
        <v>45705</v>
      </c>
      <c r="I226" s="804">
        <v>46112</v>
      </c>
      <c r="J226" s="798"/>
      <c r="K226" s="28">
        <v>0.5</v>
      </c>
      <c r="L226" s="53">
        <f t="shared" ref="L226" si="114">K226*$L$1</f>
        <v>0.5</v>
      </c>
      <c r="M226" s="28">
        <v>1</v>
      </c>
      <c r="N226" s="53">
        <f t="shared" si="78"/>
        <v>1</v>
      </c>
      <c r="O226" s="28">
        <v>1</v>
      </c>
      <c r="P226" s="53">
        <f t="shared" si="113"/>
        <v>1</v>
      </c>
      <c r="Q226" s="374">
        <v>1</v>
      </c>
      <c r="R226" s="506">
        <f t="shared" ref="R226:R227" si="115">$Q$1*Q226</f>
        <v>0.75</v>
      </c>
      <c r="S226" s="535">
        <v>1</v>
      </c>
      <c r="T226" s="536"/>
      <c r="U226" s="536">
        <v>1</v>
      </c>
      <c r="V226" s="536"/>
      <c r="W226" s="536">
        <v>1</v>
      </c>
      <c r="X226" s="536"/>
      <c r="Y226" s="536">
        <v>1</v>
      </c>
      <c r="Z226" s="536"/>
      <c r="AA226" s="536">
        <v>1</v>
      </c>
      <c r="AB226" s="536"/>
      <c r="AC226" s="536">
        <v>1</v>
      </c>
      <c r="AD226" s="537"/>
      <c r="AE226" s="27">
        <v>1</v>
      </c>
      <c r="AF226" s="29"/>
      <c r="AG226" s="29">
        <v>1</v>
      </c>
      <c r="AH226" s="391"/>
      <c r="AI226" s="374">
        <v>1</v>
      </c>
      <c r="AJ226" s="25"/>
      <c r="AK226" s="27">
        <v>1</v>
      </c>
      <c r="AL226" s="28"/>
      <c r="AM226" s="1355"/>
      <c r="AN226" s="1356"/>
      <c r="AO226" s="522">
        <f t="shared" si="108"/>
        <v>13.5</v>
      </c>
      <c r="AP226" s="524">
        <f t="shared" si="108"/>
        <v>3.25</v>
      </c>
      <c r="AQ226" s="525">
        <f t="shared" si="109"/>
        <v>10.25</v>
      </c>
      <c r="AR226" s="649" t="s">
        <v>283</v>
      </c>
      <c r="AS226" s="349"/>
    </row>
    <row r="227" spans="1:45" s="140" customFormat="1" ht="17" hidden="1" customHeight="1">
      <c r="B227" s="1871"/>
      <c r="C227" s="272" t="s">
        <v>591</v>
      </c>
      <c r="D227" s="163" t="s">
        <v>19</v>
      </c>
      <c r="E227" s="1006" t="s">
        <v>61</v>
      </c>
      <c r="F227" s="1006" t="s">
        <v>588</v>
      </c>
      <c r="G227" s="1058"/>
      <c r="H227" s="804">
        <v>45755</v>
      </c>
      <c r="I227" s="804">
        <v>46112</v>
      </c>
      <c r="J227" s="798"/>
      <c r="K227" s="28"/>
      <c r="L227" s="28"/>
      <c r="M227" s="28"/>
      <c r="N227" s="53"/>
      <c r="O227" s="763">
        <v>0.8</v>
      </c>
      <c r="P227" s="53">
        <f t="shared" si="113"/>
        <v>0.8</v>
      </c>
      <c r="Q227" s="374">
        <v>1</v>
      </c>
      <c r="R227" s="506">
        <f t="shared" si="115"/>
        <v>0.75</v>
      </c>
      <c r="S227" s="535">
        <v>1</v>
      </c>
      <c r="T227" s="536"/>
      <c r="U227" s="536">
        <v>1</v>
      </c>
      <c r="V227" s="536"/>
      <c r="W227" s="536">
        <v>1</v>
      </c>
      <c r="X227" s="536"/>
      <c r="Y227" s="536">
        <v>1</v>
      </c>
      <c r="Z227" s="536"/>
      <c r="AA227" s="536">
        <v>1</v>
      </c>
      <c r="AB227" s="536"/>
      <c r="AC227" s="536">
        <v>1</v>
      </c>
      <c r="AD227" s="537"/>
      <c r="AE227" s="27">
        <v>1</v>
      </c>
      <c r="AF227" s="29"/>
      <c r="AG227" s="29">
        <v>1</v>
      </c>
      <c r="AH227" s="391"/>
      <c r="AI227" s="374">
        <v>1</v>
      </c>
      <c r="AJ227" s="25"/>
      <c r="AK227" s="27">
        <v>1</v>
      </c>
      <c r="AL227" s="28"/>
      <c r="AM227" s="1355"/>
      <c r="AN227" s="1356"/>
      <c r="AO227" s="1416">
        <f t="shared" si="108"/>
        <v>11.8</v>
      </c>
      <c r="AP227" s="524">
        <f t="shared" si="108"/>
        <v>1.55</v>
      </c>
      <c r="AQ227" s="525">
        <f t="shared" si="109"/>
        <v>10.25</v>
      </c>
      <c r="AR227" s="649" t="s">
        <v>42</v>
      </c>
      <c r="AS227" s="349"/>
    </row>
    <row r="228" spans="1:45" s="140" customFormat="1" ht="17" hidden="1" customHeight="1" thickBot="1">
      <c r="B228" s="1871"/>
      <c r="C228" s="272" t="s">
        <v>591</v>
      </c>
      <c r="D228" s="163" t="s">
        <v>21</v>
      </c>
      <c r="E228" s="1006" t="s">
        <v>61</v>
      </c>
      <c r="F228" s="1006" t="s">
        <v>302</v>
      </c>
      <c r="G228" s="1058"/>
      <c r="H228" s="804">
        <v>45870</v>
      </c>
      <c r="I228" s="804">
        <v>46053</v>
      </c>
      <c r="J228" s="798"/>
      <c r="K228" s="28"/>
      <c r="L228" s="28"/>
      <c r="M228" s="28"/>
      <c r="N228" s="53"/>
      <c r="O228" s="28"/>
      <c r="P228" s="374"/>
      <c r="Q228" s="374"/>
      <c r="R228" s="503"/>
      <c r="S228" s="535"/>
      <c r="T228" s="536"/>
      <c r="U228" s="536"/>
      <c r="V228" s="536"/>
      <c r="W228" s="536">
        <v>1</v>
      </c>
      <c r="X228" s="536"/>
      <c r="Y228" s="536">
        <v>1</v>
      </c>
      <c r="Z228" s="536"/>
      <c r="AA228" s="536">
        <v>1</v>
      </c>
      <c r="AB228" s="536"/>
      <c r="AC228" s="536">
        <v>1</v>
      </c>
      <c r="AD228" s="537"/>
      <c r="AE228" s="27">
        <v>1</v>
      </c>
      <c r="AF228" s="29"/>
      <c r="AG228" s="29">
        <v>1</v>
      </c>
      <c r="AH228" s="391"/>
      <c r="AI228" s="374"/>
      <c r="AJ228" s="25"/>
      <c r="AK228" s="27"/>
      <c r="AL228" s="28"/>
      <c r="AM228" s="1355"/>
      <c r="AN228" s="1356"/>
      <c r="AO228" s="522">
        <f t="shared" si="108"/>
        <v>6</v>
      </c>
      <c r="AP228" s="524">
        <f t="shared" si="108"/>
        <v>0</v>
      </c>
      <c r="AQ228" s="525">
        <f t="shared" si="109"/>
        <v>6</v>
      </c>
      <c r="AR228" s="649" t="s">
        <v>283</v>
      </c>
      <c r="AS228" s="349"/>
    </row>
    <row r="229" spans="1:45" s="140" customFormat="1" ht="17" hidden="1" customHeight="1" thickBot="1">
      <c r="B229" s="1871"/>
      <c r="C229" s="272" t="s">
        <v>593</v>
      </c>
      <c r="D229" s="163" t="s">
        <v>22</v>
      </c>
      <c r="E229" s="1006" t="s">
        <v>61</v>
      </c>
      <c r="F229" s="938" t="s">
        <v>644</v>
      </c>
      <c r="G229" s="1069" t="s">
        <v>684</v>
      </c>
      <c r="H229" s="924">
        <v>45784</v>
      </c>
      <c r="I229" s="924">
        <v>46112</v>
      </c>
      <c r="J229" s="798"/>
      <c r="K229" s="40"/>
      <c r="L229" s="40"/>
      <c r="M229" s="40"/>
      <c r="N229" s="53"/>
      <c r="O229" s="28"/>
      <c r="P229" s="374"/>
      <c r="Q229" s="1126">
        <v>0</v>
      </c>
      <c r="R229" s="1366">
        <v>0</v>
      </c>
      <c r="S229" s="1128">
        <v>0.5</v>
      </c>
      <c r="T229" s="1128"/>
      <c r="U229" s="1128">
        <v>0</v>
      </c>
      <c r="V229" s="1128"/>
      <c r="W229" s="536">
        <v>1</v>
      </c>
      <c r="X229" s="536"/>
      <c r="Y229" s="536">
        <v>1</v>
      </c>
      <c r="Z229" s="536"/>
      <c r="AA229" s="536">
        <v>1</v>
      </c>
      <c r="AB229" s="536"/>
      <c r="AC229" s="536">
        <v>1</v>
      </c>
      <c r="AD229" s="537"/>
      <c r="AE229" s="27">
        <v>0.5</v>
      </c>
      <c r="AF229" s="29"/>
      <c r="AG229" s="29"/>
      <c r="AH229" s="391"/>
      <c r="AI229" s="374"/>
      <c r="AJ229" s="25"/>
      <c r="AK229" s="27"/>
      <c r="AL229" s="28"/>
      <c r="AM229" s="1355"/>
      <c r="AN229" s="1356"/>
      <c r="AO229" s="522">
        <f t="shared" si="108"/>
        <v>5</v>
      </c>
      <c r="AP229" s="524"/>
      <c r="AQ229" s="525">
        <f t="shared" si="109"/>
        <v>5</v>
      </c>
      <c r="AR229" s="649" t="s">
        <v>43</v>
      </c>
      <c r="AS229" s="349"/>
    </row>
    <row r="230" spans="1:45" s="140" customFormat="1" ht="17" hidden="1" customHeight="1">
      <c r="B230" s="1871"/>
      <c r="C230" s="169" t="s">
        <v>593</v>
      </c>
      <c r="D230" s="236" t="s">
        <v>22</v>
      </c>
      <c r="E230" s="937" t="s">
        <v>61</v>
      </c>
      <c r="F230" s="938" t="s">
        <v>645</v>
      </c>
      <c r="G230" s="1069" t="s">
        <v>647</v>
      </c>
      <c r="H230" s="924">
        <v>45784</v>
      </c>
      <c r="I230" s="924">
        <v>46112</v>
      </c>
      <c r="J230" s="798"/>
      <c r="K230" s="40"/>
      <c r="L230" s="40"/>
      <c r="M230" s="40"/>
      <c r="N230" s="53"/>
      <c r="O230" s="28"/>
      <c r="P230" s="374"/>
      <c r="Q230" s="1126">
        <v>0</v>
      </c>
      <c r="R230" s="1366">
        <v>0</v>
      </c>
      <c r="S230" s="1126">
        <v>0</v>
      </c>
      <c r="T230" s="1126"/>
      <c r="U230" s="1126">
        <v>0</v>
      </c>
      <c r="V230" s="1126"/>
      <c r="W230" s="1126">
        <v>0</v>
      </c>
      <c r="X230" s="1126"/>
      <c r="Y230" s="1126">
        <v>0</v>
      </c>
      <c r="Z230" s="1126"/>
      <c r="AA230" s="1126">
        <v>0</v>
      </c>
      <c r="AB230" s="1126"/>
      <c r="AC230" s="1126">
        <v>0</v>
      </c>
      <c r="AD230" s="1367"/>
      <c r="AE230" s="1363">
        <v>0</v>
      </c>
      <c r="AF230" s="1360"/>
      <c r="AG230" s="1360">
        <v>0</v>
      </c>
      <c r="AH230" s="1383"/>
      <c r="AI230" s="1374"/>
      <c r="AJ230" s="1365"/>
      <c r="AK230" s="1363"/>
      <c r="AL230" s="1125"/>
      <c r="AM230" s="1355"/>
      <c r="AN230" s="1356"/>
      <c r="AO230" s="522">
        <f t="shared" si="108"/>
        <v>0</v>
      </c>
      <c r="AP230" s="524">
        <f t="shared" si="108"/>
        <v>0</v>
      </c>
      <c r="AQ230" s="525">
        <f t="shared" si="109"/>
        <v>0</v>
      </c>
      <c r="AR230" s="649" t="s">
        <v>43</v>
      </c>
      <c r="AS230" s="349"/>
    </row>
    <row r="231" spans="1:45" s="140" customFormat="1" ht="17" hidden="1" customHeight="1">
      <c r="B231" s="1871"/>
      <c r="C231" s="272" t="s">
        <v>108</v>
      </c>
      <c r="D231" s="163" t="s">
        <v>19</v>
      </c>
      <c r="E231" s="1006" t="s">
        <v>61</v>
      </c>
      <c r="F231" s="1006" t="s">
        <v>302</v>
      </c>
      <c r="G231" s="1058"/>
      <c r="H231" s="804">
        <v>45916</v>
      </c>
      <c r="I231" s="804">
        <v>46096</v>
      </c>
      <c r="J231" s="798"/>
      <c r="K231" s="40"/>
      <c r="L231" s="40"/>
      <c r="M231" s="40"/>
      <c r="N231" s="53"/>
      <c r="O231" s="28"/>
      <c r="P231" s="374"/>
      <c r="Q231" s="374"/>
      <c r="R231" s="503"/>
      <c r="S231" s="535"/>
      <c r="T231" s="536"/>
      <c r="U231" s="536"/>
      <c r="V231" s="536"/>
      <c r="W231" s="536"/>
      <c r="X231" s="536"/>
      <c r="Y231" s="536">
        <v>0.5</v>
      </c>
      <c r="Z231" s="536"/>
      <c r="AA231" s="536">
        <v>1</v>
      </c>
      <c r="AB231" s="536"/>
      <c r="AC231" s="536">
        <v>1</v>
      </c>
      <c r="AD231" s="537"/>
      <c r="AE231" s="27">
        <v>1</v>
      </c>
      <c r="AF231" s="29"/>
      <c r="AG231" s="29">
        <v>1</v>
      </c>
      <c r="AH231" s="391"/>
      <c r="AI231" s="374">
        <v>1</v>
      </c>
      <c r="AJ231" s="25"/>
      <c r="AK231" s="27">
        <v>0.5</v>
      </c>
      <c r="AL231" s="28"/>
      <c r="AM231" s="1355"/>
      <c r="AN231" s="1356"/>
      <c r="AO231" s="522">
        <f t="shared" si="108"/>
        <v>6</v>
      </c>
      <c r="AP231" s="524">
        <f t="shared" si="108"/>
        <v>0</v>
      </c>
      <c r="AQ231" s="525">
        <f t="shared" si="109"/>
        <v>6</v>
      </c>
      <c r="AR231" s="649" t="s">
        <v>42</v>
      </c>
      <c r="AS231" s="349"/>
    </row>
    <row r="232" spans="1:45" s="140" customFormat="1" ht="17" hidden="1" customHeight="1">
      <c r="B232" s="1871"/>
      <c r="C232" s="858" t="s">
        <v>109</v>
      </c>
      <c r="D232" s="1062" t="s">
        <v>19</v>
      </c>
      <c r="E232" s="1065" t="s">
        <v>61</v>
      </c>
      <c r="F232" s="1065" t="s">
        <v>302</v>
      </c>
      <c r="G232" s="1059"/>
      <c r="H232" s="804">
        <v>45916</v>
      </c>
      <c r="I232" s="859">
        <v>46053</v>
      </c>
      <c r="J232" s="370"/>
      <c r="K232" s="40"/>
      <c r="L232" s="40"/>
      <c r="M232" s="40"/>
      <c r="N232" s="53"/>
      <c r="O232" s="40"/>
      <c r="P232" s="28"/>
      <c r="Q232" s="376"/>
      <c r="R232" s="504"/>
      <c r="S232" s="538"/>
      <c r="T232" s="539"/>
      <c r="U232" s="539"/>
      <c r="V232" s="539"/>
      <c r="W232" s="539"/>
      <c r="X232" s="539"/>
      <c r="Y232" s="539">
        <v>0.5</v>
      </c>
      <c r="Z232" s="539"/>
      <c r="AA232" s="539">
        <v>1</v>
      </c>
      <c r="AB232" s="539"/>
      <c r="AC232" s="539">
        <v>1</v>
      </c>
      <c r="AD232" s="558"/>
      <c r="AE232" s="39">
        <v>1</v>
      </c>
      <c r="AF232" s="360"/>
      <c r="AG232" s="360">
        <v>1</v>
      </c>
      <c r="AH232" s="501"/>
      <c r="AI232" s="376"/>
      <c r="AJ232" s="122"/>
      <c r="AK232" s="39"/>
      <c r="AL232" s="40"/>
      <c r="AM232" s="1354"/>
      <c r="AN232" s="1353"/>
      <c r="AO232" s="522">
        <f t="shared" si="108"/>
        <v>4.5</v>
      </c>
      <c r="AP232" s="524">
        <f t="shared" si="108"/>
        <v>0</v>
      </c>
      <c r="AQ232" s="525">
        <f t="shared" si="109"/>
        <v>4.5</v>
      </c>
      <c r="AR232" s="650" t="s">
        <v>42</v>
      </c>
      <c r="AS232" s="349"/>
    </row>
    <row r="233" spans="1:45" s="140" customFormat="1" ht="17" hidden="1" customHeight="1">
      <c r="B233" s="1871"/>
      <c r="C233" s="858" t="s">
        <v>637</v>
      </c>
      <c r="D233" s="1062" t="s">
        <v>19</v>
      </c>
      <c r="E233" s="1065" t="s">
        <v>61</v>
      </c>
      <c r="F233" s="1065" t="s">
        <v>594</v>
      </c>
      <c r="G233" s="1059"/>
      <c r="H233" s="804">
        <v>45748</v>
      </c>
      <c r="I233" s="859">
        <v>45808</v>
      </c>
      <c r="J233" s="370"/>
      <c r="K233" s="40"/>
      <c r="L233" s="40"/>
      <c r="M233" s="40"/>
      <c r="N233" s="53"/>
      <c r="O233" s="40">
        <v>1</v>
      </c>
      <c r="P233" s="53">
        <f t="shared" ref="P233" si="116">$P$1*O233</f>
        <v>1</v>
      </c>
      <c r="Q233" s="376">
        <v>1</v>
      </c>
      <c r="R233" s="506">
        <f>$Q$1*Q233</f>
        <v>0.75</v>
      </c>
      <c r="S233" s="538"/>
      <c r="T233" s="539"/>
      <c r="U233" s="539"/>
      <c r="V233" s="539"/>
      <c r="W233" s="539"/>
      <c r="X233" s="539"/>
      <c r="Y233" s="539"/>
      <c r="Z233" s="539"/>
      <c r="AA233" s="539"/>
      <c r="AB233" s="539"/>
      <c r="AC233" s="539"/>
      <c r="AD233" s="558"/>
      <c r="AE233" s="39"/>
      <c r="AF233" s="360"/>
      <c r="AG233" s="360"/>
      <c r="AH233" s="501"/>
      <c r="AI233" s="376"/>
      <c r="AJ233" s="122"/>
      <c r="AK233" s="39"/>
      <c r="AL233" s="40"/>
      <c r="AM233" s="1354"/>
      <c r="AN233" s="1353"/>
      <c r="AO233" s="522">
        <f t="shared" si="108"/>
        <v>2</v>
      </c>
      <c r="AP233" s="524">
        <f t="shared" si="108"/>
        <v>1.75</v>
      </c>
      <c r="AQ233" s="525">
        <f t="shared" si="109"/>
        <v>0.25</v>
      </c>
      <c r="AR233" s="650" t="s">
        <v>42</v>
      </c>
      <c r="AS233" s="349"/>
    </row>
    <row r="234" spans="1:45" s="140" customFormat="1" ht="17" hidden="1" customHeight="1">
      <c r="B234" s="1871"/>
      <c r="C234" s="858" t="s">
        <v>675</v>
      </c>
      <c r="D234" s="1062" t="s">
        <v>19</v>
      </c>
      <c r="E234" s="1065" t="s">
        <v>61</v>
      </c>
      <c r="F234" s="1065" t="s">
        <v>676</v>
      </c>
      <c r="G234" s="1067"/>
      <c r="H234" s="804">
        <v>45796</v>
      </c>
      <c r="I234" s="859">
        <v>45852</v>
      </c>
      <c r="J234" s="370"/>
      <c r="K234" s="40"/>
      <c r="L234" s="40"/>
      <c r="M234" s="40"/>
      <c r="N234" s="53"/>
      <c r="O234" s="40"/>
      <c r="P234" s="376"/>
      <c r="Q234" s="376">
        <v>0.5</v>
      </c>
      <c r="R234" s="504"/>
      <c r="S234" s="538">
        <v>1</v>
      </c>
      <c r="T234" s="539"/>
      <c r="U234" s="539">
        <v>0.5</v>
      </c>
      <c r="V234" s="539"/>
      <c r="W234" s="539"/>
      <c r="X234" s="539"/>
      <c r="Y234" s="539"/>
      <c r="Z234" s="539"/>
      <c r="AA234" s="539"/>
      <c r="AB234" s="539"/>
      <c r="AC234" s="539"/>
      <c r="AD234" s="558"/>
      <c r="AE234" s="39"/>
      <c r="AF234" s="360"/>
      <c r="AG234" s="360"/>
      <c r="AH234" s="501"/>
      <c r="AI234" s="376"/>
      <c r="AJ234" s="122"/>
      <c r="AK234" s="39"/>
      <c r="AL234" s="40"/>
      <c r="AM234" s="1354"/>
      <c r="AN234" s="1353"/>
      <c r="AO234" s="522">
        <f t="shared" si="108"/>
        <v>2</v>
      </c>
      <c r="AP234" s="524">
        <f t="shared" si="108"/>
        <v>0</v>
      </c>
      <c r="AQ234" s="525">
        <f t="shared" si="109"/>
        <v>2</v>
      </c>
      <c r="AR234" s="650" t="s">
        <v>42</v>
      </c>
      <c r="AS234" s="349"/>
    </row>
    <row r="235" spans="1:45" s="140" customFormat="1" ht="17" hidden="1" customHeight="1" thickBot="1">
      <c r="B235" s="1871"/>
      <c r="C235" s="909" t="s">
        <v>595</v>
      </c>
      <c r="D235" s="1063" t="s">
        <v>19</v>
      </c>
      <c r="E235" s="1066" t="s">
        <v>61</v>
      </c>
      <c r="F235" s="1066" t="s">
        <v>302</v>
      </c>
      <c r="G235" s="1059"/>
      <c r="H235" s="861">
        <v>45839</v>
      </c>
      <c r="I235" s="861">
        <v>46265</v>
      </c>
      <c r="J235" s="370"/>
      <c r="K235" s="40"/>
      <c r="L235" s="40"/>
      <c r="M235" s="40"/>
      <c r="N235" s="53"/>
      <c r="O235" s="40"/>
      <c r="P235" s="376"/>
      <c r="Q235" s="376"/>
      <c r="R235" s="504"/>
      <c r="S235" s="538"/>
      <c r="T235" s="539"/>
      <c r="U235" s="539">
        <v>1</v>
      </c>
      <c r="V235" s="539"/>
      <c r="W235" s="539">
        <v>1</v>
      </c>
      <c r="X235" s="539"/>
      <c r="Y235" s="539"/>
      <c r="Z235" s="539"/>
      <c r="AA235" s="539"/>
      <c r="AB235" s="539"/>
      <c r="AC235" s="539"/>
      <c r="AD235" s="558"/>
      <c r="AE235" s="39"/>
      <c r="AF235" s="360"/>
      <c r="AG235" s="360"/>
      <c r="AH235" s="501"/>
      <c r="AI235" s="376"/>
      <c r="AJ235" s="122"/>
      <c r="AK235" s="39"/>
      <c r="AL235" s="40"/>
      <c r="AM235" s="1354"/>
      <c r="AN235" s="1353"/>
      <c r="AO235" s="522">
        <f t="shared" si="108"/>
        <v>2</v>
      </c>
      <c r="AP235" s="524">
        <f t="shared" si="108"/>
        <v>0</v>
      </c>
      <c r="AQ235" s="525">
        <f t="shared" si="109"/>
        <v>2</v>
      </c>
      <c r="AR235" s="650" t="s">
        <v>42</v>
      </c>
      <c r="AS235" s="349"/>
    </row>
    <row r="236" spans="1:45" s="150" customFormat="1" ht="17" hidden="1" customHeight="1" thickBot="1">
      <c r="A236" s="140"/>
      <c r="B236" s="1872"/>
      <c r="C236" s="489" t="s">
        <v>16</v>
      </c>
      <c r="D236" s="191"/>
      <c r="E236" s="458"/>
      <c r="F236" s="621"/>
      <c r="G236" s="621"/>
      <c r="H236" s="622"/>
      <c r="I236" s="819"/>
      <c r="J236" s="371">
        <f t="shared" ref="J236:Q236" si="117">SUM(J220:J235)</f>
        <v>0</v>
      </c>
      <c r="K236" s="192">
        <f t="shared" si="117"/>
        <v>1</v>
      </c>
      <c r="L236" s="192">
        <f t="shared" si="117"/>
        <v>1</v>
      </c>
      <c r="M236" s="192">
        <f t="shared" si="117"/>
        <v>4</v>
      </c>
      <c r="N236" s="192">
        <f t="shared" si="117"/>
        <v>4</v>
      </c>
      <c r="O236" s="192">
        <f t="shared" si="117"/>
        <v>5.8</v>
      </c>
      <c r="P236" s="192">
        <f t="shared" si="117"/>
        <v>5.8</v>
      </c>
      <c r="Q236" s="1082">
        <f t="shared" si="117"/>
        <v>6.3</v>
      </c>
      <c r="R236" s="509"/>
      <c r="S236" s="566">
        <f>SUM(S220:S235)</f>
        <v>7.5</v>
      </c>
      <c r="T236" s="567"/>
      <c r="U236" s="567">
        <f>SUM(U220:U235)</f>
        <v>7.5</v>
      </c>
      <c r="V236" s="567"/>
      <c r="W236" s="567">
        <f>SUM(W220:W235)</f>
        <v>9</v>
      </c>
      <c r="X236" s="567"/>
      <c r="Y236" s="567">
        <f>SUM(Y220:Y235)</f>
        <v>9</v>
      </c>
      <c r="Z236" s="567"/>
      <c r="AA236" s="567">
        <f>SUM(AA220:AA235)</f>
        <v>10</v>
      </c>
      <c r="AB236" s="567"/>
      <c r="AC236" s="567">
        <f>SUM(AC220:AC235)</f>
        <v>10</v>
      </c>
      <c r="AD236" s="568"/>
      <c r="AE236" s="279">
        <f>SUM(AE220:AE235)</f>
        <v>9.5</v>
      </c>
      <c r="AF236" s="371"/>
      <c r="AG236" s="192">
        <f>SUM(AG220:AG235)</f>
        <v>9</v>
      </c>
      <c r="AH236" s="387"/>
      <c r="AI236" s="387">
        <f>SUM(AI220:AI235)</f>
        <v>7</v>
      </c>
      <c r="AJ236" s="270"/>
      <c r="AK236" s="279">
        <f>SUM(AK220:AK235)</f>
        <v>6.5</v>
      </c>
      <c r="AL236" s="192"/>
      <c r="AM236" s="192">
        <f>SUM(AM220:AM235)</f>
        <v>0.2</v>
      </c>
      <c r="AN236" s="270"/>
      <c r="AO236" s="526">
        <f>+SUM(AO220:AO235)</f>
        <v>102.3</v>
      </c>
      <c r="AP236" s="581">
        <f>+SUM(AP220:AP235)</f>
        <v>15.3</v>
      </c>
      <c r="AQ236" s="582">
        <f>+SUM(AQ220:AQ235)</f>
        <v>87</v>
      </c>
      <c r="AR236" s="651"/>
      <c r="AS236" s="349"/>
    </row>
    <row r="237" spans="1:45" s="140" customFormat="1" ht="17" customHeight="1">
      <c r="B237" s="1820"/>
      <c r="C237" s="174" t="s">
        <v>97</v>
      </c>
      <c r="D237" s="936" t="s">
        <v>21</v>
      </c>
      <c r="E237" s="1055" t="s">
        <v>17</v>
      </c>
      <c r="F237" s="1070" t="s">
        <v>346</v>
      </c>
      <c r="G237" s="1055"/>
      <c r="H237" s="799">
        <v>45964</v>
      </c>
      <c r="I237" s="799">
        <v>46017</v>
      </c>
      <c r="J237" s="366"/>
      <c r="K237" s="53"/>
      <c r="L237" s="53"/>
      <c r="M237" s="53"/>
      <c r="N237" s="53"/>
      <c r="O237" s="53"/>
      <c r="P237" s="383"/>
      <c r="Q237" s="383"/>
      <c r="R237" s="506"/>
      <c r="S237" s="555"/>
      <c r="T237" s="556"/>
      <c r="U237" s="556"/>
      <c r="V237" s="556"/>
      <c r="W237" s="556"/>
      <c r="X237" s="556"/>
      <c r="Y237" s="1357"/>
      <c r="Z237" s="556"/>
      <c r="AA237" s="1357"/>
      <c r="AB237" s="1357"/>
      <c r="AC237" s="1357">
        <v>1</v>
      </c>
      <c r="AD237" s="1358"/>
      <c r="AE237" s="1359">
        <v>1</v>
      </c>
      <c r="AF237" s="1218"/>
      <c r="AG237" s="1182"/>
      <c r="AH237" s="1179"/>
      <c r="AI237" s="1179"/>
      <c r="AJ237" s="54"/>
      <c r="AK237" s="1359"/>
      <c r="AL237" s="1182"/>
      <c r="AM237" s="1182"/>
      <c r="AN237" s="1183"/>
      <c r="AO237" s="522">
        <f t="shared" ref="AO237:AP239" si="118">+K237+M237+O237+Q237+S237+U237+W237+Y237+AA237+AC237+AE237+AG237+AI237+AK237+AM237</f>
        <v>2</v>
      </c>
      <c r="AP237" s="524">
        <f t="shared" si="118"/>
        <v>0</v>
      </c>
      <c r="AQ237" s="525">
        <f t="shared" ref="AQ237:AQ239" si="119">AO237-AP237</f>
        <v>2</v>
      </c>
      <c r="AR237" s="634"/>
      <c r="AS237" s="349"/>
    </row>
    <row r="238" spans="1:45" s="140" customFormat="1" ht="17" customHeight="1">
      <c r="B238" s="1820"/>
      <c r="C238" s="242" t="s">
        <v>37</v>
      </c>
      <c r="D238" s="34" t="s">
        <v>13</v>
      </c>
      <c r="E238" s="1056" t="s">
        <v>17</v>
      </c>
      <c r="F238" s="1071" t="s">
        <v>608</v>
      </c>
      <c r="G238" s="1056"/>
      <c r="H238" s="800">
        <v>45931</v>
      </c>
      <c r="I238" s="800">
        <v>46081</v>
      </c>
      <c r="J238" s="29"/>
      <c r="K238" s="28"/>
      <c r="L238" s="28"/>
      <c r="M238" s="28"/>
      <c r="N238" s="53"/>
      <c r="O238" s="28"/>
      <c r="P238" s="374"/>
      <c r="Q238" s="374"/>
      <c r="R238" s="503"/>
      <c r="S238" s="535"/>
      <c r="T238" s="536"/>
      <c r="U238" s="536"/>
      <c r="V238" s="536"/>
      <c r="W238" s="536"/>
      <c r="X238" s="536"/>
      <c r="Y238" s="536"/>
      <c r="Z238" s="536"/>
      <c r="AA238" s="536">
        <v>1</v>
      </c>
      <c r="AB238" s="1128"/>
      <c r="AC238" s="1128">
        <v>0.5</v>
      </c>
      <c r="AD238" s="1181"/>
      <c r="AE238" s="1129">
        <v>1</v>
      </c>
      <c r="AF238" s="1143"/>
      <c r="AG238" s="1130">
        <v>0.5</v>
      </c>
      <c r="AH238" s="1131"/>
      <c r="AI238" s="1131">
        <v>1</v>
      </c>
      <c r="AJ238" s="25"/>
      <c r="AK238" s="1129"/>
      <c r="AL238" s="1130"/>
      <c r="AM238" s="1130"/>
      <c r="AN238" s="1142"/>
      <c r="AO238" s="522">
        <f t="shared" si="118"/>
        <v>4</v>
      </c>
      <c r="AP238" s="524">
        <f t="shared" si="118"/>
        <v>0</v>
      </c>
      <c r="AQ238" s="525">
        <f t="shared" si="119"/>
        <v>4</v>
      </c>
      <c r="AR238" s="635"/>
      <c r="AS238" s="349"/>
    </row>
    <row r="239" spans="1:45" s="140" customFormat="1" ht="17" customHeight="1" thickBot="1">
      <c r="B239" s="1820"/>
      <c r="C239" s="1054" t="s">
        <v>98</v>
      </c>
      <c r="D239" s="942" t="s">
        <v>19</v>
      </c>
      <c r="E239" s="1073" t="s">
        <v>17</v>
      </c>
      <c r="F239" s="1072" t="s">
        <v>74</v>
      </c>
      <c r="G239" s="1057"/>
      <c r="H239" s="802">
        <v>45884</v>
      </c>
      <c r="I239" s="802">
        <v>46022</v>
      </c>
      <c r="J239" s="360"/>
      <c r="K239" s="40"/>
      <c r="L239" s="40"/>
      <c r="M239" s="40"/>
      <c r="N239" s="53"/>
      <c r="O239" s="40"/>
      <c r="P239" s="376"/>
      <c r="Q239" s="376"/>
      <c r="R239" s="504"/>
      <c r="S239" s="538"/>
      <c r="T239" s="539"/>
      <c r="U239" s="539"/>
      <c r="V239" s="539"/>
      <c r="W239" s="539">
        <v>0.1</v>
      </c>
      <c r="X239" s="539"/>
      <c r="Y239" s="539"/>
      <c r="Z239" s="539"/>
      <c r="AA239" s="539"/>
      <c r="AB239" s="1134"/>
      <c r="AC239" s="1134">
        <v>1</v>
      </c>
      <c r="AD239" s="1135"/>
      <c r="AE239" s="1136">
        <v>1</v>
      </c>
      <c r="AF239" s="1137"/>
      <c r="AG239" s="1138"/>
      <c r="AH239" s="1139"/>
      <c r="AI239" s="1139"/>
      <c r="AJ239" s="122"/>
      <c r="AK239" s="1136"/>
      <c r="AL239" s="1138"/>
      <c r="AM239" s="1138"/>
      <c r="AN239" s="1140"/>
      <c r="AO239" s="522">
        <f t="shared" si="118"/>
        <v>2.1</v>
      </c>
      <c r="AP239" s="524">
        <f t="shared" si="118"/>
        <v>0</v>
      </c>
      <c r="AQ239" s="525">
        <f t="shared" si="119"/>
        <v>2.1</v>
      </c>
      <c r="AR239" s="642"/>
      <c r="AS239" s="349"/>
    </row>
    <row r="240" spans="1:45" s="150" customFormat="1" ht="17" hidden="1" customHeight="1" thickBot="1">
      <c r="A240" s="140"/>
      <c r="B240" s="1821"/>
      <c r="C240" s="489" t="s">
        <v>16</v>
      </c>
      <c r="D240" s="157"/>
      <c r="E240" s="437"/>
      <c r="F240" s="602"/>
      <c r="G240" s="602"/>
      <c r="H240" s="603"/>
      <c r="I240" s="351"/>
      <c r="J240" s="161">
        <f t="shared" ref="J240:Q240" si="120">SUM(J237:J239)</f>
        <v>0</v>
      </c>
      <c r="K240" s="178">
        <f t="shared" si="120"/>
        <v>0</v>
      </c>
      <c r="L240" s="178">
        <f t="shared" si="120"/>
        <v>0</v>
      </c>
      <c r="M240" s="178">
        <f t="shared" si="120"/>
        <v>0</v>
      </c>
      <c r="N240" s="178">
        <f t="shared" si="120"/>
        <v>0</v>
      </c>
      <c r="O240" s="178">
        <f t="shared" si="120"/>
        <v>0</v>
      </c>
      <c r="P240" s="178">
        <f t="shared" si="120"/>
        <v>0</v>
      </c>
      <c r="Q240" s="375">
        <f t="shared" si="120"/>
        <v>0</v>
      </c>
      <c r="R240" s="505"/>
      <c r="S240" s="540">
        <f>SUM(S237:S239)</f>
        <v>0</v>
      </c>
      <c r="T240" s="541"/>
      <c r="U240" s="541">
        <f>SUM(U237:U239)</f>
        <v>0</v>
      </c>
      <c r="V240" s="541"/>
      <c r="W240" s="541">
        <f>SUM(W237:W239)</f>
        <v>0.1</v>
      </c>
      <c r="X240" s="541"/>
      <c r="Y240" s="541">
        <f>SUM(Y237:Y239)</f>
        <v>0</v>
      </c>
      <c r="Z240" s="541"/>
      <c r="AA240" s="541">
        <f>SUM(AA237:AA239)</f>
        <v>1</v>
      </c>
      <c r="AB240" s="541"/>
      <c r="AC240" s="541">
        <f>SUM(AC237:AC239)</f>
        <v>2.5</v>
      </c>
      <c r="AD240" s="542"/>
      <c r="AE240" s="161">
        <f>SUM(AE237:AE239)</f>
        <v>3</v>
      </c>
      <c r="AF240" s="159"/>
      <c r="AG240" s="178">
        <f>SUM(AG237:AG239)</f>
        <v>0.5</v>
      </c>
      <c r="AH240" s="375"/>
      <c r="AI240" s="375">
        <f>SUM(AI237:AI239)</f>
        <v>1</v>
      </c>
      <c r="AJ240" s="185"/>
      <c r="AK240" s="161">
        <f>SUM(AK237:AK239)</f>
        <v>0</v>
      </c>
      <c r="AL240" s="178"/>
      <c r="AM240" s="178">
        <f>SUM(AM237:AM239)</f>
        <v>0</v>
      </c>
      <c r="AN240" s="185"/>
      <c r="AO240" s="514">
        <f>+SUM(AO237:AO239)</f>
        <v>8.1</v>
      </c>
      <c r="AP240" s="515">
        <f>+SUM(AP237:AP239)</f>
        <v>0</v>
      </c>
      <c r="AQ240" s="516">
        <f>+SUM(AQ237:AQ239)</f>
        <v>8.1</v>
      </c>
      <c r="AR240" s="637"/>
      <c r="AS240" s="349"/>
    </row>
    <row r="241" spans="2:45" s="140" customFormat="1" ht="17" hidden="1" customHeight="1" thickBot="1">
      <c r="B241" s="151"/>
      <c r="C241" s="708" t="s">
        <v>159</v>
      </c>
      <c r="D241" s="705"/>
      <c r="E241" s="706"/>
      <c r="F241" s="706"/>
      <c r="G241" s="706"/>
      <c r="H241" s="706"/>
      <c r="I241" s="707"/>
      <c r="J241" s="623">
        <f t="shared" ref="J241:Q241" si="121">J240+J236+J219+J205+J195+J124+J96+J66+J56+J46+J29+J20</f>
        <v>0</v>
      </c>
      <c r="K241" s="709">
        <f t="shared" si="121"/>
        <v>49.15</v>
      </c>
      <c r="L241" s="709">
        <f t="shared" si="121"/>
        <v>53.4</v>
      </c>
      <c r="M241" s="709">
        <f t="shared" si="121"/>
        <v>70.400000000000006</v>
      </c>
      <c r="N241" s="709">
        <f t="shared" si="121"/>
        <v>75.7</v>
      </c>
      <c r="O241" s="709">
        <f t="shared" si="121"/>
        <v>88.4</v>
      </c>
      <c r="P241" s="709">
        <f t="shared" si="121"/>
        <v>98.9</v>
      </c>
      <c r="Q241" s="1083">
        <f t="shared" si="121"/>
        <v>97.95</v>
      </c>
      <c r="R241" s="711"/>
      <c r="S241" s="712">
        <f>S240+S236+S219+S205+S195+S124+S96+S66+S56+S46+S29+S20</f>
        <v>132.20000000000002</v>
      </c>
      <c r="T241" s="713"/>
      <c r="U241" s="713">
        <f>U240+U236+U219+U205+U195+U124+U96+U66+U56+U46+U29+U20</f>
        <v>148.19999999999999</v>
      </c>
      <c r="V241" s="713"/>
      <c r="W241" s="713">
        <f>W240+W236+W219+W205+W195+W124+W96+W66+W56+W46+W29+W20</f>
        <v>156.1</v>
      </c>
      <c r="X241" s="713"/>
      <c r="Y241" s="713">
        <f>Y240+Y236+Y219+Y205+Y195+Y124+Y96+Y66+Y56+Y46+Y29+Y20</f>
        <v>154.1</v>
      </c>
      <c r="Z241" s="713"/>
      <c r="AA241" s="713">
        <f>AA240+AA236+AA219+AA205+AA195+AA124+AA96+AA66+AA56+AA46+AA29+AA20</f>
        <v>154.69999999999999</v>
      </c>
      <c r="AB241" s="713"/>
      <c r="AC241" s="713">
        <f>AC240+AC236+AC219+AC205+AC195+AC124+AC96+AC66+AC56+AC46+AC29+AC20</f>
        <v>151.94999999999999</v>
      </c>
      <c r="AD241" s="714"/>
      <c r="AE241" s="715">
        <f>AE240+AE236+AE219+AE205+AE195+AE124+AE96+AE66+AE56+AE46+AE29+AE20</f>
        <v>144.69999999999999</v>
      </c>
      <c r="AF241" s="716"/>
      <c r="AG241" s="709">
        <f>AG240+AG236+AG219+AG205+AG195+AG124+AG96+AG66+AG56+AG46+AG29+AG20</f>
        <v>134.75</v>
      </c>
      <c r="AH241" s="710"/>
      <c r="AI241" s="710">
        <f>AI240+AI236+AI219+AI205+AI195+AI124+AI96+AI66+AI56+AI46+AI29+AI20</f>
        <v>127.7</v>
      </c>
      <c r="AJ241" s="717"/>
      <c r="AK241" s="715">
        <f>AK240+AK236+AK219+AK205+AK195+AK124+AK96+AK66+AK56+AK46+AK29+AK20</f>
        <v>108.7</v>
      </c>
      <c r="AL241" s="709"/>
      <c r="AM241" s="709">
        <f>AM240+AM236+AM219+AM205+AM195+AM124+AM96+AM66+AM56+AM46+AM29+AM20</f>
        <v>52.5</v>
      </c>
      <c r="AN241" s="717"/>
      <c r="AO241" s="715">
        <f>AO240+AO236+AO219+AO205+AO195+AO124+AO96+AO66+AO56+AO46+AO29+AO20</f>
        <v>1768.5</v>
      </c>
      <c r="AP241" s="709" t="e">
        <f>AP240+AP236+AP219+AP205+AP195+AP124+AP96+AP66+AP56+AP46+AP29+AP20</f>
        <v>#REF!</v>
      </c>
      <c r="AQ241" s="717" t="e">
        <f>AQ240+AQ236+AQ219+AQ205+AQ195+AQ124+AQ96+AQ66+AQ56+AQ46+AQ29+AQ20</f>
        <v>#REF!</v>
      </c>
      <c r="AR241" s="653"/>
      <c r="AS241" s="349"/>
    </row>
    <row r="242" spans="2:45" hidden="1">
      <c r="C242" s="206"/>
      <c r="K242">
        <f>K241*$L$1</f>
        <v>49.15</v>
      </c>
      <c r="L242" s="664">
        <f>L241</f>
        <v>53.4</v>
      </c>
      <c r="M242">
        <f>M241*$N$1</f>
        <v>70.400000000000006</v>
      </c>
      <c r="N242" s="664">
        <f>N241</f>
        <v>75.7</v>
      </c>
    </row>
    <row r="243" spans="2:45" hidden="1">
      <c r="K243" s="496"/>
      <c r="L243" s="664">
        <f>L242-K242</f>
        <v>4.25</v>
      </c>
      <c r="M243" s="496"/>
      <c r="N243" s="664">
        <f>N242-M242</f>
        <v>5.2999999999999972</v>
      </c>
      <c r="O243" s="496"/>
      <c r="Q243" s="1084"/>
      <c r="S243" s="496"/>
      <c r="U243" s="496"/>
      <c r="W243" s="496"/>
      <c r="Y243" s="496"/>
      <c r="Z243" s="496"/>
      <c r="AA243" s="496"/>
      <c r="AB243" s="496"/>
      <c r="AC243" s="496"/>
      <c r="AD243" s="496"/>
      <c r="AE243" s="496"/>
      <c r="AF243" s="496"/>
      <c r="AG243" s="496"/>
      <c r="AH243" s="496"/>
      <c r="AI243" s="496"/>
      <c r="AJ243" s="496"/>
      <c r="AK243" s="496"/>
      <c r="AL243" s="496"/>
      <c r="AM243" s="496"/>
      <c r="AN243" s="496"/>
      <c r="AO243" s="496"/>
    </row>
    <row r="245" spans="2:45" hidden="1">
      <c r="I245" s="107" t="s">
        <v>555</v>
      </c>
      <c r="O245" s="107" t="s">
        <v>562</v>
      </c>
    </row>
    <row r="246" spans="2:45" hidden="1">
      <c r="C246" s="732" t="s">
        <v>542</v>
      </c>
      <c r="D246" s="726" t="s">
        <v>543</v>
      </c>
      <c r="E246" s="727" t="s">
        <v>546</v>
      </c>
      <c r="I246" t="s">
        <v>554</v>
      </c>
      <c r="O246" t="s">
        <v>568</v>
      </c>
    </row>
    <row r="247" spans="2:45" hidden="1">
      <c r="C247" s="732" t="s">
        <v>544</v>
      </c>
      <c r="D247" s="726" t="s">
        <v>545</v>
      </c>
      <c r="E247" s="727" t="s">
        <v>553</v>
      </c>
      <c r="I247" s="743" t="s">
        <v>566</v>
      </c>
      <c r="AK247">
        <f>12.75-9.5</f>
        <v>3.25</v>
      </c>
    </row>
    <row r="248" spans="2:45" hidden="1">
      <c r="C248" s="733" t="s">
        <v>547</v>
      </c>
      <c r="D248" s="730" t="s">
        <v>548</v>
      </c>
      <c r="E248" t="s">
        <v>549</v>
      </c>
      <c r="I248" t="s">
        <v>552</v>
      </c>
      <c r="O248" t="s">
        <v>563</v>
      </c>
    </row>
    <row r="249" spans="2:45" hidden="1">
      <c r="E249" s="728">
        <v>48</v>
      </c>
      <c r="F249" s="729">
        <v>7</v>
      </c>
      <c r="G249" s="728">
        <f>E249+F249</f>
        <v>55</v>
      </c>
      <c r="I249" s="743" t="s">
        <v>565</v>
      </c>
      <c r="O249" t="s">
        <v>569</v>
      </c>
    </row>
    <row r="250" spans="2:45" hidden="1">
      <c r="I250" t="s">
        <v>564</v>
      </c>
      <c r="O250" t="s">
        <v>570</v>
      </c>
    </row>
    <row r="251" spans="2:45" hidden="1"/>
  </sheetData>
  <autoFilter ref="A5:AS243" xr:uid="{00000000-0009-0000-0000-000009000000}">
    <filterColumn colId="4">
      <filters>
        <filter val="kt ds"/>
      </filters>
    </filterColumn>
  </autoFilter>
  <mergeCells count="60">
    <mergeCell ref="B196:B205"/>
    <mergeCell ref="B206:B219"/>
    <mergeCell ref="B220:B236"/>
    <mergeCell ref="B237:B240"/>
    <mergeCell ref="B67:B96"/>
    <mergeCell ref="C69:C79"/>
    <mergeCell ref="C80:C88"/>
    <mergeCell ref="C89:C95"/>
    <mergeCell ref="B97:B124"/>
    <mergeCell ref="B125:B160"/>
    <mergeCell ref="B57:B66"/>
    <mergeCell ref="U4:V4"/>
    <mergeCell ref="W4:X4"/>
    <mergeCell ref="Y4:Z4"/>
    <mergeCell ref="AA4:AB4"/>
    <mergeCell ref="B2:B5"/>
    <mergeCell ref="C2:C5"/>
    <mergeCell ref="D2:D5"/>
    <mergeCell ref="E2:E5"/>
    <mergeCell ref="F2:F5"/>
    <mergeCell ref="G2:G5"/>
    <mergeCell ref="B6:B20"/>
    <mergeCell ref="B21:B29"/>
    <mergeCell ref="B30:B46"/>
    <mergeCell ref="B47:B56"/>
    <mergeCell ref="C50:C54"/>
    <mergeCell ref="AE4:AF4"/>
    <mergeCell ref="AR2:AR5"/>
    <mergeCell ref="J3:R3"/>
    <mergeCell ref="S3:AD3"/>
    <mergeCell ref="AE3:AJ3"/>
    <mergeCell ref="AK3:AN3"/>
    <mergeCell ref="K4:L4"/>
    <mergeCell ref="M4:N4"/>
    <mergeCell ref="O4:P4"/>
    <mergeCell ref="Q4:R4"/>
    <mergeCell ref="S4:T4"/>
    <mergeCell ref="AE2:AF2"/>
    <mergeCell ref="AG2:AH2"/>
    <mergeCell ref="AI2:AJ2"/>
    <mergeCell ref="AK2:AL2"/>
    <mergeCell ref="AM2:AN2"/>
    <mergeCell ref="AO2:AQ4"/>
    <mergeCell ref="AG4:AH4"/>
    <mergeCell ref="AI4:AJ4"/>
    <mergeCell ref="AK4:AL4"/>
    <mergeCell ref="AM4:AN4"/>
    <mergeCell ref="AC2:AD2"/>
    <mergeCell ref="H2:H5"/>
    <mergeCell ref="I2:I5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4:AD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B74"/>
  <sheetViews>
    <sheetView workbookViewId="0">
      <selection activeCell="C52" sqref="C52"/>
    </sheetView>
  </sheetViews>
  <sheetFormatPr baseColWidth="10" defaultColWidth="8.6640625" defaultRowHeight="17"/>
  <cols>
    <col min="1" max="1" width="1.6640625" customWidth="1"/>
    <col min="2" max="2" width="8.6640625" customWidth="1"/>
    <col min="3" max="3" width="30.1640625" customWidth="1"/>
    <col min="4" max="4" width="5.6640625" customWidth="1"/>
    <col min="5" max="5" width="4.6640625" bestFit="1" customWidth="1"/>
    <col min="6" max="6" width="8.1640625" hidden="1" customWidth="1"/>
    <col min="7" max="7" width="0" hidden="1" customWidth="1"/>
    <col min="8" max="8" width="4.6640625" hidden="1" customWidth="1"/>
    <col min="9" max="9" width="8.6640625" bestFit="1" customWidth="1"/>
    <col min="10" max="10" width="6" bestFit="1" customWidth="1"/>
    <col min="11" max="19" width="5.6640625" customWidth="1"/>
    <col min="20" max="25" width="6.1640625" customWidth="1"/>
    <col min="26" max="26" width="8.5" bestFit="1" customWidth="1"/>
    <col min="27" max="27" width="20.6640625" bestFit="1" customWidth="1"/>
    <col min="28" max="28" width="0" style="1455" hidden="1" customWidth="1"/>
  </cols>
  <sheetData>
    <row r="1" spans="2:28" ht="9" customHeight="1" thickBot="1"/>
    <row r="2" spans="2:28" ht="12.5" customHeight="1" thickBot="1">
      <c r="B2" s="1914" t="s">
        <v>75</v>
      </c>
      <c r="C2" s="1916" t="s">
        <v>699</v>
      </c>
      <c r="D2" s="1456"/>
      <c r="E2" s="1918" t="s">
        <v>700</v>
      </c>
      <c r="F2" s="1456"/>
      <c r="G2" s="1457"/>
      <c r="H2" s="1920" t="s">
        <v>701</v>
      </c>
      <c r="I2" s="1922"/>
      <c r="J2" s="1458"/>
      <c r="K2" s="1458" t="s">
        <v>702</v>
      </c>
      <c r="L2" s="1458" t="s">
        <v>703</v>
      </c>
      <c r="M2" s="1458" t="s">
        <v>704</v>
      </c>
      <c r="N2" s="1458" t="s">
        <v>705</v>
      </c>
      <c r="O2" s="1458" t="s">
        <v>706</v>
      </c>
      <c r="P2" s="1458" t="s">
        <v>707</v>
      </c>
      <c r="Q2" s="1458" t="s">
        <v>708</v>
      </c>
      <c r="R2" s="1458" t="s">
        <v>709</v>
      </c>
      <c r="S2" s="1458" t="s">
        <v>710</v>
      </c>
      <c r="T2" s="1458" t="s">
        <v>711</v>
      </c>
      <c r="U2" s="1458" t="s">
        <v>712</v>
      </c>
      <c r="V2" s="1458" t="s">
        <v>713</v>
      </c>
      <c r="W2" s="1458" t="s">
        <v>714</v>
      </c>
      <c r="X2" s="1458" t="s">
        <v>715</v>
      </c>
      <c r="Y2" s="1458" t="s">
        <v>716</v>
      </c>
      <c r="Z2" s="1902" t="s">
        <v>717</v>
      </c>
      <c r="AA2" s="1902" t="s">
        <v>718</v>
      </c>
    </row>
    <row r="3" spans="2:28" ht="12.5" customHeight="1">
      <c r="B3" s="1915"/>
      <c r="C3" s="1917"/>
      <c r="D3" s="1459"/>
      <c r="E3" s="1919"/>
      <c r="F3" s="1460" t="s">
        <v>719</v>
      </c>
      <c r="G3" s="1461" t="s">
        <v>720</v>
      </c>
      <c r="H3" s="1921"/>
      <c r="I3" s="1923"/>
      <c r="J3" s="1904" t="s">
        <v>721</v>
      </c>
      <c r="K3" s="1905"/>
      <c r="L3" s="1905"/>
      <c r="M3" s="1905"/>
      <c r="N3" s="1906"/>
      <c r="O3" s="1907" t="s">
        <v>722</v>
      </c>
      <c r="P3" s="1908"/>
      <c r="Q3" s="1908"/>
      <c r="R3" s="1908"/>
      <c r="S3" s="1908"/>
      <c r="T3" s="1908"/>
      <c r="U3" s="1907" t="s">
        <v>723</v>
      </c>
      <c r="V3" s="1908"/>
      <c r="W3" s="1909"/>
      <c r="X3" s="1907" t="s">
        <v>724</v>
      </c>
      <c r="Y3" s="1908"/>
      <c r="Z3" s="1903"/>
      <c r="AA3" s="1903"/>
    </row>
    <row r="4" spans="2:28" ht="14" customHeight="1">
      <c r="B4" s="1915"/>
      <c r="C4" s="1917"/>
      <c r="D4" s="1459"/>
      <c r="E4" s="1919"/>
      <c r="F4" s="1459"/>
      <c r="G4" s="1462"/>
      <c r="H4" s="1921"/>
      <c r="I4" s="1923"/>
      <c r="J4" s="1463"/>
      <c r="K4" s="1463">
        <v>2</v>
      </c>
      <c r="L4" s="1463">
        <v>3</v>
      </c>
      <c r="M4" s="1463">
        <v>4</v>
      </c>
      <c r="N4" s="1463">
        <v>5</v>
      </c>
      <c r="O4" s="1463">
        <v>6</v>
      </c>
      <c r="P4" s="1463">
        <v>7</v>
      </c>
      <c r="Q4" s="1463">
        <v>8</v>
      </c>
      <c r="R4" s="1463">
        <v>9</v>
      </c>
      <c r="S4" s="1463">
        <v>10</v>
      </c>
      <c r="T4" s="1463">
        <v>11</v>
      </c>
      <c r="U4" s="1463">
        <v>12</v>
      </c>
      <c r="V4" s="1463">
        <v>1</v>
      </c>
      <c r="W4" s="1463">
        <v>2</v>
      </c>
      <c r="X4" s="1463">
        <v>3</v>
      </c>
      <c r="Y4" s="1463">
        <v>4</v>
      </c>
      <c r="Z4" s="1903"/>
      <c r="AA4" s="1903"/>
    </row>
    <row r="5" spans="2:28">
      <c r="B5" s="1464"/>
      <c r="C5" s="1465" t="s">
        <v>725</v>
      </c>
      <c r="D5" s="1465" t="s">
        <v>726</v>
      </c>
      <c r="E5" s="1466" t="s">
        <v>727</v>
      </c>
      <c r="F5" s="1466"/>
      <c r="G5" s="1467"/>
      <c r="H5" s="1467" t="s">
        <v>728</v>
      </c>
      <c r="I5" s="1468" t="s">
        <v>729</v>
      </c>
      <c r="J5" s="1469" t="s">
        <v>730</v>
      </c>
      <c r="K5" s="1469">
        <v>1</v>
      </c>
      <c r="L5" s="1469">
        <v>1</v>
      </c>
      <c r="M5" s="1469">
        <v>1</v>
      </c>
      <c r="N5" s="1469">
        <v>1</v>
      </c>
      <c r="O5" s="1469">
        <v>1</v>
      </c>
      <c r="P5" s="1469">
        <v>1</v>
      </c>
      <c r="Q5" s="1469">
        <v>1</v>
      </c>
      <c r="R5" s="1469">
        <v>1</v>
      </c>
      <c r="S5" s="1469">
        <v>1</v>
      </c>
      <c r="T5" s="1469">
        <v>1</v>
      </c>
      <c r="U5" s="1469">
        <v>1</v>
      </c>
      <c r="V5" s="1469">
        <v>1</v>
      </c>
      <c r="W5" s="1469">
        <v>1</v>
      </c>
      <c r="X5" s="1469">
        <v>1</v>
      </c>
      <c r="Y5" s="1469">
        <v>1</v>
      </c>
      <c r="Z5" s="1469">
        <f>SUM(J5:Y5)</f>
        <v>15</v>
      </c>
      <c r="AA5" s="1470" t="s">
        <v>731</v>
      </c>
    </row>
    <row r="6" spans="2:28">
      <c r="B6" s="1464" t="s">
        <v>732</v>
      </c>
      <c r="C6" s="1465" t="s">
        <v>733</v>
      </c>
      <c r="D6" s="1465" t="s">
        <v>726</v>
      </c>
      <c r="E6" s="1466" t="s">
        <v>727</v>
      </c>
      <c r="F6" s="1466"/>
      <c r="G6" s="1467"/>
      <c r="H6" s="1467" t="s">
        <v>734</v>
      </c>
      <c r="I6" s="1468" t="s">
        <v>735</v>
      </c>
      <c r="J6" s="1469" t="s">
        <v>736</v>
      </c>
      <c r="K6" s="1469">
        <v>1</v>
      </c>
      <c r="L6" s="1469">
        <v>1</v>
      </c>
      <c r="M6" s="1469">
        <v>1</v>
      </c>
      <c r="N6" s="1469">
        <v>1</v>
      </c>
      <c r="O6" s="1469">
        <v>1</v>
      </c>
      <c r="P6" s="1469">
        <v>1</v>
      </c>
      <c r="Q6" s="1469">
        <v>1</v>
      </c>
      <c r="R6" s="1469">
        <v>1</v>
      </c>
      <c r="S6" s="1469">
        <v>1</v>
      </c>
      <c r="T6" s="1469">
        <v>1</v>
      </c>
      <c r="U6" s="1469">
        <v>1</v>
      </c>
      <c r="V6" s="1469">
        <v>1</v>
      </c>
      <c r="W6" s="1469">
        <v>1</v>
      </c>
      <c r="X6" s="1469">
        <v>1</v>
      </c>
      <c r="Y6" s="1469">
        <v>1</v>
      </c>
      <c r="Z6" s="1469">
        <f t="shared" ref="Z6:Z26" si="0">SUM(J6:Y6)</f>
        <v>15</v>
      </c>
      <c r="AA6" s="1471"/>
    </row>
    <row r="7" spans="2:28">
      <c r="B7" s="1464"/>
      <c r="C7" s="1465" t="s">
        <v>737</v>
      </c>
      <c r="D7" s="1465" t="s">
        <v>726</v>
      </c>
      <c r="E7" s="1466" t="s">
        <v>738</v>
      </c>
      <c r="F7" s="1466"/>
      <c r="G7" s="1467"/>
      <c r="H7" s="1467" t="s">
        <v>734</v>
      </c>
      <c r="I7" s="1468" t="s">
        <v>739</v>
      </c>
      <c r="J7" s="1469"/>
      <c r="K7" s="1469">
        <v>1</v>
      </c>
      <c r="L7" s="1469">
        <v>1</v>
      </c>
      <c r="M7" s="1469">
        <v>1</v>
      </c>
      <c r="N7" s="1469">
        <v>1</v>
      </c>
      <c r="O7" s="1469">
        <v>1</v>
      </c>
      <c r="P7" s="1469">
        <v>1</v>
      </c>
      <c r="Q7" s="1469">
        <v>1</v>
      </c>
      <c r="R7" s="1469">
        <v>1</v>
      </c>
      <c r="S7" s="1469">
        <v>1</v>
      </c>
      <c r="T7" s="1469">
        <v>1</v>
      </c>
      <c r="U7" s="1469">
        <v>1</v>
      </c>
      <c r="V7" s="1469">
        <v>1</v>
      </c>
      <c r="W7" s="1469">
        <v>1</v>
      </c>
      <c r="X7" s="1469">
        <v>1</v>
      </c>
      <c r="Y7" s="1469">
        <v>1</v>
      </c>
      <c r="Z7" s="1469">
        <f t="shared" si="0"/>
        <v>15</v>
      </c>
      <c r="AA7" s="1470" t="s">
        <v>740</v>
      </c>
    </row>
    <row r="8" spans="2:28">
      <c r="B8" s="1464"/>
      <c r="C8" s="1465" t="s">
        <v>741</v>
      </c>
      <c r="D8" s="1465" t="s">
        <v>726</v>
      </c>
      <c r="E8" s="1466" t="s">
        <v>738</v>
      </c>
      <c r="F8" s="1466"/>
      <c r="G8" s="1467"/>
      <c r="H8" s="1467" t="s">
        <v>734</v>
      </c>
      <c r="I8" s="1468" t="s">
        <v>742</v>
      </c>
      <c r="J8" s="1469"/>
      <c r="K8" s="1469">
        <v>1</v>
      </c>
      <c r="L8" s="1469">
        <v>1</v>
      </c>
      <c r="M8" s="1469">
        <v>0.5</v>
      </c>
      <c r="N8" s="1469"/>
      <c r="O8" s="1469"/>
      <c r="P8" s="1469"/>
      <c r="Q8" s="1469"/>
      <c r="R8" s="1469"/>
      <c r="S8" s="1469"/>
      <c r="T8" s="1469"/>
      <c r="U8" s="1469"/>
      <c r="V8" s="1469"/>
      <c r="W8" s="1469"/>
      <c r="X8" s="1469"/>
      <c r="Y8" s="1469"/>
      <c r="Z8" s="1469">
        <f t="shared" si="0"/>
        <v>2.5</v>
      </c>
      <c r="AA8" s="1470"/>
    </row>
    <row r="9" spans="2:28">
      <c r="B9" s="1464"/>
      <c r="C9" s="1465" t="s">
        <v>741</v>
      </c>
      <c r="D9" s="1465" t="s">
        <v>743</v>
      </c>
      <c r="E9" s="1466" t="s">
        <v>744</v>
      </c>
      <c r="F9" s="1466"/>
      <c r="G9" s="1467"/>
      <c r="H9" s="1467"/>
      <c r="I9" s="1468" t="s">
        <v>745</v>
      </c>
      <c r="J9" s="1469"/>
      <c r="K9" s="1469"/>
      <c r="L9" s="1472"/>
      <c r="M9" s="1469">
        <v>0.5</v>
      </c>
      <c r="N9" s="1469">
        <v>1</v>
      </c>
      <c r="O9" s="1469">
        <v>1</v>
      </c>
      <c r="P9" s="1469">
        <v>1</v>
      </c>
      <c r="Q9" s="1469">
        <v>1</v>
      </c>
      <c r="R9" s="1469">
        <v>1</v>
      </c>
      <c r="S9" s="1469">
        <v>1</v>
      </c>
      <c r="T9" s="1469">
        <v>1</v>
      </c>
      <c r="U9" s="1469">
        <v>1</v>
      </c>
      <c r="V9" s="1469">
        <v>1</v>
      </c>
      <c r="W9" s="1469">
        <v>1</v>
      </c>
      <c r="X9" s="1469">
        <v>1</v>
      </c>
      <c r="Y9" s="1469">
        <v>1</v>
      </c>
      <c r="Z9" s="1469">
        <f t="shared" si="0"/>
        <v>12.5</v>
      </c>
      <c r="AA9" s="1470"/>
      <c r="AB9" s="1455">
        <v>1</v>
      </c>
    </row>
    <row r="10" spans="2:28">
      <c r="B10" s="1464"/>
      <c r="C10" s="1465" t="s">
        <v>746</v>
      </c>
      <c r="D10" s="1465" t="s">
        <v>726</v>
      </c>
      <c r="E10" s="1466" t="s">
        <v>738</v>
      </c>
      <c r="F10" s="1466"/>
      <c r="G10" s="1467"/>
      <c r="H10" s="1467" t="s">
        <v>747</v>
      </c>
      <c r="I10" s="1468" t="s">
        <v>748</v>
      </c>
      <c r="J10" s="1469"/>
      <c r="K10" s="1469">
        <v>1</v>
      </c>
      <c r="L10" s="1469">
        <v>1</v>
      </c>
      <c r="M10" s="1469">
        <v>1</v>
      </c>
      <c r="N10" s="1469">
        <v>1</v>
      </c>
      <c r="O10" s="1469">
        <v>1</v>
      </c>
      <c r="P10" s="1469">
        <v>1</v>
      </c>
      <c r="Q10" s="1469">
        <v>1</v>
      </c>
      <c r="R10" s="1469">
        <v>1</v>
      </c>
      <c r="S10" s="1469">
        <v>1</v>
      </c>
      <c r="T10" s="1469">
        <v>1</v>
      </c>
      <c r="U10" s="1469">
        <v>1</v>
      </c>
      <c r="V10" s="1469">
        <v>1</v>
      </c>
      <c r="W10" s="1469">
        <v>1</v>
      </c>
      <c r="X10" s="1469">
        <v>1</v>
      </c>
      <c r="Y10" s="1469"/>
      <c r="Z10" s="1469">
        <f t="shared" si="0"/>
        <v>14</v>
      </c>
      <c r="AA10" s="1470"/>
    </row>
    <row r="11" spans="2:28">
      <c r="B11" s="1464"/>
      <c r="C11" s="1473" t="s">
        <v>749</v>
      </c>
      <c r="D11" s="1473"/>
      <c r="E11" s="1466" t="s">
        <v>738</v>
      </c>
      <c r="F11" s="1466"/>
      <c r="G11" s="1467"/>
      <c r="H11" s="1467" t="s">
        <v>747</v>
      </c>
      <c r="I11" s="1468" t="s">
        <v>750</v>
      </c>
      <c r="J11" s="1469"/>
      <c r="K11" s="1469">
        <v>1</v>
      </c>
      <c r="L11" s="1469">
        <v>1</v>
      </c>
      <c r="M11" s="1469">
        <v>1</v>
      </c>
      <c r="N11" s="1469">
        <v>1</v>
      </c>
      <c r="O11" s="1469"/>
      <c r="P11" s="1469"/>
      <c r="Q11" s="1469"/>
      <c r="R11" s="1469"/>
      <c r="S11" s="1469"/>
      <c r="T11" s="1469"/>
      <c r="U11" s="1469"/>
      <c r="V11" s="1469"/>
      <c r="W11" s="1469"/>
      <c r="X11" s="1469"/>
      <c r="Y11" s="1469"/>
      <c r="Z11" s="1469">
        <f t="shared" si="0"/>
        <v>4</v>
      </c>
      <c r="AA11" s="1470"/>
    </row>
    <row r="12" spans="2:28">
      <c r="B12" s="1464"/>
      <c r="C12" s="1473" t="s">
        <v>751</v>
      </c>
      <c r="D12" s="1473"/>
      <c r="E12" s="1466" t="s">
        <v>752</v>
      </c>
      <c r="F12" s="1466"/>
      <c r="G12" s="1467"/>
      <c r="H12" s="1467" t="s">
        <v>734</v>
      </c>
      <c r="I12" s="1468" t="s">
        <v>753</v>
      </c>
      <c r="J12" s="1469"/>
      <c r="K12" s="1469"/>
      <c r="L12" s="1469"/>
      <c r="M12" s="1469">
        <v>1</v>
      </c>
      <c r="N12" s="1469">
        <v>1</v>
      </c>
      <c r="O12" s="1469">
        <v>1</v>
      </c>
      <c r="P12" s="1469">
        <v>1</v>
      </c>
      <c r="Q12" s="1469">
        <v>1</v>
      </c>
      <c r="R12" s="1469">
        <v>1</v>
      </c>
      <c r="S12" s="1469">
        <v>1</v>
      </c>
      <c r="T12" s="1469">
        <v>1</v>
      </c>
      <c r="U12" s="1469">
        <v>1</v>
      </c>
      <c r="V12" s="1469">
        <v>1</v>
      </c>
      <c r="W12" s="1469">
        <v>1</v>
      </c>
      <c r="X12" s="1469">
        <v>1</v>
      </c>
      <c r="Y12" s="1469"/>
      <c r="Z12" s="1469">
        <f t="shared" si="0"/>
        <v>12</v>
      </c>
      <c r="AA12" s="1470"/>
    </row>
    <row r="13" spans="2:28">
      <c r="B13" s="1464"/>
      <c r="C13" s="1473" t="s">
        <v>754</v>
      </c>
      <c r="D13" s="1473"/>
      <c r="E13" s="1466" t="s">
        <v>755</v>
      </c>
      <c r="F13" s="1466"/>
      <c r="G13" s="1467"/>
      <c r="H13" s="1467" t="s">
        <v>734</v>
      </c>
      <c r="I13" s="1468" t="s">
        <v>756</v>
      </c>
      <c r="J13" s="1469"/>
      <c r="K13" s="1469"/>
      <c r="L13" s="1469"/>
      <c r="M13" s="1469"/>
      <c r="N13" s="1469"/>
      <c r="O13" s="1469">
        <v>1</v>
      </c>
      <c r="P13" s="1469">
        <v>1</v>
      </c>
      <c r="Q13" s="1469">
        <v>1</v>
      </c>
      <c r="R13" s="1469">
        <v>1</v>
      </c>
      <c r="S13" s="1469">
        <v>1</v>
      </c>
      <c r="T13" s="1469">
        <v>1</v>
      </c>
      <c r="U13" s="1469">
        <v>1</v>
      </c>
      <c r="V13" s="1469">
        <v>1</v>
      </c>
      <c r="W13" s="1469">
        <v>1</v>
      </c>
      <c r="X13" s="1469">
        <v>1</v>
      </c>
      <c r="Y13" s="1469">
        <v>1</v>
      </c>
      <c r="Z13" s="1469">
        <f t="shared" si="0"/>
        <v>11</v>
      </c>
      <c r="AA13" s="1470"/>
    </row>
    <row r="14" spans="2:28">
      <c r="B14" s="1464"/>
      <c r="C14" s="1473" t="s">
        <v>757</v>
      </c>
      <c r="D14" s="1473"/>
      <c r="E14" s="1466" t="s">
        <v>755</v>
      </c>
      <c r="F14" s="1466"/>
      <c r="G14" s="1467"/>
      <c r="H14" s="1467" t="s">
        <v>747</v>
      </c>
      <c r="I14" s="1468" t="s">
        <v>758</v>
      </c>
      <c r="J14" s="1469"/>
      <c r="K14" s="1469"/>
      <c r="L14" s="1469"/>
      <c r="M14" s="1469"/>
      <c r="N14" s="1469"/>
      <c r="O14" s="1469">
        <v>1</v>
      </c>
      <c r="P14" s="1469">
        <v>1</v>
      </c>
      <c r="Q14" s="1469">
        <v>1</v>
      </c>
      <c r="R14" s="1469">
        <v>1</v>
      </c>
      <c r="S14" s="1469">
        <v>1</v>
      </c>
      <c r="T14" s="1469">
        <v>1</v>
      </c>
      <c r="U14" s="1469">
        <v>1</v>
      </c>
      <c r="V14" s="1469">
        <v>1</v>
      </c>
      <c r="W14" s="1469">
        <v>1</v>
      </c>
      <c r="X14" s="1469">
        <v>1</v>
      </c>
      <c r="Y14" s="1469">
        <v>1</v>
      </c>
      <c r="Z14" s="1469">
        <f t="shared" si="0"/>
        <v>11</v>
      </c>
      <c r="AA14" s="1470"/>
    </row>
    <row r="15" spans="2:28">
      <c r="B15" s="1464"/>
      <c r="C15" s="1473" t="s">
        <v>117</v>
      </c>
      <c r="D15" s="1473"/>
      <c r="E15" s="1466" t="s">
        <v>738</v>
      </c>
      <c r="F15" s="1466"/>
      <c r="G15" s="1467"/>
      <c r="H15" s="1467"/>
      <c r="I15" s="1468" t="s">
        <v>759</v>
      </c>
      <c r="J15" s="1469"/>
      <c r="K15" s="1469"/>
      <c r="L15" s="1469"/>
      <c r="M15" s="1469"/>
      <c r="N15" s="1469"/>
      <c r="O15" s="1469">
        <v>1</v>
      </c>
      <c r="P15" s="1469">
        <v>1</v>
      </c>
      <c r="Q15" s="1469">
        <v>1</v>
      </c>
      <c r="R15" s="1469">
        <v>1</v>
      </c>
      <c r="S15" s="1469">
        <v>1</v>
      </c>
      <c r="T15" s="1469">
        <v>1</v>
      </c>
      <c r="U15" s="1469">
        <v>1</v>
      </c>
      <c r="V15" s="1469">
        <v>1</v>
      </c>
      <c r="W15" s="1469">
        <v>1</v>
      </c>
      <c r="X15" s="1469">
        <v>1</v>
      </c>
      <c r="Y15" s="1469">
        <v>1</v>
      </c>
      <c r="Z15" s="1469">
        <f t="shared" si="0"/>
        <v>11</v>
      </c>
      <c r="AA15" s="1470"/>
    </row>
    <row r="16" spans="2:28">
      <c r="B16" s="1464"/>
      <c r="C16" s="1473" t="s">
        <v>117</v>
      </c>
      <c r="D16" s="1473"/>
      <c r="E16" s="1467" t="s">
        <v>738</v>
      </c>
      <c r="F16" s="1466"/>
      <c r="G16" s="1467"/>
      <c r="H16" s="1467" t="s">
        <v>747</v>
      </c>
      <c r="I16" s="1468" t="s">
        <v>760</v>
      </c>
      <c r="J16" s="1469"/>
      <c r="K16" s="1469"/>
      <c r="L16" s="1469"/>
      <c r="M16" s="1469">
        <v>1</v>
      </c>
      <c r="N16" s="1469">
        <v>1</v>
      </c>
      <c r="O16" s="1469">
        <v>1</v>
      </c>
      <c r="P16" s="1469">
        <v>1</v>
      </c>
      <c r="Q16" s="1469">
        <v>1</v>
      </c>
      <c r="R16" s="1469">
        <v>1</v>
      </c>
      <c r="S16" s="1469">
        <v>1</v>
      </c>
      <c r="T16" s="1469">
        <v>1</v>
      </c>
      <c r="U16" s="1469">
        <v>1</v>
      </c>
      <c r="V16" s="1469">
        <v>1</v>
      </c>
      <c r="W16" s="1469">
        <v>1</v>
      </c>
      <c r="X16" s="1469">
        <v>1</v>
      </c>
      <c r="Y16" s="1469"/>
      <c r="Z16" s="1469">
        <f t="shared" si="0"/>
        <v>12</v>
      </c>
      <c r="AA16" s="1470"/>
    </row>
    <row r="17" spans="2:28">
      <c r="B17" s="1464"/>
      <c r="C17" s="1473" t="s">
        <v>117</v>
      </c>
      <c r="D17" s="1473"/>
      <c r="E17" s="1467" t="s">
        <v>761</v>
      </c>
      <c r="F17" s="1467"/>
      <c r="G17" s="1467"/>
      <c r="H17" s="1467" t="s">
        <v>734</v>
      </c>
      <c r="I17" s="1468" t="s">
        <v>762</v>
      </c>
      <c r="J17" s="1469"/>
      <c r="K17" s="1469"/>
      <c r="L17" s="1469"/>
      <c r="M17" s="1469">
        <v>0.5</v>
      </c>
      <c r="N17" s="1469">
        <v>1</v>
      </c>
      <c r="O17" s="1469">
        <v>1</v>
      </c>
      <c r="P17" s="1469">
        <v>1</v>
      </c>
      <c r="Q17" s="1469">
        <v>1</v>
      </c>
      <c r="R17" s="1469">
        <v>1</v>
      </c>
      <c r="S17" s="1469">
        <v>1</v>
      </c>
      <c r="T17" s="1469">
        <v>1</v>
      </c>
      <c r="U17" s="1469">
        <v>1</v>
      </c>
      <c r="V17" s="1469">
        <v>1</v>
      </c>
      <c r="W17" s="1469">
        <v>1</v>
      </c>
      <c r="X17" s="1469">
        <v>1</v>
      </c>
      <c r="Y17" s="1469">
        <v>1</v>
      </c>
      <c r="Z17" s="1469">
        <f t="shared" si="0"/>
        <v>12.5</v>
      </c>
      <c r="AA17" s="1470"/>
    </row>
    <row r="18" spans="2:28" s="1474" customFormat="1" ht="15">
      <c r="B18" s="1464"/>
      <c r="C18" s="1473" t="s">
        <v>118</v>
      </c>
      <c r="D18" s="1473"/>
      <c r="E18" s="1466" t="s">
        <v>755</v>
      </c>
      <c r="F18" s="1466"/>
      <c r="G18" s="1467"/>
      <c r="H18" s="1467" t="s">
        <v>734</v>
      </c>
      <c r="I18" s="1468" t="s">
        <v>763</v>
      </c>
      <c r="J18" s="1469"/>
      <c r="K18" s="1469"/>
      <c r="L18" s="1469"/>
      <c r="M18" s="1469"/>
      <c r="N18" s="1469"/>
      <c r="O18" s="1469">
        <v>1</v>
      </c>
      <c r="P18" s="1469">
        <v>1</v>
      </c>
      <c r="Q18" s="1469">
        <v>1</v>
      </c>
      <c r="R18" s="1469">
        <v>1</v>
      </c>
      <c r="S18" s="1469">
        <v>1</v>
      </c>
      <c r="T18" s="1469">
        <v>1</v>
      </c>
      <c r="U18" s="1469">
        <v>1</v>
      </c>
      <c r="V18" s="1469">
        <v>1</v>
      </c>
      <c r="W18" s="1469">
        <v>1</v>
      </c>
      <c r="X18" s="1469">
        <v>1</v>
      </c>
      <c r="Y18" s="1469">
        <v>1</v>
      </c>
      <c r="Z18" s="1469">
        <f t="shared" si="0"/>
        <v>11</v>
      </c>
      <c r="AA18" s="1470"/>
      <c r="AB18" s="1455"/>
    </row>
    <row r="19" spans="2:28">
      <c r="B19" s="1464"/>
      <c r="C19" s="1473" t="s">
        <v>764</v>
      </c>
      <c r="D19" s="1473"/>
      <c r="E19" s="1466" t="s">
        <v>765</v>
      </c>
      <c r="F19" s="1466"/>
      <c r="G19" s="1467"/>
      <c r="H19" s="1467" t="s">
        <v>734</v>
      </c>
      <c r="I19" s="1468" t="s">
        <v>766</v>
      </c>
      <c r="J19" s="1469"/>
      <c r="K19" s="1469"/>
      <c r="L19" s="1472"/>
      <c r="M19" s="1469">
        <v>1</v>
      </c>
      <c r="N19" s="1469">
        <v>1</v>
      </c>
      <c r="O19" s="1469">
        <v>1</v>
      </c>
      <c r="P19" s="1469">
        <v>1</v>
      </c>
      <c r="Q19" s="1469">
        <v>1</v>
      </c>
      <c r="R19" s="1469">
        <v>1</v>
      </c>
      <c r="S19" s="1469">
        <v>1</v>
      </c>
      <c r="T19" s="1469">
        <v>1</v>
      </c>
      <c r="U19" s="1469">
        <v>1</v>
      </c>
      <c r="V19" s="1469">
        <v>1</v>
      </c>
      <c r="W19" s="1469">
        <v>1</v>
      </c>
      <c r="X19" s="1469">
        <v>1</v>
      </c>
      <c r="Y19" s="1469"/>
      <c r="Z19" s="1469">
        <f t="shared" si="0"/>
        <v>12</v>
      </c>
      <c r="AA19" s="1470"/>
    </row>
    <row r="20" spans="2:28" s="1474" customFormat="1" ht="15">
      <c r="B20" s="1464"/>
      <c r="C20" s="1473" t="s">
        <v>113</v>
      </c>
      <c r="D20" s="1473"/>
      <c r="E20" s="1466" t="s">
        <v>767</v>
      </c>
      <c r="F20" s="1466"/>
      <c r="G20" s="1466"/>
      <c r="H20" s="1467" t="s">
        <v>734</v>
      </c>
      <c r="I20" s="1468" t="s">
        <v>768</v>
      </c>
      <c r="J20" s="1475"/>
      <c r="K20" s="1469"/>
      <c r="L20" s="1469"/>
      <c r="M20" s="1469"/>
      <c r="N20" s="1469"/>
      <c r="O20" s="1469">
        <v>1</v>
      </c>
      <c r="P20" s="1469">
        <v>1</v>
      </c>
      <c r="Q20" s="1469">
        <v>1</v>
      </c>
      <c r="R20" s="1469">
        <v>1</v>
      </c>
      <c r="S20" s="1469">
        <v>1</v>
      </c>
      <c r="T20" s="1469">
        <v>1</v>
      </c>
      <c r="U20" s="1469">
        <v>1</v>
      </c>
      <c r="V20" s="1469">
        <v>1</v>
      </c>
      <c r="W20" s="1469">
        <v>1</v>
      </c>
      <c r="X20" s="1469">
        <v>1</v>
      </c>
      <c r="Y20" s="1469">
        <v>1</v>
      </c>
      <c r="Z20" s="1469">
        <f t="shared" si="0"/>
        <v>11</v>
      </c>
      <c r="AA20" s="1470"/>
      <c r="AB20" s="1455"/>
    </row>
    <row r="21" spans="2:28">
      <c r="B21" s="1464"/>
      <c r="C21" s="1473" t="s">
        <v>769</v>
      </c>
      <c r="D21" s="1473"/>
      <c r="E21" s="1467" t="s">
        <v>770</v>
      </c>
      <c r="F21" s="1466"/>
      <c r="G21" s="1467"/>
      <c r="H21" s="1467" t="s">
        <v>728</v>
      </c>
      <c r="I21" s="1468" t="s">
        <v>771</v>
      </c>
      <c r="J21" s="1469"/>
      <c r="K21" s="1469"/>
      <c r="L21" s="1472"/>
      <c r="M21" s="1469">
        <v>1</v>
      </c>
      <c r="N21" s="1469">
        <v>1</v>
      </c>
      <c r="O21" s="1469">
        <v>1</v>
      </c>
      <c r="P21" s="1469">
        <v>1</v>
      </c>
      <c r="Q21" s="1469">
        <v>1</v>
      </c>
      <c r="R21" s="1469">
        <v>1</v>
      </c>
      <c r="S21" s="1469">
        <v>1</v>
      </c>
      <c r="T21" s="1469">
        <v>1</v>
      </c>
      <c r="U21" s="1469">
        <v>1</v>
      </c>
      <c r="V21" s="1469">
        <v>1</v>
      </c>
      <c r="W21" s="1469">
        <v>1</v>
      </c>
      <c r="X21" s="1469">
        <v>1</v>
      </c>
      <c r="Y21" s="1469"/>
      <c r="Z21" s="1469">
        <f t="shared" si="0"/>
        <v>12</v>
      </c>
      <c r="AA21" s="1470"/>
    </row>
    <row r="22" spans="2:28">
      <c r="B22" s="1464"/>
      <c r="C22" s="1473" t="s">
        <v>772</v>
      </c>
      <c r="D22" s="1473"/>
      <c r="E22" s="1466" t="s">
        <v>755</v>
      </c>
      <c r="F22" s="1466"/>
      <c r="G22" s="1467"/>
      <c r="H22" s="1467" t="s">
        <v>734</v>
      </c>
      <c r="I22" s="1468" t="s">
        <v>773</v>
      </c>
      <c r="J22" s="1469"/>
      <c r="K22" s="1469"/>
      <c r="L22" s="1469"/>
      <c r="M22" s="1469"/>
      <c r="N22" s="1469"/>
      <c r="O22" s="1469">
        <v>1</v>
      </c>
      <c r="P22" s="1469">
        <v>1</v>
      </c>
      <c r="Q22" s="1469">
        <v>1</v>
      </c>
      <c r="R22" s="1469">
        <v>1</v>
      </c>
      <c r="S22" s="1469">
        <v>1</v>
      </c>
      <c r="T22" s="1469">
        <v>1</v>
      </c>
      <c r="U22" s="1469">
        <v>1</v>
      </c>
      <c r="V22" s="1469">
        <v>1</v>
      </c>
      <c r="W22" s="1469">
        <v>1</v>
      </c>
      <c r="X22" s="1469">
        <v>1</v>
      </c>
      <c r="Y22" s="1469">
        <v>1</v>
      </c>
      <c r="Z22" s="1469">
        <f t="shared" si="0"/>
        <v>11</v>
      </c>
      <c r="AA22" s="1470"/>
    </row>
    <row r="23" spans="2:28">
      <c r="B23" s="1464"/>
      <c r="C23" s="1473" t="s">
        <v>774</v>
      </c>
      <c r="D23" s="1473"/>
      <c r="E23" s="1466" t="s">
        <v>767</v>
      </c>
      <c r="F23" s="1466"/>
      <c r="G23" s="1467"/>
      <c r="H23" s="1467" t="s">
        <v>747</v>
      </c>
      <c r="I23" s="1468" t="s">
        <v>775</v>
      </c>
      <c r="J23" s="1469"/>
      <c r="K23" s="1469">
        <v>1</v>
      </c>
      <c r="L23" s="1469">
        <v>1</v>
      </c>
      <c r="M23" s="1469">
        <v>1</v>
      </c>
      <c r="N23" s="1469">
        <v>1</v>
      </c>
      <c r="O23" s="1469">
        <v>1</v>
      </c>
      <c r="P23" s="1469">
        <v>1</v>
      </c>
      <c r="Q23" s="1469">
        <v>1</v>
      </c>
      <c r="R23" s="1469">
        <v>1</v>
      </c>
      <c r="S23" s="1469">
        <v>1</v>
      </c>
      <c r="T23" s="1469">
        <v>1</v>
      </c>
      <c r="U23" s="1469">
        <v>1</v>
      </c>
      <c r="V23" s="1469">
        <v>1</v>
      </c>
      <c r="W23" s="1469">
        <v>1</v>
      </c>
      <c r="X23" s="1469">
        <v>1</v>
      </c>
      <c r="Y23" s="1469"/>
      <c r="Z23" s="1469">
        <f t="shared" si="0"/>
        <v>14</v>
      </c>
      <c r="AA23" s="1470"/>
    </row>
    <row r="24" spans="2:28">
      <c r="B24" s="1464"/>
      <c r="C24" s="1473" t="s">
        <v>776</v>
      </c>
      <c r="D24" s="1473"/>
      <c r="E24" s="1466" t="s">
        <v>755</v>
      </c>
      <c r="F24" s="1466"/>
      <c r="G24" s="1466"/>
      <c r="H24" s="1467" t="s">
        <v>734</v>
      </c>
      <c r="I24" s="1468" t="s">
        <v>777</v>
      </c>
      <c r="J24" s="1475"/>
      <c r="K24" s="1475" t="s">
        <v>778</v>
      </c>
      <c r="L24" s="1475"/>
      <c r="M24" s="1469"/>
      <c r="N24" s="1469"/>
      <c r="O24" s="1469">
        <v>1</v>
      </c>
      <c r="P24" s="1469">
        <v>1</v>
      </c>
      <c r="Q24" s="1469">
        <v>1</v>
      </c>
      <c r="R24" s="1469">
        <v>1</v>
      </c>
      <c r="S24" s="1469">
        <v>1</v>
      </c>
      <c r="T24" s="1469">
        <v>1</v>
      </c>
      <c r="U24" s="1469">
        <v>1</v>
      </c>
      <c r="V24" s="1469">
        <v>1</v>
      </c>
      <c r="W24" s="1469">
        <v>1</v>
      </c>
      <c r="X24" s="1469">
        <v>1</v>
      </c>
      <c r="Y24" s="1469">
        <v>1</v>
      </c>
      <c r="Z24" s="1469">
        <f t="shared" si="0"/>
        <v>11</v>
      </c>
      <c r="AA24" s="1470"/>
    </row>
    <row r="25" spans="2:28">
      <c r="B25" s="1464"/>
      <c r="C25" s="1473" t="s">
        <v>779</v>
      </c>
      <c r="D25" s="1473"/>
      <c r="E25" s="1466" t="s">
        <v>752</v>
      </c>
      <c r="F25" s="1466"/>
      <c r="G25" s="1467"/>
      <c r="H25" s="1467" t="s">
        <v>747</v>
      </c>
      <c r="I25" s="1468" t="s">
        <v>750</v>
      </c>
      <c r="J25" s="1469"/>
      <c r="K25" s="1469"/>
      <c r="L25" s="1469"/>
      <c r="M25" s="1469"/>
      <c r="N25" s="1469"/>
      <c r="O25" s="1469">
        <v>1</v>
      </c>
      <c r="P25" s="1469">
        <v>1</v>
      </c>
      <c r="Q25" s="1469">
        <v>1</v>
      </c>
      <c r="R25" s="1469">
        <v>1</v>
      </c>
      <c r="S25" s="1469">
        <v>1</v>
      </c>
      <c r="T25" s="1469">
        <v>1</v>
      </c>
      <c r="U25" s="1469">
        <v>1</v>
      </c>
      <c r="V25" s="1469">
        <v>1</v>
      </c>
      <c r="W25" s="1469">
        <v>1</v>
      </c>
      <c r="X25" s="1469">
        <v>1</v>
      </c>
      <c r="Y25" s="1469"/>
      <c r="Z25" s="1469">
        <f t="shared" si="0"/>
        <v>10</v>
      </c>
      <c r="AA25" s="1470"/>
    </row>
    <row r="26" spans="2:28">
      <c r="B26" s="1464"/>
      <c r="C26" s="1473" t="s">
        <v>780</v>
      </c>
      <c r="D26" s="1473"/>
      <c r="E26" s="1466" t="s">
        <v>752</v>
      </c>
      <c r="F26" s="1466"/>
      <c r="G26" s="1467"/>
      <c r="H26" s="1467" t="s">
        <v>734</v>
      </c>
      <c r="I26" s="1468" t="s">
        <v>781</v>
      </c>
      <c r="J26" s="1469"/>
      <c r="K26" s="1469"/>
      <c r="L26" s="1469"/>
      <c r="M26" s="1469"/>
      <c r="N26" s="1469">
        <v>1</v>
      </c>
      <c r="O26" s="1469">
        <v>1</v>
      </c>
      <c r="P26" s="1469">
        <v>1</v>
      </c>
      <c r="Q26" s="1469">
        <v>1</v>
      </c>
      <c r="R26" s="1469">
        <v>1</v>
      </c>
      <c r="S26" s="1469">
        <v>1</v>
      </c>
      <c r="T26" s="1469">
        <v>1</v>
      </c>
      <c r="U26" s="1469">
        <v>1</v>
      </c>
      <c r="V26" s="1469">
        <v>1</v>
      </c>
      <c r="W26" s="1469">
        <v>1</v>
      </c>
      <c r="X26" s="1469">
        <v>1</v>
      </c>
      <c r="Y26" s="1469"/>
      <c r="Z26" s="1469">
        <f t="shared" si="0"/>
        <v>11</v>
      </c>
      <c r="AA26" s="1470"/>
    </row>
    <row r="27" spans="2:28">
      <c r="B27" s="1464"/>
      <c r="C27" s="1910" t="s">
        <v>782</v>
      </c>
      <c r="D27" s="1910"/>
      <c r="E27" s="1910"/>
      <c r="F27" s="1910"/>
      <c r="G27" s="1910"/>
      <c r="H27" s="1910"/>
      <c r="I27" s="1476"/>
      <c r="J27" s="1477">
        <f t="shared" ref="J27:Z27" si="1">SUM(J5:J26)</f>
        <v>0</v>
      </c>
      <c r="K27" s="1477">
        <f t="shared" si="1"/>
        <v>7</v>
      </c>
      <c r="L27" s="1477">
        <f t="shared" si="1"/>
        <v>7</v>
      </c>
      <c r="M27" s="1477">
        <f t="shared" si="1"/>
        <v>11.5</v>
      </c>
      <c r="N27" s="1477">
        <f t="shared" si="1"/>
        <v>13</v>
      </c>
      <c r="O27" s="1477">
        <f t="shared" si="1"/>
        <v>20</v>
      </c>
      <c r="P27" s="1477">
        <f t="shared" si="1"/>
        <v>20</v>
      </c>
      <c r="Q27" s="1477">
        <f t="shared" si="1"/>
        <v>20</v>
      </c>
      <c r="R27" s="1477">
        <f t="shared" si="1"/>
        <v>20</v>
      </c>
      <c r="S27" s="1477">
        <f t="shared" si="1"/>
        <v>20</v>
      </c>
      <c r="T27" s="1477">
        <f t="shared" si="1"/>
        <v>20</v>
      </c>
      <c r="U27" s="1477">
        <f t="shared" si="1"/>
        <v>20</v>
      </c>
      <c r="V27" s="1477">
        <f t="shared" si="1"/>
        <v>20</v>
      </c>
      <c r="W27" s="1477">
        <f t="shared" si="1"/>
        <v>20</v>
      </c>
      <c r="X27" s="1477">
        <f t="shared" si="1"/>
        <v>20</v>
      </c>
      <c r="Y27" s="1477">
        <f t="shared" si="1"/>
        <v>12</v>
      </c>
      <c r="Z27" s="1477">
        <f t="shared" si="1"/>
        <v>250.5</v>
      </c>
      <c r="AA27" s="1478"/>
    </row>
    <row r="28" spans="2:28">
      <c r="B28" s="1464"/>
      <c r="C28" s="1465" t="s">
        <v>783</v>
      </c>
      <c r="D28" s="1465" t="s">
        <v>726</v>
      </c>
      <c r="E28" s="1467" t="s">
        <v>784</v>
      </c>
      <c r="F28" s="1466"/>
      <c r="G28" s="1467"/>
      <c r="H28" s="1467" t="s">
        <v>747</v>
      </c>
      <c r="I28" s="1468" t="s">
        <v>785</v>
      </c>
      <c r="J28" s="1469"/>
      <c r="K28" s="1469">
        <v>1</v>
      </c>
      <c r="L28" s="1469">
        <v>1</v>
      </c>
      <c r="M28" s="1469">
        <v>1</v>
      </c>
      <c r="N28" s="1469">
        <v>1</v>
      </c>
      <c r="O28" s="1469">
        <v>1</v>
      </c>
      <c r="P28" s="1469">
        <v>1</v>
      </c>
      <c r="Q28" s="1469">
        <v>1</v>
      </c>
      <c r="R28" s="1469">
        <v>1</v>
      </c>
      <c r="S28" s="1469">
        <v>1</v>
      </c>
      <c r="T28" s="1469">
        <v>1</v>
      </c>
      <c r="U28" s="1469">
        <v>1</v>
      </c>
      <c r="V28" s="1469">
        <v>1</v>
      </c>
      <c r="W28" s="1469">
        <v>1</v>
      </c>
      <c r="X28" s="1469">
        <v>1</v>
      </c>
      <c r="Y28" s="1469">
        <v>1</v>
      </c>
      <c r="Z28" s="1469">
        <f>SUM(J28:Y28)</f>
        <v>15</v>
      </c>
      <c r="AA28" s="1470" t="s">
        <v>786</v>
      </c>
    </row>
    <row r="29" spans="2:28" ht="32">
      <c r="B29" s="1464" t="s">
        <v>787</v>
      </c>
      <c r="C29" s="1465" t="s">
        <v>788</v>
      </c>
      <c r="D29" s="1465" t="s">
        <v>726</v>
      </c>
      <c r="E29" s="1466" t="s">
        <v>752</v>
      </c>
      <c r="F29" s="1466"/>
      <c r="G29" s="1467"/>
      <c r="H29" s="1467" t="s">
        <v>747</v>
      </c>
      <c r="I29" s="1468" t="s">
        <v>789</v>
      </c>
      <c r="J29" s="1469"/>
      <c r="K29" s="1469">
        <v>1</v>
      </c>
      <c r="L29" s="1469">
        <v>1</v>
      </c>
      <c r="M29" s="1469"/>
      <c r="N29" s="1469"/>
      <c r="O29" s="1469"/>
      <c r="P29" s="1469"/>
      <c r="Q29" s="1469"/>
      <c r="R29" s="1469"/>
      <c r="S29" s="1469"/>
      <c r="T29" s="1469"/>
      <c r="U29" s="1469"/>
      <c r="V29" s="1469"/>
      <c r="W29" s="1469"/>
      <c r="X29" s="1469"/>
      <c r="Y29" s="1469"/>
      <c r="Z29" s="1469">
        <f t="shared" ref="Z29:Z51" si="2">SUM(J29:Y29)</f>
        <v>2</v>
      </c>
      <c r="AA29" s="1470"/>
    </row>
    <row r="30" spans="2:28">
      <c r="B30" s="1464"/>
      <c r="C30" s="1465" t="s">
        <v>788</v>
      </c>
      <c r="D30" s="1465" t="s">
        <v>726</v>
      </c>
      <c r="E30" s="1466" t="s">
        <v>790</v>
      </c>
      <c r="F30" s="1466"/>
      <c r="G30" s="1467"/>
      <c r="H30" s="1467"/>
      <c r="I30" s="1468" t="s">
        <v>791</v>
      </c>
      <c r="J30" s="1475"/>
      <c r="K30" s="1479"/>
      <c r="L30" s="1479"/>
      <c r="M30" s="1469">
        <v>1</v>
      </c>
      <c r="N30" s="1469">
        <v>1</v>
      </c>
      <c r="O30" s="1469">
        <v>1</v>
      </c>
      <c r="P30" s="1469">
        <v>1</v>
      </c>
      <c r="Q30" s="1469">
        <v>1</v>
      </c>
      <c r="R30" s="1469">
        <v>1</v>
      </c>
      <c r="S30" s="1469">
        <v>1</v>
      </c>
      <c r="T30" s="1469">
        <v>1</v>
      </c>
      <c r="U30" s="1469">
        <v>1</v>
      </c>
      <c r="V30" s="1469">
        <v>1</v>
      </c>
      <c r="W30" s="1469">
        <v>1</v>
      </c>
      <c r="X30" s="1469">
        <v>1</v>
      </c>
      <c r="Y30" s="1469">
        <v>1</v>
      </c>
      <c r="Z30" s="1469">
        <f t="shared" si="2"/>
        <v>13</v>
      </c>
      <c r="AA30" s="1470"/>
      <c r="AB30" s="1455">
        <v>2</v>
      </c>
    </row>
    <row r="31" spans="2:28">
      <c r="B31" s="1464"/>
      <c r="C31" s="1465" t="s">
        <v>792</v>
      </c>
      <c r="D31" s="1465" t="s">
        <v>743</v>
      </c>
      <c r="E31" s="1466" t="s">
        <v>793</v>
      </c>
      <c r="F31" s="1466"/>
      <c r="G31" s="1467"/>
      <c r="H31" s="1467" t="s">
        <v>747</v>
      </c>
      <c r="I31" s="1468" t="s">
        <v>794</v>
      </c>
      <c r="J31" s="1469"/>
      <c r="K31" s="1469">
        <v>1</v>
      </c>
      <c r="L31" s="1469">
        <v>1</v>
      </c>
      <c r="M31" s="1469">
        <v>1</v>
      </c>
      <c r="N31" s="1469">
        <v>1</v>
      </c>
      <c r="O31" s="1469">
        <v>1</v>
      </c>
      <c r="P31" s="1469">
        <v>1</v>
      </c>
      <c r="Q31" s="1469">
        <v>1</v>
      </c>
      <c r="R31" s="1469">
        <v>1</v>
      </c>
      <c r="S31" s="1469">
        <v>1</v>
      </c>
      <c r="T31" s="1469">
        <v>1</v>
      </c>
      <c r="U31" s="1469">
        <v>1</v>
      </c>
      <c r="V31" s="1469">
        <v>1</v>
      </c>
      <c r="W31" s="1469">
        <v>1</v>
      </c>
      <c r="X31" s="1469">
        <v>1</v>
      </c>
      <c r="Y31" s="1469">
        <v>1</v>
      </c>
      <c r="Z31" s="1469">
        <f t="shared" si="2"/>
        <v>15</v>
      </c>
      <c r="AA31" s="1470"/>
    </row>
    <row r="32" spans="2:28">
      <c r="B32" s="1464"/>
      <c r="C32" s="1465" t="s">
        <v>795</v>
      </c>
      <c r="D32" s="1465" t="s">
        <v>796</v>
      </c>
      <c r="E32" s="1467" t="s">
        <v>738</v>
      </c>
      <c r="F32" s="1467"/>
      <c r="G32" s="1473"/>
      <c r="H32" s="1467" t="s">
        <v>728</v>
      </c>
      <c r="I32" s="1468" t="s">
        <v>797</v>
      </c>
      <c r="J32" s="1469"/>
      <c r="K32" s="1469">
        <v>1</v>
      </c>
      <c r="L32" s="1469">
        <v>1</v>
      </c>
      <c r="M32" s="1469">
        <v>1</v>
      </c>
      <c r="N32" s="1469">
        <v>1</v>
      </c>
      <c r="O32" s="1469">
        <v>1</v>
      </c>
      <c r="P32" s="1469">
        <v>1</v>
      </c>
      <c r="Q32" s="1469">
        <v>1</v>
      </c>
      <c r="R32" s="1469">
        <v>1</v>
      </c>
      <c r="S32" s="1469">
        <v>1</v>
      </c>
      <c r="T32" s="1469">
        <v>1</v>
      </c>
      <c r="U32" s="1469">
        <v>1</v>
      </c>
      <c r="V32" s="1469">
        <v>1</v>
      </c>
      <c r="W32" s="1469">
        <v>1</v>
      </c>
      <c r="X32" s="1469">
        <v>1</v>
      </c>
      <c r="Y32" s="1469">
        <v>1</v>
      </c>
      <c r="Z32" s="1469">
        <f t="shared" si="2"/>
        <v>15</v>
      </c>
      <c r="AA32" s="1470"/>
    </row>
    <row r="33" spans="2:27">
      <c r="B33" s="1464"/>
      <c r="C33" s="1465" t="s">
        <v>798</v>
      </c>
      <c r="D33" s="1465" t="s">
        <v>726</v>
      </c>
      <c r="E33" s="1466" t="s">
        <v>770</v>
      </c>
      <c r="F33" s="1466"/>
      <c r="G33" s="1467"/>
      <c r="H33" s="1467" t="s">
        <v>734</v>
      </c>
      <c r="I33" s="1468" t="s">
        <v>799</v>
      </c>
      <c r="J33" s="1469"/>
      <c r="K33" s="1469">
        <v>1</v>
      </c>
      <c r="L33" s="1469">
        <v>1</v>
      </c>
      <c r="M33" s="1469">
        <v>1</v>
      </c>
      <c r="N33" s="1469">
        <v>1</v>
      </c>
      <c r="O33" s="1469">
        <v>1</v>
      </c>
      <c r="P33" s="1469">
        <v>1</v>
      </c>
      <c r="Q33" s="1469">
        <v>1</v>
      </c>
      <c r="R33" s="1469">
        <v>1</v>
      </c>
      <c r="S33" s="1469">
        <v>1</v>
      </c>
      <c r="T33" s="1469">
        <v>1</v>
      </c>
      <c r="U33" s="1469">
        <v>1</v>
      </c>
      <c r="V33" s="1469">
        <v>1</v>
      </c>
      <c r="W33" s="1469">
        <v>1</v>
      </c>
      <c r="X33" s="1469">
        <v>1</v>
      </c>
      <c r="Y33" s="1469">
        <v>1</v>
      </c>
      <c r="Z33" s="1469">
        <f t="shared" si="2"/>
        <v>15</v>
      </c>
      <c r="AA33" s="1470"/>
    </row>
    <row r="34" spans="2:27">
      <c r="B34" s="1464"/>
      <c r="C34" s="1465" t="s">
        <v>800</v>
      </c>
      <c r="D34" s="1465" t="s">
        <v>726</v>
      </c>
      <c r="E34" s="1466" t="s">
        <v>801</v>
      </c>
      <c r="F34" s="1466"/>
      <c r="G34" s="1467"/>
      <c r="H34" s="1467" t="s">
        <v>728</v>
      </c>
      <c r="I34" s="1468" t="s">
        <v>802</v>
      </c>
      <c r="J34" s="1475"/>
      <c r="K34" s="1475">
        <v>1</v>
      </c>
      <c r="L34" s="1475">
        <v>1</v>
      </c>
      <c r="M34" s="1475">
        <v>1</v>
      </c>
      <c r="N34" s="1475">
        <v>1</v>
      </c>
      <c r="O34" s="1475">
        <v>1</v>
      </c>
      <c r="P34" s="1475">
        <v>1</v>
      </c>
      <c r="Q34" s="1475">
        <v>1</v>
      </c>
      <c r="R34" s="1475">
        <v>1</v>
      </c>
      <c r="S34" s="1475">
        <v>1</v>
      </c>
      <c r="T34" s="1475">
        <v>1</v>
      </c>
      <c r="U34" s="1469">
        <v>1</v>
      </c>
      <c r="V34" s="1475">
        <v>1</v>
      </c>
      <c r="W34" s="1475">
        <v>1</v>
      </c>
      <c r="X34" s="1475">
        <v>1</v>
      </c>
      <c r="Y34" s="1475">
        <v>1</v>
      </c>
      <c r="Z34" s="1469">
        <f t="shared" si="2"/>
        <v>15</v>
      </c>
      <c r="AA34" s="1470"/>
    </row>
    <row r="35" spans="2:27">
      <c r="B35" s="1464"/>
      <c r="C35" s="1473" t="s">
        <v>803</v>
      </c>
      <c r="D35" s="1473"/>
      <c r="E35" s="1467" t="s">
        <v>755</v>
      </c>
      <c r="F35" s="1467"/>
      <c r="G35" s="1467"/>
      <c r="H35" s="1467" t="s">
        <v>747</v>
      </c>
      <c r="I35" s="1468" t="s">
        <v>804</v>
      </c>
      <c r="J35" s="1475"/>
      <c r="K35" s="1475">
        <v>1</v>
      </c>
      <c r="L35" s="1475">
        <v>1</v>
      </c>
      <c r="M35" s="1475">
        <v>1</v>
      </c>
      <c r="N35" s="1475">
        <v>1</v>
      </c>
      <c r="O35" s="1475"/>
      <c r="P35" s="1475"/>
      <c r="Q35" s="1475"/>
      <c r="R35" s="1475"/>
      <c r="S35" s="1475"/>
      <c r="T35" s="1475"/>
      <c r="U35" s="1469"/>
      <c r="V35" s="1475"/>
      <c r="W35" s="1475"/>
      <c r="X35" s="1475"/>
      <c r="Y35" s="1475"/>
      <c r="Z35" s="1469">
        <f t="shared" si="2"/>
        <v>4</v>
      </c>
      <c r="AA35" s="1470"/>
    </row>
    <row r="36" spans="2:27">
      <c r="B36" s="1464"/>
      <c r="C36" s="1473" t="s">
        <v>805</v>
      </c>
      <c r="D36" s="1473"/>
      <c r="E36" s="1466" t="s">
        <v>806</v>
      </c>
      <c r="F36" s="1466"/>
      <c r="G36" s="1467"/>
      <c r="H36" s="1467"/>
      <c r="I36" s="1468" t="s">
        <v>807</v>
      </c>
      <c r="J36" s="1469"/>
      <c r="K36" s="1469">
        <v>1</v>
      </c>
      <c r="L36" s="1469">
        <v>1</v>
      </c>
      <c r="M36" s="1469">
        <v>1</v>
      </c>
      <c r="N36" s="1469">
        <v>1</v>
      </c>
      <c r="O36" s="1469"/>
      <c r="P36" s="1469"/>
      <c r="Q36" s="1469"/>
      <c r="R36" s="1469"/>
      <c r="S36" s="1469"/>
      <c r="T36" s="1469"/>
      <c r="U36" s="1469"/>
      <c r="V36" s="1469"/>
      <c r="W36" s="1469"/>
      <c r="X36" s="1469"/>
      <c r="Y36" s="1469"/>
      <c r="Z36" s="1469">
        <f>SUM(J36:Y36)</f>
        <v>4</v>
      </c>
      <c r="AA36" s="1470"/>
    </row>
    <row r="37" spans="2:27">
      <c r="B37" s="1464"/>
      <c r="C37" s="1473" t="s">
        <v>808</v>
      </c>
      <c r="D37" s="1473"/>
      <c r="E37" s="1466" t="s">
        <v>806</v>
      </c>
      <c r="F37" s="1466"/>
      <c r="G37" s="1467"/>
      <c r="H37" s="1467"/>
      <c r="I37" s="1468" t="s">
        <v>777</v>
      </c>
      <c r="J37" s="1469"/>
      <c r="K37" s="1469">
        <v>1</v>
      </c>
      <c r="L37" s="1469">
        <v>1</v>
      </c>
      <c r="M37" s="1469">
        <v>1</v>
      </c>
      <c r="N37" s="1469">
        <v>1</v>
      </c>
      <c r="O37" s="1469"/>
      <c r="P37" s="1469"/>
      <c r="Q37" s="1469"/>
      <c r="R37" s="1469"/>
      <c r="S37" s="1469"/>
      <c r="T37" s="1469"/>
      <c r="U37" s="1469"/>
      <c r="V37" s="1469"/>
      <c r="W37" s="1469"/>
      <c r="X37" s="1469"/>
      <c r="Y37" s="1469"/>
      <c r="Z37" s="1469">
        <f>SUM(J37:Y37)</f>
        <v>4</v>
      </c>
      <c r="AA37" s="1470"/>
    </row>
    <row r="38" spans="2:27">
      <c r="B38" s="1464"/>
      <c r="C38" s="1473" t="s">
        <v>809</v>
      </c>
      <c r="D38" s="1473"/>
      <c r="E38" s="1466" t="s">
        <v>770</v>
      </c>
      <c r="F38" s="1466"/>
      <c r="G38" s="1467"/>
      <c r="H38" s="1467" t="s">
        <v>747</v>
      </c>
      <c r="I38" s="1468" t="s">
        <v>810</v>
      </c>
      <c r="J38" s="1475"/>
      <c r="K38" s="1475"/>
      <c r="L38" s="1469">
        <v>0.5</v>
      </c>
      <c r="M38" s="1469">
        <v>1</v>
      </c>
      <c r="N38" s="1469">
        <v>1</v>
      </c>
      <c r="O38" s="1469">
        <v>1</v>
      </c>
      <c r="P38" s="1469">
        <v>1</v>
      </c>
      <c r="Q38" s="1469">
        <v>1</v>
      </c>
      <c r="R38" s="1469">
        <v>1</v>
      </c>
      <c r="S38" s="1469">
        <v>1</v>
      </c>
      <c r="T38" s="1469">
        <v>1</v>
      </c>
      <c r="U38" s="1469">
        <v>1</v>
      </c>
      <c r="V38" s="1469">
        <v>1</v>
      </c>
      <c r="W38" s="1469">
        <v>1</v>
      </c>
      <c r="X38" s="1469">
        <v>1</v>
      </c>
      <c r="Y38" s="1469">
        <v>1</v>
      </c>
      <c r="Z38" s="1469">
        <f t="shared" si="2"/>
        <v>13.5</v>
      </c>
      <c r="AA38" s="1470"/>
    </row>
    <row r="39" spans="2:27">
      <c r="B39" s="1464"/>
      <c r="C39" s="1473" t="s">
        <v>811</v>
      </c>
      <c r="D39" s="1473"/>
      <c r="E39" s="1466" t="s">
        <v>770</v>
      </c>
      <c r="F39" s="1466"/>
      <c r="G39" s="1467"/>
      <c r="H39" s="1467" t="s">
        <v>734</v>
      </c>
      <c r="I39" s="1467" t="s">
        <v>812</v>
      </c>
      <c r="J39" s="1475"/>
      <c r="K39" s="1475"/>
      <c r="L39" s="1475"/>
      <c r="M39" s="1479"/>
      <c r="N39" s="1469">
        <v>1</v>
      </c>
      <c r="O39" s="1469">
        <v>1</v>
      </c>
      <c r="P39" s="1469">
        <v>1</v>
      </c>
      <c r="Q39" s="1469">
        <v>1</v>
      </c>
      <c r="R39" s="1469">
        <v>1</v>
      </c>
      <c r="S39" s="1469">
        <v>1</v>
      </c>
      <c r="T39" s="1469">
        <v>1</v>
      </c>
      <c r="U39" s="1469">
        <v>1</v>
      </c>
      <c r="V39" s="1469">
        <v>1</v>
      </c>
      <c r="W39" s="1469">
        <v>1</v>
      </c>
      <c r="X39" s="1469">
        <v>1</v>
      </c>
      <c r="Y39" s="1469"/>
      <c r="Z39" s="1469">
        <f t="shared" si="2"/>
        <v>11</v>
      </c>
      <c r="AA39" s="1470"/>
    </row>
    <row r="40" spans="2:27">
      <c r="B40" s="1464"/>
      <c r="C40" s="1473" t="s">
        <v>813</v>
      </c>
      <c r="D40" s="1480"/>
      <c r="E40" s="1466" t="s">
        <v>814</v>
      </c>
      <c r="F40" s="1466"/>
      <c r="G40" s="1466"/>
      <c r="H40" s="1467" t="s">
        <v>747</v>
      </c>
      <c r="I40" s="1468" t="s">
        <v>815</v>
      </c>
      <c r="J40" s="1475"/>
      <c r="K40" s="1475"/>
      <c r="L40" s="1475"/>
      <c r="M40" s="1469"/>
      <c r="N40" s="1469"/>
      <c r="O40" s="1469"/>
      <c r="P40" s="1481">
        <v>0.5</v>
      </c>
      <c r="Q40" s="1481">
        <v>1</v>
      </c>
      <c r="R40" s="1481">
        <v>1</v>
      </c>
      <c r="S40" s="1481">
        <v>1</v>
      </c>
      <c r="T40" s="1481">
        <v>1</v>
      </c>
      <c r="U40" s="1481">
        <v>1</v>
      </c>
      <c r="V40" s="1481">
        <v>1</v>
      </c>
      <c r="W40" s="1481">
        <v>1</v>
      </c>
      <c r="X40" s="1481">
        <v>1</v>
      </c>
      <c r="Y40" s="1469"/>
      <c r="Z40" s="1469">
        <f t="shared" si="2"/>
        <v>8.5</v>
      </c>
      <c r="AA40" s="1470"/>
    </row>
    <row r="41" spans="2:27">
      <c r="B41" s="1464"/>
      <c r="C41" s="1482" t="s">
        <v>816</v>
      </c>
      <c r="D41" s="1482"/>
      <c r="E41" s="1483"/>
      <c r="F41" s="1483"/>
      <c r="G41" s="1483"/>
      <c r="H41" s="1483" t="s">
        <v>817</v>
      </c>
      <c r="I41" s="1468"/>
      <c r="J41" s="1484"/>
      <c r="K41" s="1484"/>
      <c r="L41" s="1484"/>
      <c r="M41" s="1484"/>
      <c r="N41" s="1484"/>
      <c r="O41" s="1484"/>
      <c r="P41" s="1484">
        <v>0.5</v>
      </c>
      <c r="Q41" s="1484">
        <v>1</v>
      </c>
      <c r="R41" s="1484">
        <v>1</v>
      </c>
      <c r="S41" s="1484">
        <v>1</v>
      </c>
      <c r="T41" s="1484">
        <v>1</v>
      </c>
      <c r="U41" s="1484">
        <v>1</v>
      </c>
      <c r="V41" s="1484">
        <v>1</v>
      </c>
      <c r="W41" s="1484">
        <v>1</v>
      </c>
      <c r="X41" s="1484">
        <v>1</v>
      </c>
      <c r="Y41" s="1484">
        <v>0.5</v>
      </c>
      <c r="Z41" s="1484">
        <f t="shared" si="2"/>
        <v>9</v>
      </c>
      <c r="AA41" s="1485" t="s">
        <v>818</v>
      </c>
    </row>
    <row r="42" spans="2:27">
      <c r="B42" s="1464"/>
      <c r="C42" s="1473" t="s">
        <v>819</v>
      </c>
      <c r="D42" s="1473"/>
      <c r="E42" s="1467" t="s">
        <v>767</v>
      </c>
      <c r="F42" s="1466"/>
      <c r="G42" s="1467"/>
      <c r="H42" s="1467" t="s">
        <v>747</v>
      </c>
      <c r="I42" s="1468" t="s">
        <v>820</v>
      </c>
      <c r="J42" s="1469"/>
      <c r="K42" s="1469">
        <v>1</v>
      </c>
      <c r="L42" s="1469">
        <v>1</v>
      </c>
      <c r="M42" s="1469">
        <v>1</v>
      </c>
      <c r="N42" s="1469">
        <v>1</v>
      </c>
      <c r="O42" s="1469">
        <v>1</v>
      </c>
      <c r="P42" s="1469">
        <v>1</v>
      </c>
      <c r="Q42" s="1469">
        <v>1</v>
      </c>
      <c r="R42" s="1469">
        <v>1</v>
      </c>
      <c r="S42" s="1469">
        <v>1</v>
      </c>
      <c r="T42" s="1469">
        <v>1</v>
      </c>
      <c r="U42" s="1469">
        <v>1</v>
      </c>
      <c r="V42" s="1469">
        <v>1</v>
      </c>
      <c r="W42" s="1469">
        <v>1</v>
      </c>
      <c r="X42" s="1469">
        <v>1</v>
      </c>
      <c r="Y42" s="1469">
        <v>1</v>
      </c>
      <c r="Z42" s="1469">
        <f t="shared" si="2"/>
        <v>15</v>
      </c>
      <c r="AA42" s="1470"/>
    </row>
    <row r="43" spans="2:27">
      <c r="B43" s="1464"/>
      <c r="C43" s="1473" t="s">
        <v>754</v>
      </c>
      <c r="D43" s="1473"/>
      <c r="E43" s="1467" t="s">
        <v>821</v>
      </c>
      <c r="F43" s="1466"/>
      <c r="G43" s="1480"/>
      <c r="H43" s="1467"/>
      <c r="I43" s="1468" t="s">
        <v>822</v>
      </c>
      <c r="J43" s="1475"/>
      <c r="K43" s="1475"/>
      <c r="L43" s="1475"/>
      <c r="M43" s="1475"/>
      <c r="N43" s="1475"/>
      <c r="O43" s="1469">
        <v>1</v>
      </c>
      <c r="P43" s="1469">
        <v>1</v>
      </c>
      <c r="Q43" s="1469">
        <v>1</v>
      </c>
      <c r="R43" s="1469">
        <v>1</v>
      </c>
      <c r="S43" s="1469">
        <v>1</v>
      </c>
      <c r="T43" s="1469">
        <v>1</v>
      </c>
      <c r="U43" s="1469">
        <v>1</v>
      </c>
      <c r="V43" s="1469">
        <v>1</v>
      </c>
      <c r="W43" s="1469">
        <v>1</v>
      </c>
      <c r="X43" s="1469">
        <v>1</v>
      </c>
      <c r="Y43" s="1469">
        <v>1</v>
      </c>
      <c r="Z43" s="1469">
        <f t="shared" si="2"/>
        <v>11</v>
      </c>
      <c r="AA43" s="1470"/>
    </row>
    <row r="44" spans="2:27">
      <c r="B44" s="1464"/>
      <c r="C44" s="1482" t="s">
        <v>823</v>
      </c>
      <c r="D44" s="1482"/>
      <c r="E44" s="1483"/>
      <c r="F44" s="1483"/>
      <c r="G44" s="1483"/>
      <c r="H44" s="1483" t="s">
        <v>824</v>
      </c>
      <c r="I44" s="1468"/>
      <c r="J44" s="1484"/>
      <c r="K44" s="1484"/>
      <c r="L44" s="1484"/>
      <c r="M44" s="1484"/>
      <c r="N44" s="1484"/>
      <c r="O44" s="1484"/>
      <c r="P44" s="1484">
        <v>0.5</v>
      </c>
      <c r="Q44" s="1484">
        <v>1</v>
      </c>
      <c r="R44" s="1484">
        <v>1</v>
      </c>
      <c r="S44" s="1484">
        <v>1</v>
      </c>
      <c r="T44" s="1484">
        <v>1</v>
      </c>
      <c r="U44" s="1484">
        <v>1</v>
      </c>
      <c r="V44" s="1484">
        <v>1</v>
      </c>
      <c r="W44" s="1484">
        <v>1</v>
      </c>
      <c r="X44" s="1484">
        <v>1</v>
      </c>
      <c r="Y44" s="1484">
        <v>0.5</v>
      </c>
      <c r="Z44" s="1484">
        <f t="shared" si="2"/>
        <v>9</v>
      </c>
      <c r="AA44" s="1485" t="s">
        <v>825</v>
      </c>
    </row>
    <row r="45" spans="2:27">
      <c r="B45" s="1464"/>
      <c r="C45" s="1473" t="s">
        <v>826</v>
      </c>
      <c r="D45" s="1473"/>
      <c r="E45" s="1466" t="s">
        <v>770</v>
      </c>
      <c r="F45" s="1466"/>
      <c r="G45" s="1466"/>
      <c r="H45" s="1467" t="s">
        <v>747</v>
      </c>
      <c r="I45" s="1468" t="s">
        <v>827</v>
      </c>
      <c r="J45" s="1475"/>
      <c r="K45" s="1475"/>
      <c r="L45" s="1486"/>
      <c r="M45" s="1479"/>
      <c r="N45" s="1469">
        <v>1</v>
      </c>
      <c r="O45" s="1469">
        <v>1</v>
      </c>
      <c r="P45" s="1469">
        <v>1</v>
      </c>
      <c r="Q45" s="1469">
        <v>1</v>
      </c>
      <c r="R45" s="1469">
        <v>1</v>
      </c>
      <c r="S45" s="1469">
        <v>1</v>
      </c>
      <c r="T45" s="1469">
        <v>1</v>
      </c>
      <c r="U45" s="1469">
        <v>1</v>
      </c>
      <c r="V45" s="1469">
        <v>1</v>
      </c>
      <c r="W45" s="1469">
        <v>1</v>
      </c>
      <c r="X45" s="1469">
        <v>1</v>
      </c>
      <c r="Y45" s="1469"/>
      <c r="Z45" s="1469">
        <f t="shared" si="2"/>
        <v>11</v>
      </c>
      <c r="AA45" s="1470"/>
    </row>
    <row r="46" spans="2:27">
      <c r="B46" s="1464"/>
      <c r="C46" s="1473" t="s">
        <v>828</v>
      </c>
      <c r="D46" s="1473"/>
      <c r="E46" s="1466" t="s">
        <v>829</v>
      </c>
      <c r="F46" s="1466"/>
      <c r="G46" s="1467"/>
      <c r="H46" s="1467" t="s">
        <v>728</v>
      </c>
      <c r="I46" s="1468" t="s">
        <v>830</v>
      </c>
      <c r="J46" s="1475"/>
      <c r="K46" s="1475"/>
      <c r="L46" s="1475"/>
      <c r="M46" s="1475"/>
      <c r="N46" s="1475"/>
      <c r="O46" s="1469">
        <v>1</v>
      </c>
      <c r="P46" s="1469">
        <v>1</v>
      </c>
      <c r="Q46" s="1469">
        <v>1</v>
      </c>
      <c r="R46" s="1469">
        <v>1</v>
      </c>
      <c r="S46" s="1469">
        <v>1</v>
      </c>
      <c r="T46" s="1469">
        <v>1</v>
      </c>
      <c r="U46" s="1469">
        <v>1</v>
      </c>
      <c r="V46" s="1469">
        <v>1</v>
      </c>
      <c r="W46" s="1469">
        <v>1</v>
      </c>
      <c r="X46" s="1469">
        <v>1</v>
      </c>
      <c r="Y46" s="1469">
        <v>1</v>
      </c>
      <c r="Z46" s="1469">
        <f t="shared" si="2"/>
        <v>11</v>
      </c>
      <c r="AA46" s="1470"/>
    </row>
    <row r="47" spans="2:27">
      <c r="B47" s="1464"/>
      <c r="C47" s="1482" t="s">
        <v>831</v>
      </c>
      <c r="D47" s="1482"/>
      <c r="E47" s="1483"/>
      <c r="F47" s="1483"/>
      <c r="G47" s="1483"/>
      <c r="H47" s="1483" t="s">
        <v>824</v>
      </c>
      <c r="I47" s="1468"/>
      <c r="J47" s="1484"/>
      <c r="K47" s="1484"/>
      <c r="L47" s="1484"/>
      <c r="M47" s="1484"/>
      <c r="N47" s="1484"/>
      <c r="O47" s="1484"/>
      <c r="P47" s="1484">
        <v>0.5</v>
      </c>
      <c r="Q47" s="1484">
        <v>1</v>
      </c>
      <c r="R47" s="1484">
        <v>1</v>
      </c>
      <c r="S47" s="1484">
        <v>1</v>
      </c>
      <c r="T47" s="1484">
        <v>1</v>
      </c>
      <c r="U47" s="1484">
        <v>1</v>
      </c>
      <c r="V47" s="1484">
        <v>1</v>
      </c>
      <c r="W47" s="1484">
        <v>1</v>
      </c>
      <c r="X47" s="1484">
        <v>1</v>
      </c>
      <c r="Y47" s="1484">
        <v>1</v>
      </c>
      <c r="Z47" s="1484">
        <f t="shared" si="2"/>
        <v>9.5</v>
      </c>
      <c r="AA47" s="1485" t="s">
        <v>832</v>
      </c>
    </row>
    <row r="48" spans="2:27">
      <c r="B48" s="1464"/>
      <c r="C48" s="1473" t="s">
        <v>833</v>
      </c>
      <c r="D48" s="1473"/>
      <c r="E48" s="1467" t="s">
        <v>755</v>
      </c>
      <c r="F48" s="1467"/>
      <c r="G48" s="1467"/>
      <c r="H48" s="1467" t="s">
        <v>734</v>
      </c>
      <c r="I48" s="1468" t="s">
        <v>834</v>
      </c>
      <c r="J48" s="1469"/>
      <c r="K48" s="1469"/>
      <c r="L48" s="1469"/>
      <c r="M48" s="1469">
        <v>0.5</v>
      </c>
      <c r="N48" s="1469">
        <v>1</v>
      </c>
      <c r="O48" s="1469">
        <v>1</v>
      </c>
      <c r="P48" s="1469">
        <v>1</v>
      </c>
      <c r="Q48" s="1469">
        <v>1</v>
      </c>
      <c r="R48" s="1469">
        <v>1</v>
      </c>
      <c r="S48" s="1469">
        <v>1</v>
      </c>
      <c r="T48" s="1469">
        <v>1</v>
      </c>
      <c r="U48" s="1469">
        <v>1</v>
      </c>
      <c r="V48" s="1469">
        <v>1</v>
      </c>
      <c r="W48" s="1469">
        <v>1</v>
      </c>
      <c r="X48" s="1469">
        <v>1</v>
      </c>
      <c r="Y48" s="1469">
        <v>1</v>
      </c>
      <c r="Z48" s="1469">
        <f t="shared" si="2"/>
        <v>12.5</v>
      </c>
      <c r="AA48" s="1470"/>
    </row>
    <row r="49" spans="2:27">
      <c r="B49" s="1464"/>
      <c r="C49" s="1473" t="s">
        <v>833</v>
      </c>
      <c r="D49" s="1473"/>
      <c r="E49" s="1466" t="s">
        <v>761</v>
      </c>
      <c r="F49" s="1467"/>
      <c r="G49" s="1466"/>
      <c r="H49" s="1467" t="s">
        <v>734</v>
      </c>
      <c r="I49" s="1468" t="s">
        <v>835</v>
      </c>
      <c r="J49" s="1475"/>
      <c r="K49" s="1475"/>
      <c r="L49" s="1475"/>
      <c r="M49" s="1475"/>
      <c r="N49" s="1475"/>
      <c r="O49" s="1469"/>
      <c r="P49" s="1481">
        <v>0.5</v>
      </c>
      <c r="Q49" s="1481">
        <v>1</v>
      </c>
      <c r="R49" s="1481">
        <v>1</v>
      </c>
      <c r="S49" s="1481">
        <v>1</v>
      </c>
      <c r="T49" s="1481">
        <v>1</v>
      </c>
      <c r="U49" s="1481">
        <v>1</v>
      </c>
      <c r="V49" s="1481">
        <v>1</v>
      </c>
      <c r="W49" s="1481">
        <v>1</v>
      </c>
      <c r="X49" s="1481">
        <v>1</v>
      </c>
      <c r="Y49" s="1469"/>
      <c r="Z49" s="1469">
        <f t="shared" si="2"/>
        <v>8.5</v>
      </c>
      <c r="AA49" s="1470"/>
    </row>
    <row r="50" spans="2:27">
      <c r="B50" s="1464"/>
      <c r="C50" s="1473" t="s">
        <v>836</v>
      </c>
      <c r="D50" s="1473"/>
      <c r="E50" s="1466" t="s">
        <v>770</v>
      </c>
      <c r="F50" s="1466"/>
      <c r="G50" s="1467"/>
      <c r="H50" s="1467" t="s">
        <v>747</v>
      </c>
      <c r="I50" s="1468" t="s">
        <v>837</v>
      </c>
      <c r="J50" s="1469"/>
      <c r="K50" s="1472"/>
      <c r="L50" s="1469">
        <v>0.5</v>
      </c>
      <c r="M50" s="1469">
        <v>1</v>
      </c>
      <c r="N50" s="1469">
        <v>1</v>
      </c>
      <c r="O50" s="1469">
        <v>1</v>
      </c>
      <c r="P50" s="1469">
        <v>1</v>
      </c>
      <c r="Q50" s="1469">
        <v>1</v>
      </c>
      <c r="R50" s="1469">
        <v>1</v>
      </c>
      <c r="S50" s="1469">
        <v>1</v>
      </c>
      <c r="T50" s="1469">
        <v>1</v>
      </c>
      <c r="U50" s="1469">
        <v>1</v>
      </c>
      <c r="V50" s="1469">
        <v>1</v>
      </c>
      <c r="W50" s="1469">
        <v>1</v>
      </c>
      <c r="X50" s="1469">
        <v>1</v>
      </c>
      <c r="Y50" s="1469">
        <v>1</v>
      </c>
      <c r="Z50" s="1469">
        <f t="shared" si="2"/>
        <v>13.5</v>
      </c>
      <c r="AA50" s="1470"/>
    </row>
    <row r="51" spans="2:27">
      <c r="B51" s="1464"/>
      <c r="C51" s="1473" t="s">
        <v>838</v>
      </c>
      <c r="D51" s="1473"/>
      <c r="E51" s="1467" t="s">
        <v>765</v>
      </c>
      <c r="F51" s="1467"/>
      <c r="G51" s="1473"/>
      <c r="H51" s="1467" t="s">
        <v>747</v>
      </c>
      <c r="I51" s="1468" t="s">
        <v>839</v>
      </c>
      <c r="J51" s="1469"/>
      <c r="K51" s="1469"/>
      <c r="L51" s="1469"/>
      <c r="M51" s="1469"/>
      <c r="N51" s="1469"/>
      <c r="O51" s="1469">
        <v>1</v>
      </c>
      <c r="P51" s="1469">
        <v>1</v>
      </c>
      <c r="Q51" s="1469">
        <v>1</v>
      </c>
      <c r="R51" s="1469">
        <v>1</v>
      </c>
      <c r="S51" s="1469">
        <v>1</v>
      </c>
      <c r="T51" s="1469">
        <v>1</v>
      </c>
      <c r="U51" s="1469">
        <v>1</v>
      </c>
      <c r="V51" s="1469">
        <v>1</v>
      </c>
      <c r="W51" s="1469">
        <v>1</v>
      </c>
      <c r="X51" s="1469">
        <v>1</v>
      </c>
      <c r="Y51" s="1469">
        <v>1</v>
      </c>
      <c r="Z51" s="1469">
        <f t="shared" si="2"/>
        <v>11</v>
      </c>
      <c r="AA51" s="1470"/>
    </row>
    <row r="52" spans="2:27">
      <c r="B52" s="1464"/>
      <c r="C52" s="1487" t="s">
        <v>840</v>
      </c>
      <c r="D52" s="1487"/>
      <c r="E52" s="1488"/>
      <c r="F52" s="1488"/>
      <c r="G52" s="1487"/>
      <c r="H52" s="1483" t="s">
        <v>824</v>
      </c>
      <c r="I52" s="1468"/>
      <c r="J52" s="1484"/>
      <c r="K52" s="1484"/>
      <c r="L52" s="1484"/>
      <c r="M52" s="1484"/>
      <c r="N52" s="1484"/>
      <c r="O52" s="1484"/>
      <c r="P52" s="1484">
        <v>0.5</v>
      </c>
      <c r="Q52" s="1484">
        <v>1</v>
      </c>
      <c r="R52" s="1484">
        <v>1</v>
      </c>
      <c r="S52" s="1484">
        <v>1</v>
      </c>
      <c r="T52" s="1484">
        <v>1</v>
      </c>
      <c r="U52" s="1484">
        <v>1</v>
      </c>
      <c r="V52" s="1484">
        <v>1</v>
      </c>
      <c r="W52" s="1484">
        <v>1</v>
      </c>
      <c r="X52" s="1484">
        <v>1</v>
      </c>
      <c r="Y52" s="1484">
        <v>1</v>
      </c>
      <c r="Z52" s="1484">
        <f>SUM(J52:Y52)</f>
        <v>9.5</v>
      </c>
      <c r="AA52" s="1485" t="s">
        <v>841</v>
      </c>
    </row>
    <row r="53" spans="2:27">
      <c r="B53" s="1464"/>
      <c r="C53" s="1473" t="s">
        <v>842</v>
      </c>
      <c r="D53" s="1473"/>
      <c r="E53" s="1466" t="s">
        <v>761</v>
      </c>
      <c r="F53" s="1466"/>
      <c r="G53" s="1467"/>
      <c r="H53" s="1467" t="s">
        <v>734</v>
      </c>
      <c r="I53" s="1468" t="s">
        <v>843</v>
      </c>
      <c r="J53" s="1475"/>
      <c r="K53" s="1475"/>
      <c r="L53" s="1475"/>
      <c r="M53" s="1475"/>
      <c r="N53" s="1475"/>
      <c r="O53" s="1469">
        <v>1</v>
      </c>
      <c r="P53" s="1469">
        <v>1</v>
      </c>
      <c r="Q53" s="1469">
        <v>1</v>
      </c>
      <c r="R53" s="1469">
        <v>1</v>
      </c>
      <c r="S53" s="1469">
        <v>1</v>
      </c>
      <c r="T53" s="1469">
        <v>1</v>
      </c>
      <c r="U53" s="1469">
        <v>1</v>
      </c>
      <c r="V53" s="1469">
        <v>1</v>
      </c>
      <c r="W53" s="1469">
        <v>1</v>
      </c>
      <c r="X53" s="1469">
        <v>1</v>
      </c>
      <c r="Y53" s="1469">
        <v>1</v>
      </c>
      <c r="Z53" s="1469">
        <f>SUM(J53:Y53)</f>
        <v>11</v>
      </c>
      <c r="AA53" s="1470"/>
    </row>
    <row r="54" spans="2:27">
      <c r="B54" s="1464"/>
      <c r="C54" s="1473" t="s">
        <v>844</v>
      </c>
      <c r="D54" s="1473"/>
      <c r="E54" s="1466" t="s">
        <v>829</v>
      </c>
      <c r="F54" s="1466"/>
      <c r="G54" s="1467"/>
      <c r="H54" s="1467" t="s">
        <v>747</v>
      </c>
      <c r="I54" s="1468" t="s">
        <v>845</v>
      </c>
      <c r="J54" s="1475"/>
      <c r="K54" s="1475"/>
      <c r="L54" s="1475"/>
      <c r="M54" s="1475"/>
      <c r="N54" s="1475"/>
      <c r="O54" s="1469">
        <v>1</v>
      </c>
      <c r="P54" s="1469">
        <v>1</v>
      </c>
      <c r="Q54" s="1469">
        <v>1</v>
      </c>
      <c r="R54" s="1469">
        <v>1</v>
      </c>
      <c r="S54" s="1469">
        <v>1</v>
      </c>
      <c r="T54" s="1469">
        <v>1</v>
      </c>
      <c r="U54" s="1469">
        <v>1</v>
      </c>
      <c r="V54" s="1469">
        <v>1</v>
      </c>
      <c r="W54" s="1469">
        <v>1</v>
      </c>
      <c r="X54" s="1469">
        <v>1</v>
      </c>
      <c r="Y54" s="1469">
        <v>1</v>
      </c>
      <c r="Z54" s="1469">
        <f t="shared" ref="Z54:Z61" si="3">SUM(J54:Y54)</f>
        <v>11</v>
      </c>
      <c r="AA54" s="1470"/>
    </row>
    <row r="55" spans="2:27">
      <c r="B55" s="1464"/>
      <c r="C55" s="1473" t="s">
        <v>844</v>
      </c>
      <c r="D55" s="1473"/>
      <c r="E55" s="1466" t="s">
        <v>755</v>
      </c>
      <c r="F55" s="1467"/>
      <c r="G55" s="1467"/>
      <c r="H55" s="1467" t="s">
        <v>734</v>
      </c>
      <c r="I55" s="1468" t="s">
        <v>846</v>
      </c>
      <c r="J55" s="1475"/>
      <c r="K55" s="1475"/>
      <c r="L55" s="1475"/>
      <c r="M55" s="1475"/>
      <c r="N55" s="1475"/>
      <c r="O55" s="1469"/>
      <c r="P55" s="1481">
        <v>0.5</v>
      </c>
      <c r="Q55" s="1481">
        <v>1</v>
      </c>
      <c r="R55" s="1481">
        <v>1</v>
      </c>
      <c r="S55" s="1481">
        <v>1</v>
      </c>
      <c r="T55" s="1481">
        <v>1</v>
      </c>
      <c r="U55" s="1481">
        <v>1</v>
      </c>
      <c r="V55" s="1481">
        <v>1</v>
      </c>
      <c r="W55" s="1481">
        <v>1</v>
      </c>
      <c r="X55" s="1481">
        <v>1</v>
      </c>
      <c r="Y55" s="1469"/>
      <c r="Z55" s="1469">
        <f t="shared" si="3"/>
        <v>8.5</v>
      </c>
      <c r="AA55" s="1470"/>
    </row>
    <row r="56" spans="2:27">
      <c r="B56" s="1464"/>
      <c r="C56" s="1473" t="s">
        <v>847</v>
      </c>
      <c r="D56" s="1473"/>
      <c r="E56" s="1466" t="s">
        <v>755</v>
      </c>
      <c r="F56" s="1466"/>
      <c r="G56" s="1466"/>
      <c r="H56" s="1467" t="s">
        <v>734</v>
      </c>
      <c r="I56" s="1468" t="s">
        <v>848</v>
      </c>
      <c r="J56" s="1475"/>
      <c r="K56" s="1475"/>
      <c r="L56" s="1475"/>
      <c r="M56" s="1475"/>
      <c r="N56" s="1475"/>
      <c r="O56" s="1469">
        <v>1</v>
      </c>
      <c r="P56" s="1469">
        <v>1</v>
      </c>
      <c r="Q56" s="1469">
        <v>1</v>
      </c>
      <c r="R56" s="1469">
        <v>1</v>
      </c>
      <c r="S56" s="1469">
        <v>1</v>
      </c>
      <c r="T56" s="1469">
        <v>1</v>
      </c>
      <c r="U56" s="1469">
        <v>1</v>
      </c>
      <c r="V56" s="1469">
        <v>1</v>
      </c>
      <c r="W56" s="1469">
        <v>1</v>
      </c>
      <c r="X56" s="1469">
        <v>1</v>
      </c>
      <c r="Y56" s="1469">
        <v>1</v>
      </c>
      <c r="Z56" s="1469">
        <f t="shared" si="3"/>
        <v>11</v>
      </c>
      <c r="AA56" s="1470"/>
    </row>
    <row r="57" spans="2:27">
      <c r="B57" s="1464"/>
      <c r="C57" s="1473" t="s">
        <v>849</v>
      </c>
      <c r="D57" s="1473"/>
      <c r="E57" s="1466" t="s">
        <v>829</v>
      </c>
      <c r="F57" s="1466"/>
      <c r="G57" s="1480"/>
      <c r="H57" s="1467" t="s">
        <v>734</v>
      </c>
      <c r="I57" s="1468" t="s">
        <v>850</v>
      </c>
      <c r="J57" s="1475"/>
      <c r="K57" s="1475"/>
      <c r="L57" s="1475"/>
      <c r="M57" s="1475"/>
      <c r="N57" s="1475"/>
      <c r="O57" s="1469"/>
      <c r="P57" s="1481">
        <v>0.5</v>
      </c>
      <c r="Q57" s="1481">
        <v>1</v>
      </c>
      <c r="R57" s="1481">
        <v>1</v>
      </c>
      <c r="S57" s="1481">
        <v>1</v>
      </c>
      <c r="T57" s="1481">
        <v>1</v>
      </c>
      <c r="U57" s="1481">
        <v>1</v>
      </c>
      <c r="V57" s="1481">
        <v>1</v>
      </c>
      <c r="W57" s="1481">
        <v>1</v>
      </c>
      <c r="X57" s="1481">
        <v>1</v>
      </c>
      <c r="Y57" s="1469"/>
      <c r="Z57" s="1469">
        <f t="shared" si="3"/>
        <v>8.5</v>
      </c>
      <c r="AA57" s="1470"/>
    </row>
    <row r="58" spans="2:27">
      <c r="B58" s="1464"/>
      <c r="C58" s="1473" t="s">
        <v>121</v>
      </c>
      <c r="D58" s="1473"/>
      <c r="E58" s="1466" t="s">
        <v>767</v>
      </c>
      <c r="F58" s="1466"/>
      <c r="G58" s="1467"/>
      <c r="H58" s="1467" t="s">
        <v>747</v>
      </c>
      <c r="I58" s="1468" t="s">
        <v>851</v>
      </c>
      <c r="J58" s="1475"/>
      <c r="K58" s="1475"/>
      <c r="L58" s="1475"/>
      <c r="M58" s="1475"/>
      <c r="N58" s="1475"/>
      <c r="O58" s="1469">
        <v>1</v>
      </c>
      <c r="P58" s="1469">
        <v>1</v>
      </c>
      <c r="Q58" s="1469">
        <v>1</v>
      </c>
      <c r="R58" s="1469">
        <v>1</v>
      </c>
      <c r="S58" s="1469">
        <v>1</v>
      </c>
      <c r="T58" s="1469">
        <v>1</v>
      </c>
      <c r="U58" s="1469">
        <v>1</v>
      </c>
      <c r="V58" s="1469">
        <v>1</v>
      </c>
      <c r="W58" s="1469">
        <v>1</v>
      </c>
      <c r="X58" s="1469">
        <v>1</v>
      </c>
      <c r="Y58" s="1469">
        <v>1</v>
      </c>
      <c r="Z58" s="1469">
        <f t="shared" si="3"/>
        <v>11</v>
      </c>
      <c r="AA58" s="1470"/>
    </row>
    <row r="59" spans="2:27">
      <c r="B59" s="1464"/>
      <c r="C59" s="1473" t="s">
        <v>121</v>
      </c>
      <c r="D59" s="1473"/>
      <c r="E59" s="1467" t="s">
        <v>755</v>
      </c>
      <c r="F59" s="1467"/>
      <c r="G59" s="1467"/>
      <c r="H59" s="1467" t="s">
        <v>747</v>
      </c>
      <c r="I59" s="1468" t="s">
        <v>852</v>
      </c>
      <c r="J59" s="1469"/>
      <c r="K59" s="1469"/>
      <c r="L59" s="1469"/>
      <c r="M59" s="1469"/>
      <c r="N59" s="1469"/>
      <c r="O59" s="1469">
        <v>1</v>
      </c>
      <c r="P59" s="1469">
        <v>1</v>
      </c>
      <c r="Q59" s="1469">
        <v>1</v>
      </c>
      <c r="R59" s="1469">
        <v>1</v>
      </c>
      <c r="S59" s="1469">
        <v>1</v>
      </c>
      <c r="T59" s="1469">
        <v>1</v>
      </c>
      <c r="U59" s="1469">
        <v>1</v>
      </c>
      <c r="V59" s="1469">
        <v>1</v>
      </c>
      <c r="W59" s="1469">
        <v>1</v>
      </c>
      <c r="X59" s="1469">
        <v>1</v>
      </c>
      <c r="Y59" s="1469">
        <v>1</v>
      </c>
      <c r="Z59" s="1469">
        <f t="shared" si="3"/>
        <v>11</v>
      </c>
      <c r="AA59" s="1470"/>
    </row>
    <row r="60" spans="2:27">
      <c r="B60" s="1464"/>
      <c r="C60" s="1473" t="s">
        <v>121</v>
      </c>
      <c r="D60" s="1473"/>
      <c r="E60" s="1467" t="s">
        <v>806</v>
      </c>
      <c r="F60" s="1467"/>
      <c r="G60" s="1473"/>
      <c r="H60" s="1467"/>
      <c r="I60" s="1468" t="s">
        <v>853</v>
      </c>
      <c r="J60" s="1475"/>
      <c r="K60" s="1475"/>
      <c r="L60" s="1475"/>
      <c r="M60" s="1475"/>
      <c r="N60" s="1475"/>
      <c r="O60" s="1469"/>
      <c r="P60" s="1481">
        <v>0.5</v>
      </c>
      <c r="Q60" s="1481">
        <v>1</v>
      </c>
      <c r="R60" s="1481">
        <v>1</v>
      </c>
      <c r="S60" s="1481">
        <v>1</v>
      </c>
      <c r="T60" s="1481">
        <v>1</v>
      </c>
      <c r="U60" s="1481">
        <v>1</v>
      </c>
      <c r="V60" s="1481">
        <v>1</v>
      </c>
      <c r="W60" s="1481">
        <v>1</v>
      </c>
      <c r="X60" s="1481">
        <v>1</v>
      </c>
      <c r="Y60" s="1469"/>
      <c r="Z60" s="1469">
        <f t="shared" si="3"/>
        <v>8.5</v>
      </c>
      <c r="AA60" s="1470"/>
    </row>
    <row r="61" spans="2:27">
      <c r="B61" s="1464"/>
      <c r="C61" s="1473"/>
      <c r="D61" s="1473"/>
      <c r="E61" s="1467"/>
      <c r="F61" s="1467"/>
      <c r="G61" s="1473"/>
      <c r="H61" s="1467"/>
      <c r="I61" s="1468"/>
      <c r="J61" s="1475"/>
      <c r="K61" s="1475"/>
      <c r="L61" s="1475"/>
      <c r="M61" s="1475"/>
      <c r="N61" s="1475"/>
      <c r="O61" s="1469"/>
      <c r="P61" s="1469"/>
      <c r="Q61" s="1469"/>
      <c r="R61" s="1469"/>
      <c r="S61" s="1469"/>
      <c r="T61" s="1469"/>
      <c r="U61" s="1469"/>
      <c r="V61" s="1469"/>
      <c r="W61" s="1469"/>
      <c r="X61" s="1469"/>
      <c r="Y61" s="1469"/>
      <c r="Z61" s="1469">
        <f t="shared" si="3"/>
        <v>0</v>
      </c>
      <c r="AA61" s="1470"/>
    </row>
    <row r="62" spans="2:27">
      <c r="B62" s="1464"/>
      <c r="C62" s="1911" t="s">
        <v>717</v>
      </c>
      <c r="D62" s="1911"/>
      <c r="E62" s="1911"/>
      <c r="F62" s="1911"/>
      <c r="G62" s="1911"/>
      <c r="H62" s="1911"/>
      <c r="I62" s="1489"/>
      <c r="J62" s="1490">
        <f>SUM(J28:J61)</f>
        <v>0</v>
      </c>
      <c r="K62" s="1490">
        <f t="shared" ref="K62:Z62" si="4">SUM(K28:K61)</f>
        <v>10</v>
      </c>
      <c r="L62" s="1490">
        <f t="shared" si="4"/>
        <v>11</v>
      </c>
      <c r="M62" s="1490">
        <f t="shared" si="4"/>
        <v>12.5</v>
      </c>
      <c r="N62" s="1490">
        <f t="shared" si="4"/>
        <v>15</v>
      </c>
      <c r="O62" s="1490">
        <f t="shared" si="4"/>
        <v>20</v>
      </c>
      <c r="P62" s="1490">
        <f t="shared" si="4"/>
        <v>24.5</v>
      </c>
      <c r="Q62" s="1490">
        <f t="shared" si="4"/>
        <v>29</v>
      </c>
      <c r="R62" s="1490">
        <f t="shared" si="4"/>
        <v>29</v>
      </c>
      <c r="S62" s="1490">
        <f t="shared" si="4"/>
        <v>29</v>
      </c>
      <c r="T62" s="1490">
        <f t="shared" si="4"/>
        <v>29</v>
      </c>
      <c r="U62" s="1490">
        <f t="shared" si="4"/>
        <v>29</v>
      </c>
      <c r="V62" s="1490">
        <f t="shared" si="4"/>
        <v>29</v>
      </c>
      <c r="W62" s="1490">
        <f>SUM(W28:W61)</f>
        <v>29</v>
      </c>
      <c r="X62" s="1490">
        <f t="shared" si="4"/>
        <v>29</v>
      </c>
      <c r="Y62" s="1490">
        <f t="shared" si="4"/>
        <v>21</v>
      </c>
      <c r="Z62" s="1490">
        <f t="shared" si="4"/>
        <v>346</v>
      </c>
      <c r="AA62" s="1491"/>
    </row>
    <row r="63" spans="2:27">
      <c r="B63" s="1464"/>
      <c r="C63" s="1912" t="s">
        <v>854</v>
      </c>
      <c r="D63" s="1912"/>
      <c r="E63" s="1912"/>
      <c r="F63" s="1912"/>
      <c r="G63" s="1912"/>
      <c r="H63" s="1912"/>
      <c r="I63" s="1492"/>
      <c r="J63" s="1477"/>
      <c r="K63" s="1477">
        <f>K62-K64</f>
        <v>10</v>
      </c>
      <c r="L63" s="1477">
        <f t="shared" ref="L63:Y63" si="5">L62-L64</f>
        <v>11</v>
      </c>
      <c r="M63" s="1477">
        <f t="shared" si="5"/>
        <v>12.5</v>
      </c>
      <c r="N63" s="1477">
        <f t="shared" si="5"/>
        <v>15</v>
      </c>
      <c r="O63" s="1477">
        <f t="shared" si="5"/>
        <v>20</v>
      </c>
      <c r="P63" s="1477">
        <f t="shared" si="5"/>
        <v>22.5</v>
      </c>
      <c r="Q63" s="1477">
        <f t="shared" si="5"/>
        <v>25</v>
      </c>
      <c r="R63" s="1477">
        <f t="shared" si="5"/>
        <v>25</v>
      </c>
      <c r="S63" s="1477">
        <f t="shared" si="5"/>
        <v>25</v>
      </c>
      <c r="T63" s="1477">
        <f t="shared" si="5"/>
        <v>25</v>
      </c>
      <c r="U63" s="1477">
        <f t="shared" si="5"/>
        <v>25</v>
      </c>
      <c r="V63" s="1477">
        <f t="shared" si="5"/>
        <v>25</v>
      </c>
      <c r="W63" s="1477">
        <f t="shared" si="5"/>
        <v>25</v>
      </c>
      <c r="X63" s="1477">
        <f t="shared" si="5"/>
        <v>25</v>
      </c>
      <c r="Y63" s="1477">
        <f t="shared" si="5"/>
        <v>18</v>
      </c>
      <c r="Z63" s="1493">
        <f t="shared" ref="Z63:Z67" si="6">SUM(J63:Y63)</f>
        <v>309</v>
      </c>
      <c r="AA63" s="1494"/>
    </row>
    <row r="64" spans="2:27">
      <c r="B64" s="1464"/>
      <c r="C64" s="1913" t="s">
        <v>855</v>
      </c>
      <c r="D64" s="1913"/>
      <c r="E64" s="1913"/>
      <c r="F64" s="1913"/>
      <c r="G64" s="1913"/>
      <c r="H64" s="1913"/>
      <c r="I64" s="1468"/>
      <c r="J64" s="1469">
        <f>SUM(J29:J61)</f>
        <v>0</v>
      </c>
      <c r="K64" s="1469">
        <f t="shared" ref="K64:Y64" si="7">K52+K47+K41+K44</f>
        <v>0</v>
      </c>
      <c r="L64" s="1469">
        <f t="shared" si="7"/>
        <v>0</v>
      </c>
      <c r="M64" s="1469">
        <f t="shared" si="7"/>
        <v>0</v>
      </c>
      <c r="N64" s="1469">
        <f t="shared" si="7"/>
        <v>0</v>
      </c>
      <c r="O64" s="1469">
        <f t="shared" si="7"/>
        <v>0</v>
      </c>
      <c r="P64" s="1469">
        <f t="shared" si="7"/>
        <v>2</v>
      </c>
      <c r="Q64" s="1469">
        <f t="shared" si="7"/>
        <v>4</v>
      </c>
      <c r="R64" s="1469">
        <f t="shared" si="7"/>
        <v>4</v>
      </c>
      <c r="S64" s="1469">
        <f t="shared" si="7"/>
        <v>4</v>
      </c>
      <c r="T64" s="1469">
        <f t="shared" si="7"/>
        <v>4</v>
      </c>
      <c r="U64" s="1469">
        <f t="shared" si="7"/>
        <v>4</v>
      </c>
      <c r="V64" s="1469">
        <f t="shared" si="7"/>
        <v>4</v>
      </c>
      <c r="W64" s="1469">
        <f t="shared" si="7"/>
        <v>4</v>
      </c>
      <c r="X64" s="1469">
        <f t="shared" si="7"/>
        <v>4</v>
      </c>
      <c r="Y64" s="1469">
        <f t="shared" si="7"/>
        <v>3</v>
      </c>
      <c r="Z64" s="1469">
        <f t="shared" si="6"/>
        <v>37</v>
      </c>
      <c r="AA64" s="1470"/>
    </row>
    <row r="65" spans="2:28" ht="18.5" customHeight="1">
      <c r="B65" s="1495"/>
      <c r="C65" s="1911" t="s">
        <v>856</v>
      </c>
      <c r="D65" s="1911"/>
      <c r="E65" s="1911"/>
      <c r="F65" s="1911"/>
      <c r="G65" s="1911"/>
      <c r="H65" s="1911"/>
      <c r="I65" s="1489"/>
      <c r="J65" s="1490">
        <f t="shared" ref="J65:Y65" si="8">J62+J27</f>
        <v>0</v>
      </c>
      <c r="K65" s="1490">
        <f t="shared" si="8"/>
        <v>17</v>
      </c>
      <c r="L65" s="1490">
        <f t="shared" si="8"/>
        <v>18</v>
      </c>
      <c r="M65" s="1490">
        <f t="shared" si="8"/>
        <v>24</v>
      </c>
      <c r="N65" s="1490">
        <f t="shared" si="8"/>
        <v>28</v>
      </c>
      <c r="O65" s="1490">
        <f t="shared" si="8"/>
        <v>40</v>
      </c>
      <c r="P65" s="1490">
        <f t="shared" si="8"/>
        <v>44.5</v>
      </c>
      <c r="Q65" s="1490">
        <f t="shared" si="8"/>
        <v>49</v>
      </c>
      <c r="R65" s="1490">
        <f t="shared" si="8"/>
        <v>49</v>
      </c>
      <c r="S65" s="1490">
        <f t="shared" si="8"/>
        <v>49</v>
      </c>
      <c r="T65" s="1490">
        <f t="shared" si="8"/>
        <v>49</v>
      </c>
      <c r="U65" s="1490">
        <f t="shared" si="8"/>
        <v>49</v>
      </c>
      <c r="V65" s="1490">
        <f t="shared" si="8"/>
        <v>49</v>
      </c>
      <c r="W65" s="1490">
        <f t="shared" si="8"/>
        <v>49</v>
      </c>
      <c r="X65" s="1490">
        <f t="shared" si="8"/>
        <v>49</v>
      </c>
      <c r="Y65" s="1490">
        <f t="shared" si="8"/>
        <v>33</v>
      </c>
      <c r="Z65" s="1490">
        <f t="shared" si="6"/>
        <v>596.5</v>
      </c>
      <c r="AA65" s="1491"/>
    </row>
    <row r="66" spans="2:28" ht="18">
      <c r="B66" s="1496"/>
      <c r="C66" s="1912" t="s">
        <v>857</v>
      </c>
      <c r="D66" s="1912"/>
      <c r="E66" s="1912"/>
      <c r="F66" s="1912"/>
      <c r="G66" s="1912"/>
      <c r="H66" s="1912"/>
      <c r="I66" s="1492"/>
      <c r="J66" s="1497">
        <f t="shared" ref="J66:Y66" si="9">J63+J27</f>
        <v>0</v>
      </c>
      <c r="K66" s="1497">
        <f t="shared" si="9"/>
        <v>17</v>
      </c>
      <c r="L66" s="1497">
        <f t="shared" si="9"/>
        <v>18</v>
      </c>
      <c r="M66" s="1497">
        <f t="shared" si="9"/>
        <v>24</v>
      </c>
      <c r="N66" s="1497">
        <f t="shared" si="9"/>
        <v>28</v>
      </c>
      <c r="O66" s="1497">
        <f t="shared" si="9"/>
        <v>40</v>
      </c>
      <c r="P66" s="1497">
        <f t="shared" si="9"/>
        <v>42.5</v>
      </c>
      <c r="Q66" s="1497">
        <f t="shared" si="9"/>
        <v>45</v>
      </c>
      <c r="R66" s="1497">
        <f t="shared" si="9"/>
        <v>45</v>
      </c>
      <c r="S66" s="1497">
        <f t="shared" si="9"/>
        <v>45</v>
      </c>
      <c r="T66" s="1497">
        <f t="shared" si="9"/>
        <v>45</v>
      </c>
      <c r="U66" s="1497">
        <f t="shared" si="9"/>
        <v>45</v>
      </c>
      <c r="V66" s="1497">
        <f t="shared" si="9"/>
        <v>45</v>
      </c>
      <c r="W66" s="1497">
        <f t="shared" si="9"/>
        <v>45</v>
      </c>
      <c r="X66" s="1497">
        <f t="shared" si="9"/>
        <v>45</v>
      </c>
      <c r="Y66" s="1497">
        <f t="shared" si="9"/>
        <v>30</v>
      </c>
      <c r="Z66" s="1498">
        <f>SUM(J66:Y66)</f>
        <v>559.5</v>
      </c>
      <c r="AA66" s="1494"/>
      <c r="AB66" s="1455">
        <f>SUM(AB6:AB65)</f>
        <v>3</v>
      </c>
    </row>
    <row r="67" spans="2:28" ht="18">
      <c r="B67" s="1499"/>
      <c r="C67" s="1901" t="s">
        <v>855</v>
      </c>
      <c r="D67" s="1901"/>
      <c r="E67" s="1901"/>
      <c r="F67" s="1901"/>
      <c r="G67" s="1901"/>
      <c r="H67" s="1901"/>
      <c r="I67" s="1499"/>
      <c r="J67" s="1500">
        <f>J64</f>
        <v>0</v>
      </c>
      <c r="K67" s="1500">
        <f>K64</f>
        <v>0</v>
      </c>
      <c r="L67" s="1500">
        <f t="shared" ref="L67:Y67" si="10">L64</f>
        <v>0</v>
      </c>
      <c r="M67" s="1500">
        <f t="shared" si="10"/>
        <v>0</v>
      </c>
      <c r="N67" s="1500">
        <f t="shared" si="10"/>
        <v>0</v>
      </c>
      <c r="O67" s="1500">
        <f t="shared" si="10"/>
        <v>0</v>
      </c>
      <c r="P67" s="1500">
        <f t="shared" si="10"/>
        <v>2</v>
      </c>
      <c r="Q67" s="1500">
        <f t="shared" si="10"/>
        <v>4</v>
      </c>
      <c r="R67" s="1500">
        <f t="shared" si="10"/>
        <v>4</v>
      </c>
      <c r="S67" s="1500">
        <f t="shared" si="10"/>
        <v>4</v>
      </c>
      <c r="T67" s="1500">
        <f t="shared" si="10"/>
        <v>4</v>
      </c>
      <c r="U67" s="1500">
        <f t="shared" si="10"/>
        <v>4</v>
      </c>
      <c r="V67" s="1500">
        <f t="shared" si="10"/>
        <v>4</v>
      </c>
      <c r="W67" s="1500">
        <f t="shared" si="10"/>
        <v>4</v>
      </c>
      <c r="X67" s="1500">
        <f t="shared" si="10"/>
        <v>4</v>
      </c>
      <c r="Y67" s="1500">
        <f t="shared" si="10"/>
        <v>3</v>
      </c>
      <c r="Z67" s="1501">
        <f t="shared" si="6"/>
        <v>37</v>
      </c>
      <c r="AA67" s="1502"/>
    </row>
    <row r="68" spans="2:28" ht="6" customHeight="1">
      <c r="B68" s="1503"/>
      <c r="C68" s="1503"/>
      <c r="D68" s="1503"/>
      <c r="E68" s="1504"/>
      <c r="F68" s="1504"/>
      <c r="G68" s="1504"/>
      <c r="H68" s="1504"/>
      <c r="I68" s="1504"/>
      <c r="J68" s="1503"/>
      <c r="K68" s="1503"/>
      <c r="L68" s="1503"/>
      <c r="M68" s="1503"/>
      <c r="N68" s="1503"/>
      <c r="O68" s="1503"/>
      <c r="P68" s="1503"/>
      <c r="Q68" s="1503"/>
      <c r="R68" s="1503"/>
      <c r="S68" s="1503"/>
      <c r="T68" s="1503"/>
      <c r="U68" s="1503"/>
      <c r="V68" s="1503"/>
      <c r="W68" s="1503"/>
      <c r="X68" s="1503"/>
      <c r="Y68" s="1503"/>
      <c r="Z68" s="1505"/>
      <c r="AA68" s="1506"/>
    </row>
    <row r="69" spans="2:28" s="1511" customFormat="1" ht="15">
      <c r="B69" s="1507"/>
      <c r="C69" s="1507"/>
      <c r="D69" s="1507"/>
      <c r="E69" s="1508"/>
      <c r="F69" s="1508"/>
      <c r="G69" s="1508"/>
      <c r="H69" s="1508"/>
      <c r="I69" s="1508"/>
      <c r="J69" s="1509" t="s">
        <v>858</v>
      </c>
      <c r="K69" s="1509">
        <v>1</v>
      </c>
      <c r="L69" s="1509">
        <v>2</v>
      </c>
      <c r="M69" s="1509">
        <v>3</v>
      </c>
      <c r="N69" s="1509">
        <v>4</v>
      </c>
      <c r="O69" s="1509">
        <v>5</v>
      </c>
      <c r="P69" s="1509">
        <v>6</v>
      </c>
      <c r="Q69" s="1509">
        <v>7</v>
      </c>
      <c r="R69" s="1509">
        <v>8</v>
      </c>
      <c r="S69" s="1509">
        <v>9</v>
      </c>
      <c r="T69" s="1509">
        <v>10</v>
      </c>
      <c r="U69" s="1509">
        <v>11</v>
      </c>
      <c r="V69" s="1509">
        <v>12</v>
      </c>
      <c r="W69" s="1509">
        <v>13</v>
      </c>
      <c r="X69" s="1509">
        <v>14</v>
      </c>
      <c r="Y69" s="1509">
        <v>15</v>
      </c>
      <c r="Z69" s="1509" t="s">
        <v>859</v>
      </c>
      <c r="AA69" s="1510"/>
      <c r="AB69" s="1455"/>
    </row>
    <row r="70" spans="2:28" s="1511" customFormat="1" ht="15">
      <c r="B70" s="1507"/>
      <c r="C70" s="1507"/>
      <c r="D70" s="1507"/>
      <c r="E70" s="1512" t="s">
        <v>77</v>
      </c>
      <c r="F70" s="1508"/>
      <c r="G70" s="1508"/>
      <c r="H70" s="1508"/>
      <c r="I70" s="1508"/>
      <c r="J70" s="1513">
        <f>SUMIF($E$6:$E$61,$E$70,J$6:J$61)</f>
        <v>0</v>
      </c>
      <c r="K70" s="1513">
        <f t="shared" ref="K70:Y70" si="11">SUMIF($E$5:$E$61,$E$70,K$5:K$61)</f>
        <v>4</v>
      </c>
      <c r="L70" s="1513">
        <f t="shared" si="11"/>
        <v>4</v>
      </c>
      <c r="M70" s="1513">
        <f t="shared" si="11"/>
        <v>4</v>
      </c>
      <c r="N70" s="1513">
        <f t="shared" si="11"/>
        <v>4</v>
      </c>
      <c r="O70" s="1513">
        <f t="shared" si="11"/>
        <v>4</v>
      </c>
      <c r="P70" s="1513">
        <f t="shared" si="11"/>
        <v>4</v>
      </c>
      <c r="Q70" s="1513">
        <f t="shared" si="11"/>
        <v>4</v>
      </c>
      <c r="R70" s="1513">
        <f t="shared" si="11"/>
        <v>4</v>
      </c>
      <c r="S70" s="1513">
        <f t="shared" si="11"/>
        <v>4</v>
      </c>
      <c r="T70" s="1513">
        <f t="shared" si="11"/>
        <v>4</v>
      </c>
      <c r="U70" s="1513">
        <f t="shared" si="11"/>
        <v>4</v>
      </c>
      <c r="V70" s="1513">
        <f t="shared" si="11"/>
        <v>4</v>
      </c>
      <c r="W70" s="1513">
        <f t="shared" si="11"/>
        <v>4</v>
      </c>
      <c r="X70" s="1513">
        <f t="shared" si="11"/>
        <v>4</v>
      </c>
      <c r="Y70" s="1513">
        <f t="shared" si="11"/>
        <v>4</v>
      </c>
      <c r="Z70" s="1514">
        <f>SUM(K70:Y70)</f>
        <v>60</v>
      </c>
      <c r="AA70" s="1515"/>
      <c r="AB70" s="1455"/>
    </row>
    <row r="71" spans="2:28" s="1511" customFormat="1" ht="15">
      <c r="B71" s="1507"/>
      <c r="C71" s="1507"/>
      <c r="D71" s="1507"/>
      <c r="E71" s="1512" t="s">
        <v>42</v>
      </c>
      <c r="F71" s="1508"/>
      <c r="G71" s="1508"/>
      <c r="H71" s="1508"/>
      <c r="I71" s="1508"/>
      <c r="J71" s="1513">
        <f>SUMIF($E$6:$E$61,$E$71,J$6:J$61)</f>
        <v>0</v>
      </c>
      <c r="K71" s="1513">
        <f t="shared" ref="K71:Y71" si="12">SUMIF($E$5:$E$61,$E$71,K$5:K$61)</f>
        <v>7</v>
      </c>
      <c r="L71" s="1513">
        <f t="shared" si="12"/>
        <v>7</v>
      </c>
      <c r="M71" s="1513">
        <f t="shared" si="12"/>
        <v>9</v>
      </c>
      <c r="N71" s="1513">
        <f t="shared" si="12"/>
        <v>10</v>
      </c>
      <c r="O71" s="1513">
        <f t="shared" si="12"/>
        <v>11</v>
      </c>
      <c r="P71" s="1513">
        <f t="shared" si="12"/>
        <v>11</v>
      </c>
      <c r="Q71" s="1513">
        <f t="shared" si="12"/>
        <v>11</v>
      </c>
      <c r="R71" s="1513">
        <f t="shared" si="12"/>
        <v>11</v>
      </c>
      <c r="S71" s="1513">
        <f t="shared" si="12"/>
        <v>11</v>
      </c>
      <c r="T71" s="1513">
        <f t="shared" si="12"/>
        <v>11</v>
      </c>
      <c r="U71" s="1513">
        <f t="shared" si="12"/>
        <v>11</v>
      </c>
      <c r="V71" s="1513">
        <f t="shared" si="12"/>
        <v>11</v>
      </c>
      <c r="W71" s="1513">
        <f t="shared" si="12"/>
        <v>11</v>
      </c>
      <c r="X71" s="1513">
        <f t="shared" si="12"/>
        <v>11</v>
      </c>
      <c r="Y71" s="1513">
        <f t="shared" si="12"/>
        <v>6</v>
      </c>
      <c r="Z71" s="1514">
        <f t="shared" ref="Z71:Z73" si="13">SUM(K71:Y71)</f>
        <v>149</v>
      </c>
      <c r="AA71" s="1515"/>
      <c r="AB71" s="1455"/>
    </row>
    <row r="72" spans="2:28" s="1511" customFormat="1" ht="15">
      <c r="B72" s="1507"/>
      <c r="C72" s="1507"/>
      <c r="D72" s="1507"/>
      <c r="E72" s="1512" t="s">
        <v>821</v>
      </c>
      <c r="F72" s="1508"/>
      <c r="G72" s="1508"/>
      <c r="H72" s="1508"/>
      <c r="I72" s="1508"/>
      <c r="J72" s="1513">
        <f>SUMIF($E$6:$E$61,$E$72,J$6:J$61)</f>
        <v>0</v>
      </c>
      <c r="K72" s="1513">
        <f t="shared" ref="K72:Y72" si="14">SUMIF($E$5:$E$61,$E$72,K$5:K$61)</f>
        <v>3</v>
      </c>
      <c r="L72" s="1513">
        <f t="shared" si="14"/>
        <v>4</v>
      </c>
      <c r="M72" s="1513">
        <f t="shared" si="14"/>
        <v>7</v>
      </c>
      <c r="N72" s="1513">
        <f t="shared" si="14"/>
        <v>9</v>
      </c>
      <c r="O72" s="1513">
        <f t="shared" si="14"/>
        <v>13</v>
      </c>
      <c r="P72" s="1513">
        <f t="shared" si="14"/>
        <v>13</v>
      </c>
      <c r="Q72" s="1513">
        <f t="shared" si="14"/>
        <v>13</v>
      </c>
      <c r="R72" s="1513">
        <f t="shared" si="14"/>
        <v>13</v>
      </c>
      <c r="S72" s="1513">
        <f t="shared" si="14"/>
        <v>13</v>
      </c>
      <c r="T72" s="1513">
        <f t="shared" si="14"/>
        <v>13</v>
      </c>
      <c r="U72" s="1513">
        <f t="shared" si="14"/>
        <v>13</v>
      </c>
      <c r="V72" s="1513">
        <f t="shared" si="14"/>
        <v>13</v>
      </c>
      <c r="W72" s="1513">
        <f t="shared" si="14"/>
        <v>13</v>
      </c>
      <c r="X72" s="1513">
        <f t="shared" si="14"/>
        <v>13</v>
      </c>
      <c r="Y72" s="1513">
        <f t="shared" si="14"/>
        <v>8</v>
      </c>
      <c r="Z72" s="1514">
        <f t="shared" si="13"/>
        <v>161</v>
      </c>
      <c r="AA72" s="1515"/>
      <c r="AB72" s="1455"/>
    </row>
    <row r="73" spans="2:28" s="1511" customFormat="1" ht="15">
      <c r="B73" s="1507"/>
      <c r="C73" s="1507"/>
      <c r="D73" s="1507"/>
      <c r="E73" s="1512" t="s">
        <v>43</v>
      </c>
      <c r="F73" s="1508"/>
      <c r="G73" s="1508"/>
      <c r="H73" s="1508"/>
      <c r="I73" s="1508"/>
      <c r="J73" s="1513">
        <f>SUMIF($E$6:$E$61,$E$73,J$6:J$61)</f>
        <v>0</v>
      </c>
      <c r="K73" s="1513">
        <f t="shared" ref="K73:Y73" si="15">SUMIF($E$5:$E$61,$E$73,K$5:K$61)</f>
        <v>3</v>
      </c>
      <c r="L73" s="1513">
        <f t="shared" si="15"/>
        <v>3</v>
      </c>
      <c r="M73" s="1513">
        <f t="shared" si="15"/>
        <v>4</v>
      </c>
      <c r="N73" s="1513">
        <f t="shared" si="15"/>
        <v>5</v>
      </c>
      <c r="O73" s="1513">
        <f t="shared" si="15"/>
        <v>12</v>
      </c>
      <c r="P73" s="1513">
        <f t="shared" si="15"/>
        <v>14.5</v>
      </c>
      <c r="Q73" s="1513">
        <f t="shared" si="15"/>
        <v>17</v>
      </c>
      <c r="R73" s="1513">
        <f t="shared" si="15"/>
        <v>17</v>
      </c>
      <c r="S73" s="1513">
        <f t="shared" si="15"/>
        <v>17</v>
      </c>
      <c r="T73" s="1513">
        <f t="shared" si="15"/>
        <v>17</v>
      </c>
      <c r="U73" s="1513">
        <f t="shared" si="15"/>
        <v>17</v>
      </c>
      <c r="V73" s="1513">
        <f t="shared" si="15"/>
        <v>17</v>
      </c>
      <c r="W73" s="1513">
        <f t="shared" si="15"/>
        <v>17</v>
      </c>
      <c r="X73" s="1513">
        <f t="shared" si="15"/>
        <v>17</v>
      </c>
      <c r="Y73" s="1513">
        <f t="shared" si="15"/>
        <v>12</v>
      </c>
      <c r="Z73" s="1514">
        <f t="shared" si="13"/>
        <v>189.5</v>
      </c>
      <c r="AA73" s="1515"/>
      <c r="AB73" s="1455"/>
    </row>
    <row r="74" spans="2:28" s="1511" customFormat="1" ht="15">
      <c r="B74" s="1507"/>
      <c r="C74" s="1507"/>
      <c r="D74" s="1507"/>
      <c r="E74" s="1516" t="s">
        <v>860</v>
      </c>
      <c r="F74" s="1508"/>
      <c r="G74" s="1508"/>
      <c r="H74" s="1508"/>
      <c r="I74" s="1508"/>
      <c r="J74" s="1517">
        <f t="shared" ref="J74" si="16">SUM(J70:J73)</f>
        <v>0</v>
      </c>
      <c r="K74" s="1517">
        <f>SUM(K70:K73)</f>
        <v>17</v>
      </c>
      <c r="L74" s="1517">
        <f t="shared" ref="L74:Y74" si="17">SUM(L70:L73)</f>
        <v>18</v>
      </c>
      <c r="M74" s="1517">
        <f t="shared" si="17"/>
        <v>24</v>
      </c>
      <c r="N74" s="1517">
        <f t="shared" si="17"/>
        <v>28</v>
      </c>
      <c r="O74" s="1517">
        <f t="shared" si="17"/>
        <v>40</v>
      </c>
      <c r="P74" s="1517">
        <f t="shared" si="17"/>
        <v>42.5</v>
      </c>
      <c r="Q74" s="1517">
        <f t="shared" si="17"/>
        <v>45</v>
      </c>
      <c r="R74" s="1517">
        <f t="shared" si="17"/>
        <v>45</v>
      </c>
      <c r="S74" s="1517">
        <f t="shared" si="17"/>
        <v>45</v>
      </c>
      <c r="T74" s="1517">
        <f t="shared" si="17"/>
        <v>45</v>
      </c>
      <c r="U74" s="1517">
        <f t="shared" si="17"/>
        <v>45</v>
      </c>
      <c r="V74" s="1517">
        <f t="shared" si="17"/>
        <v>45</v>
      </c>
      <c r="W74" s="1517">
        <f t="shared" si="17"/>
        <v>45</v>
      </c>
      <c r="X74" s="1517">
        <f t="shared" si="17"/>
        <v>45</v>
      </c>
      <c r="Y74" s="1517">
        <f t="shared" si="17"/>
        <v>30</v>
      </c>
      <c r="Z74" s="1517">
        <f>SUM(Z70:Z73)</f>
        <v>559.5</v>
      </c>
      <c r="AA74" s="1515"/>
      <c r="AB74" s="1455"/>
    </row>
  </sheetData>
  <mergeCells count="18">
    <mergeCell ref="B2:B4"/>
    <mergeCell ref="C2:C4"/>
    <mergeCell ref="E2:E4"/>
    <mergeCell ref="H2:H4"/>
    <mergeCell ref="I2:I4"/>
    <mergeCell ref="C67:H67"/>
    <mergeCell ref="AA2:AA4"/>
    <mergeCell ref="J3:N3"/>
    <mergeCell ref="O3:T3"/>
    <mergeCell ref="U3:W3"/>
    <mergeCell ref="X3:Y3"/>
    <mergeCell ref="C27:H27"/>
    <mergeCell ref="Z2:Z4"/>
    <mergeCell ref="C62:H62"/>
    <mergeCell ref="C63:H63"/>
    <mergeCell ref="C64:H64"/>
    <mergeCell ref="C65:H65"/>
    <mergeCell ref="C66:H66"/>
  </mergeCells>
  <phoneticPr fontId="1" type="noConversion"/>
  <dataValidations count="1">
    <dataValidation type="list" allowBlank="1" showInputMessage="1" showErrorMessage="1" sqref="E70:E73" xr:uid="{00000000-0002-0000-0A00-000000000000}">
      <formula1>"특급,고급,중급,초급"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00aa79-8db6-4d36-a892-747eec99934d}" enabled="0" method="" siteId="{9e00aa79-8db6-4d36-a892-747eec99934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견적대비실투입(월별)</vt:lpstr>
      <vt:lpstr>견적대비실투입(등급)</vt:lpstr>
      <vt:lpstr>견적기준통합</vt:lpstr>
      <vt:lpstr>협력사등급별MM</vt:lpstr>
      <vt:lpstr>인력관리</vt:lpstr>
      <vt:lpstr>Sheet2</vt:lpstr>
      <vt:lpstr>투입날짜 계산</vt:lpstr>
      <vt:lpstr>견적기준</vt:lpstr>
      <vt:lpstr>holidays</vt:lpstr>
      <vt:lpstr>인력관리_인력비가득 확인용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Metanet</dc:creator>
  <cp:lastModifiedBy>user</cp:lastModifiedBy>
  <cp:lastPrinted>2024-10-22T00:08:47Z</cp:lastPrinted>
  <dcterms:created xsi:type="dcterms:W3CDTF">2023-06-22T05:03:01Z</dcterms:created>
  <dcterms:modified xsi:type="dcterms:W3CDTF">2025-07-15T08:12:33Z</dcterms:modified>
</cp:coreProperties>
</file>