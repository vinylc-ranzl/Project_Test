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인력현황\"/>
    </mc:Choice>
  </mc:AlternateContent>
  <bookViews>
    <workbookView xWindow="-108" yWindow="-108" windowWidth="30936" windowHeight="18696" tabRatio="670"/>
  </bookViews>
  <sheets>
    <sheet name="인력관리" sheetId="42" r:id="rId1"/>
  </sheets>
  <definedNames>
    <definedName name="_xlnm._FilterDatabase" localSheetId="0" hidden="1">인력관리!$A$5:$AX$41</definedName>
  </definedNames>
  <calcPr calcId="162913"/>
</workbook>
</file>

<file path=xl/calcChain.xml><?xml version="1.0" encoding="utf-8"?>
<calcChain xmlns="http://schemas.openxmlformats.org/spreadsheetml/2006/main">
  <c r="AG1" i="42" l="1"/>
  <c r="AG23" i="42" l="1"/>
  <c r="AG22" i="42"/>
  <c r="AG8" i="42"/>
  <c r="AG11" i="42" l="1"/>
  <c r="AG21" i="42"/>
  <c r="AG29" i="42"/>
  <c r="AG16" i="42"/>
  <c r="AG19" i="42"/>
  <c r="AG14" i="42"/>
  <c r="AG17" i="42"/>
  <c r="AG10" i="42"/>
  <c r="AE1" i="42"/>
  <c r="AE31" i="42" l="1"/>
  <c r="AE23" i="42"/>
  <c r="AE10" i="42"/>
  <c r="AE22" i="42"/>
  <c r="AE8" i="42"/>
  <c r="AE21" i="42"/>
  <c r="AE11" i="42"/>
  <c r="AE19" i="42"/>
  <c r="AE17" i="42"/>
  <c r="AE32" i="42"/>
  <c r="AE16" i="42"/>
  <c r="AE14" i="42"/>
  <c r="AE29" i="42"/>
  <c r="AC1" i="42" l="1"/>
  <c r="AC32" i="42" l="1"/>
  <c r="AC31" i="42"/>
  <c r="AC30" i="42"/>
  <c r="AC29" i="42"/>
  <c r="AC28" i="42"/>
  <c r="AC23" i="42"/>
  <c r="AC22" i="42"/>
  <c r="AC21" i="42"/>
  <c r="AC19" i="42"/>
  <c r="AC17" i="42"/>
  <c r="AC16" i="42"/>
  <c r="AC14" i="42"/>
  <c r="AC12" i="42"/>
  <c r="AC11" i="42"/>
  <c r="AC10" i="42"/>
  <c r="AC8" i="42"/>
  <c r="AA27" i="42" l="1"/>
  <c r="AA26" i="42"/>
  <c r="AA1" i="42" l="1"/>
  <c r="AA23" i="42" l="1"/>
  <c r="AA17" i="42"/>
  <c r="AA10" i="42"/>
  <c r="AA32" i="42" l="1"/>
  <c r="AA19" i="42"/>
  <c r="AA8" i="42"/>
  <c r="AA22" i="42"/>
  <c r="AA11" i="42"/>
  <c r="AA28" i="42"/>
  <c r="AA12" i="42"/>
  <c r="AA29" i="42"/>
  <c r="AA21" i="42"/>
  <c r="AA14" i="42"/>
  <c r="AA30" i="42"/>
  <c r="AA16" i="42"/>
  <c r="AA31" i="42"/>
  <c r="Y27" i="42" l="1"/>
  <c r="Y26" i="42"/>
  <c r="Y15" i="42" l="1"/>
  <c r="Y20" i="42"/>
  <c r="Y8" i="42" l="1"/>
  <c r="Y9" i="42"/>
  <c r="Y10" i="42"/>
  <c r="Y11" i="42"/>
  <c r="Y12" i="42"/>
  <c r="Y13" i="42"/>
  <c r="Y14" i="42"/>
  <c r="Y16" i="42"/>
  <c r="Y17" i="42"/>
  <c r="Y19" i="42"/>
  <c r="Y21" i="42"/>
  <c r="Y22" i="42"/>
  <c r="Y23" i="42"/>
  <c r="Y24" i="42"/>
  <c r="Y25" i="42"/>
  <c r="Y28" i="42"/>
  <c r="Y29" i="42"/>
  <c r="Y30" i="42"/>
  <c r="Y31" i="42"/>
  <c r="Y32" i="42"/>
  <c r="AP27" i="42" l="1"/>
  <c r="AP26" i="42"/>
  <c r="AP20" i="42" l="1"/>
  <c r="AP17" i="42"/>
  <c r="W1" i="42"/>
  <c r="AQ27" i="42" l="1"/>
  <c r="AR27" i="42" s="1"/>
  <c r="AQ26" i="42"/>
  <c r="AR26" i="42" s="1"/>
  <c r="W32" i="42" l="1"/>
  <c r="W17" i="42"/>
  <c r="W19" i="42"/>
  <c r="AQ19" i="42" s="1"/>
  <c r="W20" i="42"/>
  <c r="AQ20" i="42" s="1"/>
  <c r="AR20" i="42" s="1"/>
  <c r="W21" i="42"/>
  <c r="W31" i="42"/>
  <c r="W29" i="42" l="1"/>
  <c r="W22" i="42"/>
  <c r="W23" i="42"/>
  <c r="W24" i="42"/>
  <c r="W25" i="42"/>
  <c r="W28" i="42"/>
  <c r="W30" i="42"/>
  <c r="W9" i="42"/>
  <c r="W10" i="42"/>
  <c r="W11" i="42"/>
  <c r="W12" i="42"/>
  <c r="W13" i="42"/>
  <c r="W14" i="42"/>
  <c r="W15" i="42"/>
  <c r="W16" i="42"/>
  <c r="W8" i="42"/>
  <c r="AP19" i="42" l="1"/>
  <c r="AR19" i="42" s="1"/>
  <c r="AP7" i="42"/>
  <c r="AQ7" i="42"/>
  <c r="AR7" i="42" l="1"/>
  <c r="AP32" i="42" l="1"/>
  <c r="AP31" i="42"/>
  <c r="AP18" i="42"/>
  <c r="U32" i="42" l="1"/>
  <c r="AQ32" i="42" s="1"/>
  <c r="AR32" i="42" s="1"/>
  <c r="U31" i="42"/>
  <c r="AQ31" i="42" s="1"/>
  <c r="AR31" i="42" s="1"/>
  <c r="U21" i="42"/>
  <c r="AQ18" i="42"/>
  <c r="AR18" i="42" s="1"/>
  <c r="U17" i="42"/>
  <c r="U30" i="42"/>
  <c r="U29" i="42"/>
  <c r="U28" i="42"/>
  <c r="U25" i="42"/>
  <c r="U24" i="42"/>
  <c r="U23" i="42"/>
  <c r="U22" i="42"/>
  <c r="U16" i="42"/>
  <c r="U15" i="42"/>
  <c r="U14" i="42"/>
  <c r="U13" i="42"/>
  <c r="U12" i="42"/>
  <c r="U11" i="42"/>
  <c r="U10" i="42"/>
  <c r="U9" i="42"/>
  <c r="U8" i="42"/>
  <c r="S21" i="42" l="1"/>
  <c r="S17" i="42"/>
  <c r="S30" i="42"/>
  <c r="S29" i="42"/>
  <c r="S28" i="42"/>
  <c r="S25" i="42"/>
  <c r="S24" i="42"/>
  <c r="S23" i="42"/>
  <c r="S22" i="42"/>
  <c r="S16" i="42"/>
  <c r="S15" i="42"/>
  <c r="S14" i="42"/>
  <c r="S13" i="42"/>
  <c r="S12" i="42"/>
  <c r="S11" i="42"/>
  <c r="S10" i="42"/>
  <c r="S9" i="42"/>
  <c r="S8" i="42"/>
  <c r="S6" i="42"/>
  <c r="Q23" i="42" l="1"/>
  <c r="Q24" i="42"/>
  <c r="Q25" i="42"/>
  <c r="Q28" i="42"/>
  <c r="Q29" i="42"/>
  <c r="Q30" i="42"/>
  <c r="Q22" i="42"/>
  <c r="Q21" i="42"/>
  <c r="Q17" i="42"/>
  <c r="Q16" i="42"/>
  <c r="Q10" i="42"/>
  <c r="Q11" i="42"/>
  <c r="Q12" i="42"/>
  <c r="Q13" i="42"/>
  <c r="Q14" i="42"/>
  <c r="Q15" i="42"/>
  <c r="Q9" i="42"/>
  <c r="Q8" i="42"/>
  <c r="Q6" i="42"/>
  <c r="AP16" i="42" l="1"/>
  <c r="O16" i="42"/>
  <c r="M16" i="42"/>
  <c r="AP15" i="42"/>
  <c r="O15" i="42"/>
  <c r="M15" i="42"/>
  <c r="AP14" i="42"/>
  <c r="O14" i="42"/>
  <c r="AQ14" i="42" s="1"/>
  <c r="AR14" i="42" l="1"/>
  <c r="AQ15" i="42"/>
  <c r="AQ16" i="42"/>
  <c r="O11" i="42"/>
  <c r="AR15" i="42" l="1"/>
  <c r="AR16" i="42"/>
  <c r="O29" i="42"/>
  <c r="O25" i="42"/>
  <c r="O23" i="42"/>
  <c r="O22" i="42"/>
  <c r="O13" i="42"/>
  <c r="O12" i="42"/>
  <c r="O10" i="42"/>
  <c r="O9" i="42"/>
  <c r="O8" i="42"/>
  <c r="O6" i="42"/>
  <c r="M8" i="42" l="1"/>
  <c r="AQ13" i="42" l="1"/>
  <c r="AP13" i="42"/>
  <c r="M12" i="42"/>
  <c r="M10" i="42"/>
  <c r="M9" i="42"/>
  <c r="M6" i="42"/>
  <c r="AR13" i="42" l="1"/>
  <c r="AQ30" i="42"/>
  <c r="AP30" i="42"/>
  <c r="AQ29" i="42"/>
  <c r="AP29" i="42"/>
  <c r="AQ28" i="42"/>
  <c r="AP28" i="42"/>
  <c r="AQ25" i="42"/>
  <c r="AP25" i="42"/>
  <c r="AQ24" i="42"/>
  <c r="AP24" i="42"/>
  <c r="AQ23" i="42"/>
  <c r="AP23" i="42"/>
  <c r="AQ22" i="42"/>
  <c r="AP22" i="42"/>
  <c r="AQ21" i="42"/>
  <c r="AP21" i="42"/>
  <c r="AQ17" i="42"/>
  <c r="AQ12" i="42"/>
  <c r="AP12" i="42"/>
  <c r="AQ11" i="42"/>
  <c r="AP11" i="42"/>
  <c r="AQ10" i="42"/>
  <c r="AP10" i="42"/>
  <c r="AQ9" i="42"/>
  <c r="AP9" i="42"/>
  <c r="AQ8" i="42"/>
  <c r="AP8" i="42"/>
  <c r="AQ6" i="42"/>
  <c r="AP6" i="42"/>
  <c r="AR8" i="42" l="1"/>
  <c r="AR23" i="42"/>
  <c r="AR24" i="42"/>
  <c r="AR22" i="42"/>
  <c r="AR28" i="42"/>
  <c r="AR17" i="42"/>
  <c r="AR30" i="42"/>
  <c r="AR25" i="42"/>
  <c r="AR10" i="42"/>
  <c r="AR21" i="42"/>
  <c r="AR6" i="42"/>
  <c r="AR11" i="42"/>
  <c r="AR12" i="42"/>
  <c r="AR29" i="42"/>
  <c r="AR9" i="42"/>
</calcChain>
</file>

<file path=xl/comments1.xml><?xml version="1.0" encoding="utf-8"?>
<comments xmlns="http://schemas.openxmlformats.org/spreadsheetml/2006/main">
  <authors>
    <author>tc={87C85122-0094-40BE-B266-2E84153F275A}</author>
    <author>박순복</author>
  </authors>
  <commentList>
    <comment ref="AJ4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2026.02.14~18 구정연휴</t>
        </r>
      </text>
    </comment>
    <comment ref="G16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 xml:space="preserve"> 2026-01-23 &gt; 2026-04-15
</t>
        </r>
      </text>
    </comment>
    <comment ref="G17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추가투입</t>
        </r>
        <r>
          <rPr>
            <b/>
            <sz val="9"/>
            <color indexed="81"/>
            <rFont val="Tahoma"/>
            <family val="2"/>
          </rPr>
          <t>(7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>), 8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롤아웃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일자변경</t>
        </r>
        <r>
          <rPr>
            <sz val="9"/>
            <color indexed="81"/>
            <rFont val="Tahoma"/>
            <family val="2"/>
          </rPr>
          <t xml:space="preserve"> 8.29 -&gt; 12.31
</t>
        </r>
        <r>
          <rPr>
            <sz val="9"/>
            <color indexed="81"/>
            <rFont val="돋움"/>
            <family val="3"/>
            <charset val="129"/>
          </rPr>
          <t>추가투입</t>
        </r>
        <r>
          <rPr>
            <sz val="9"/>
            <color indexed="81"/>
            <rFont val="Tahoma"/>
            <family val="2"/>
          </rPr>
          <t>(8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>), 9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대가</t>
        </r>
      </text>
    </comment>
    <comment ref="G21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추가투입</t>
        </r>
        <r>
          <rPr>
            <sz val="9"/>
            <color indexed="81"/>
            <rFont val="Tahoma"/>
            <family val="2"/>
          </rPr>
          <t>(~9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>),10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,11~12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추가투입</t>
        </r>
      </text>
    </comment>
    <comment ref="G26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추가투입</t>
        </r>
      </text>
    </comment>
    <comment ref="G27" authorId="1" shapeId="0">
      <text>
        <r>
          <rPr>
            <b/>
            <sz val="9"/>
            <color indexed="81"/>
            <rFont val="돋움"/>
            <family val="3"/>
            <charset val="129"/>
          </rPr>
          <t>박순복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추가투입</t>
        </r>
      </text>
    </comment>
    <comment ref="G31" authorId="1" shapeId="0">
      <text>
        <r>
          <rPr>
            <b/>
            <sz val="9"/>
            <color indexed="81"/>
            <rFont val="돋움"/>
            <family val="3"/>
            <charset val="129"/>
          </rPr>
          <t>추가투입(8월까지), 9월부터 대가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2" authorId="1" shapeId="0">
      <text>
        <r>
          <rPr>
            <b/>
            <sz val="9"/>
            <color indexed="81"/>
            <rFont val="돋움"/>
            <family val="3"/>
            <charset val="129"/>
          </rPr>
          <t>추가투입(8월까지), 9월부터 대가</t>
        </r>
      </text>
    </comment>
  </commentList>
</comments>
</file>

<file path=xl/sharedStrings.xml><?xml version="1.0" encoding="utf-8"?>
<sst xmlns="http://schemas.openxmlformats.org/spreadsheetml/2006/main" count="213" uniqueCount="114">
  <si>
    <t>M+1</t>
    <phoneticPr fontId="5" type="noConversion"/>
  </si>
  <si>
    <t>M+2</t>
    <phoneticPr fontId="5" type="noConversion"/>
  </si>
  <si>
    <t>M+3</t>
    <phoneticPr fontId="5" type="noConversion"/>
  </si>
  <si>
    <t>M+4</t>
    <phoneticPr fontId="5" type="noConversion"/>
  </si>
  <si>
    <t>소계</t>
    <phoneticPr fontId="5" type="noConversion"/>
  </si>
  <si>
    <t>중분류</t>
    <phoneticPr fontId="5" type="noConversion"/>
  </si>
  <si>
    <t>M+5</t>
    <phoneticPr fontId="5" type="noConversion"/>
  </si>
  <si>
    <t>M+6</t>
    <phoneticPr fontId="5" type="noConversion"/>
  </si>
  <si>
    <t>M+7</t>
    <phoneticPr fontId="5" type="noConversion"/>
  </si>
  <si>
    <t>M+8</t>
    <phoneticPr fontId="5" type="noConversion"/>
  </si>
  <si>
    <t>M+9</t>
    <phoneticPr fontId="5" type="noConversion"/>
  </si>
  <si>
    <t>M+10</t>
    <phoneticPr fontId="5" type="noConversion"/>
  </si>
  <si>
    <t>등급</t>
    <phoneticPr fontId="1" type="noConversion"/>
  </si>
  <si>
    <t>특급</t>
    <phoneticPr fontId="1" type="noConversion"/>
  </si>
  <si>
    <t>M+11</t>
    <phoneticPr fontId="5" type="noConversion"/>
  </si>
  <si>
    <t>M+12</t>
    <phoneticPr fontId="5" type="noConversion"/>
  </si>
  <si>
    <t>고급</t>
    <phoneticPr fontId="1" type="noConversion"/>
  </si>
  <si>
    <t>UI / UX</t>
    <phoneticPr fontId="1" type="noConversion"/>
  </si>
  <si>
    <t>중급</t>
    <phoneticPr fontId="1" type="noConversion"/>
  </si>
  <si>
    <t>초급</t>
    <phoneticPr fontId="1" type="noConversion"/>
  </si>
  <si>
    <t>M+13</t>
    <phoneticPr fontId="5" type="noConversion"/>
  </si>
  <si>
    <t>M+14</t>
    <phoneticPr fontId="5" type="noConversion"/>
  </si>
  <si>
    <t>M+15</t>
    <phoneticPr fontId="5" type="noConversion"/>
  </si>
  <si>
    <t>12월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</si>
  <si>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</si>
  <si>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</si>
  <si>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</si>
  <si>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</si>
  <si>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개발 및 단위테스트</t>
    <phoneticPr fontId="1" type="noConversion"/>
  </si>
  <si>
    <t>통합테스트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</si>
  <si>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</si>
  <si>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</si>
  <si>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</si>
  <si>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</si>
  <si>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</si>
  <si>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</si>
  <si>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</si>
  <si>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</si>
  <si>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</si>
  <si>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바이널씨</t>
    <phoneticPr fontId="1" type="noConversion"/>
  </si>
  <si>
    <t>수행사</t>
    <phoneticPr fontId="1" type="noConversion"/>
  </si>
  <si>
    <t>오픈/안정화</t>
    <phoneticPr fontId="1" type="noConversion"/>
  </si>
  <si>
    <t>대분류</t>
    <phoneticPr fontId="5" type="noConversion"/>
  </si>
  <si>
    <t>M+0</t>
    <phoneticPr fontId="5" type="noConversion"/>
  </si>
  <si>
    <t>계획</t>
    <phoneticPr fontId="1" type="noConversion"/>
  </si>
  <si>
    <t>성명</t>
    <phoneticPr fontId="1" type="noConversion"/>
  </si>
  <si>
    <t>김민지</t>
  </si>
  <si>
    <t>황세진</t>
  </si>
  <si>
    <t>투입일</t>
    <phoneticPr fontId="1" type="noConversion"/>
  </si>
  <si>
    <t>철수일</t>
    <phoneticPr fontId="1" type="noConversion"/>
  </si>
  <si>
    <t>PL (제작가이드, 산출물 검수)</t>
    <phoneticPr fontId="13" type="noConversion"/>
  </si>
  <si>
    <t>고우정</t>
  </si>
  <si>
    <t>우미숙</t>
  </si>
  <si>
    <t>정수정</t>
  </si>
  <si>
    <t>김강현</t>
  </si>
  <si>
    <t>김세진</t>
  </si>
  <si>
    <t>이태림</t>
  </si>
  <si>
    <t>배지효</t>
  </si>
  <si>
    <t>박민정</t>
  </si>
  <si>
    <t>이경진</t>
  </si>
  <si>
    <t>민수연</t>
  </si>
  <si>
    <t>박성호</t>
  </si>
  <si>
    <t>앱웹 화면 UI 디자인</t>
    <phoneticPr fontId="13" type="noConversion"/>
  </si>
  <si>
    <t>철수 예정일</t>
    <phoneticPr fontId="1" type="noConversion"/>
  </si>
  <si>
    <t>비상주</t>
    <phoneticPr fontId="1" type="noConversion"/>
  </si>
  <si>
    <t>차이</t>
    <phoneticPr fontId="1" type="noConversion"/>
  </si>
  <si>
    <t>실적</t>
    <phoneticPr fontId="1" type="noConversion"/>
  </si>
  <si>
    <t>기획/디자인 총괄 (바이널씨 PM) - PL</t>
    <phoneticPr fontId="1" type="noConversion"/>
  </si>
  <si>
    <t>특이사항</t>
    <phoneticPr fontId="1" type="noConversion"/>
  </si>
  <si>
    <t xml:space="preserve">주간 산출비율: </t>
    <phoneticPr fontId="1" type="noConversion"/>
  </si>
  <si>
    <t>앱웹 Front UXUI 상세 화면설계</t>
    <phoneticPr fontId="13" type="noConversion"/>
  </si>
  <si>
    <t>장익준</t>
    <phoneticPr fontId="1" type="noConversion"/>
  </si>
  <si>
    <t>김영근</t>
    <phoneticPr fontId="1" type="noConversion"/>
  </si>
  <si>
    <t>윤혜림</t>
    <phoneticPr fontId="1" type="noConversion"/>
  </si>
  <si>
    <t>유경구</t>
    <phoneticPr fontId="1" type="noConversion"/>
  </si>
  <si>
    <t>조선자</t>
    <phoneticPr fontId="1" type="noConversion"/>
  </si>
  <si>
    <t>안광훈</t>
    <phoneticPr fontId="1" type="noConversion"/>
  </si>
  <si>
    <t>철수</t>
    <phoneticPr fontId="1" type="noConversion"/>
  </si>
  <si>
    <t>분석/설계</t>
    <phoneticPr fontId="1" type="noConversion"/>
  </si>
  <si>
    <t>특급</t>
    <phoneticPr fontId="1" type="noConversion"/>
  </si>
  <si>
    <t>바이널씨</t>
    <phoneticPr fontId="1" type="noConversion"/>
  </si>
  <si>
    <t>박지황</t>
    <phoneticPr fontId="1" type="noConversion"/>
  </si>
  <si>
    <t>고급</t>
    <phoneticPr fontId="1" type="noConversion"/>
  </si>
  <si>
    <t>김단비</t>
    <phoneticPr fontId="1" type="noConversion"/>
  </si>
  <si>
    <t>김원경</t>
    <phoneticPr fontId="1" type="noConversion"/>
  </si>
  <si>
    <t>그룹장 PL(총괄 관리)</t>
    <phoneticPr fontId="1" type="noConversion"/>
  </si>
  <si>
    <t>최승일</t>
    <phoneticPr fontId="1" type="noConversion"/>
  </si>
  <si>
    <t>철수</t>
    <phoneticPr fontId="1" type="noConversion"/>
  </si>
  <si>
    <t>유승용</t>
    <phoneticPr fontId="1" type="noConversion"/>
  </si>
  <si>
    <t>유지현</t>
    <phoneticPr fontId="1" type="noConversion"/>
  </si>
  <si>
    <t>고급</t>
    <phoneticPr fontId="1" type="noConversion"/>
  </si>
  <si>
    <t>철수(추가투입)</t>
    <phoneticPr fontId="1" type="noConversion"/>
  </si>
  <si>
    <t>손성미</t>
    <phoneticPr fontId="1" type="noConversion"/>
  </si>
  <si>
    <t>김유진</t>
    <phoneticPr fontId="1" type="noConversion"/>
  </si>
  <si>
    <t>고급</t>
    <phoneticPr fontId="1" type="noConversion"/>
  </si>
  <si>
    <t>특급</t>
    <phoneticPr fontId="1" type="noConversion"/>
  </si>
  <si>
    <t>특급</t>
    <phoneticPr fontId="1" type="noConversion"/>
  </si>
  <si>
    <t>초급</t>
    <phoneticPr fontId="1" type="noConversion"/>
  </si>
  <si>
    <t>특급</t>
    <phoneticPr fontId="1" type="noConversion"/>
  </si>
  <si>
    <t>초급</t>
    <phoneticPr fontId="1" type="noConversion"/>
  </si>
  <si>
    <t>중급</t>
    <phoneticPr fontId="1" type="noConversion"/>
  </si>
  <si>
    <t>고급</t>
    <phoneticPr fontId="1" type="noConversion"/>
  </si>
  <si>
    <t>투입등급</t>
    <phoneticPr fontId="1" type="noConversion"/>
  </si>
  <si>
    <t>초급</t>
    <phoneticPr fontId="1" type="noConversion"/>
  </si>
  <si>
    <t>초급</t>
    <phoneticPr fontId="1" type="noConversion"/>
  </si>
  <si>
    <t>초급</t>
    <phoneticPr fontId="1" type="noConversion"/>
  </si>
  <si>
    <t>고급</t>
    <phoneticPr fontId="1" type="noConversion"/>
  </si>
  <si>
    <t>초급</t>
    <phoneticPr fontId="1" type="noConversion"/>
  </si>
  <si>
    <t>수행사</t>
    <phoneticPr fontId="1" type="noConversion"/>
  </si>
  <si>
    <t>비고</t>
    <phoneticPr fontId="1" type="noConversion"/>
  </si>
  <si>
    <t>중급</t>
    <phoneticPr fontId="1" type="noConversion"/>
  </si>
  <si>
    <t>고급</t>
    <phoneticPr fontId="1" type="noConversion"/>
  </si>
  <si>
    <t>11월~12월 추가투입</t>
    <phoneticPr fontId="1" type="noConversion"/>
  </si>
  <si>
    <t>추가투입(12월)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</si>
</sst>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_ "/>
    <numFmt numFmtId="177" formatCode="_-* #,##0.0_-;\-* #,##0.0_-;_-* &quot;-&quot;?_-;_-@_-"/>
    <numFmt numFmtId="179" formatCode="0.00_ "/>
    <numFmt numFmtId="185" formatCode="0.0_);[Red]\(0.0\)"/>
    <numFmt numFmtId="188" formatCode="0.000_ "/>
    <numFmt numFmtId="191" formatCode="0.00_);[Red]\(0.00\)"/>
    <numFmt numFmtId="192" formatCode="0.00_);\(0.0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gray125"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gray125">
        <bgColor theme="5" tint="0.59999389629810485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/>
      <right style="medium">
        <color theme="0"/>
      </right>
      <top style="medium">
        <color theme="1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/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7" fillId="0" borderId="22" xfId="2" applyFont="1" applyBorder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7" fillId="3" borderId="0" xfId="2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2" fillId="0" borderId="49" xfId="1" applyNumberFormat="1" applyFont="1" applyFill="1" applyBorder="1" applyAlignment="1">
      <alignment horizontal="center" vertical="center"/>
    </xf>
    <xf numFmtId="177" fontId="2" fillId="0" borderId="48" xfId="1" applyNumberFormat="1" applyFont="1" applyFill="1" applyBorder="1" applyAlignment="1">
      <alignment horizontal="center" vertical="center"/>
    </xf>
    <xf numFmtId="185" fontId="2" fillId="0" borderId="49" xfId="1" applyNumberFormat="1" applyFont="1" applyFill="1" applyBorder="1" applyAlignment="1">
      <alignment horizontal="center" vertical="center"/>
    </xf>
    <xf numFmtId="0" fontId="6" fillId="2" borderId="56" xfId="2" applyFont="1" applyFill="1" applyBorder="1" applyAlignment="1">
      <alignment horizontal="center" vertical="center"/>
    </xf>
    <xf numFmtId="177" fontId="2" fillId="0" borderId="58" xfId="1" applyNumberFormat="1" applyFont="1" applyFill="1" applyBorder="1" applyAlignment="1">
      <alignment horizontal="center" vertical="center"/>
    </xf>
    <xf numFmtId="177" fontId="2" fillId="0" borderId="59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19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5" borderId="27" xfId="2" applyFont="1" applyFill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18" xfId="2" applyFont="1" applyFill="1" applyBorder="1" applyAlignment="1">
      <alignment horizontal="center" vertical="center"/>
    </xf>
    <xf numFmtId="0" fontId="7" fillId="0" borderId="35" xfId="2" applyFont="1" applyFill="1" applyBorder="1" applyAlignment="1">
      <alignment horizontal="center" vertical="center"/>
    </xf>
    <xf numFmtId="0" fontId="7" fillId="0" borderId="65" xfId="2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2" borderId="51" xfId="2" applyFont="1" applyFill="1" applyBorder="1" applyAlignment="1">
      <alignment horizontal="center" vertical="center"/>
    </xf>
    <xf numFmtId="0" fontId="6" fillId="2" borderId="56" xfId="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185" fontId="2" fillId="0" borderId="59" xfId="1" applyNumberFormat="1" applyFont="1" applyFill="1" applyBorder="1" applyAlignment="1">
      <alignment horizontal="center" vertical="center"/>
    </xf>
    <xf numFmtId="177" fontId="2" fillId="0" borderId="70" xfId="1" applyNumberFormat="1" applyFont="1" applyFill="1" applyBorder="1" applyAlignment="1">
      <alignment horizontal="center" vertical="center"/>
    </xf>
    <xf numFmtId="0" fontId="7" fillId="4" borderId="27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4" fontId="7" fillId="0" borderId="18" xfId="2" applyNumberFormat="1" applyFont="1" applyBorder="1" applyAlignment="1">
      <alignment horizontal="center" vertical="center"/>
    </xf>
    <xf numFmtId="14" fontId="7" fillId="4" borderId="36" xfId="2" applyNumberFormat="1" applyFont="1" applyFill="1" applyBorder="1" applyAlignment="1">
      <alignment horizontal="center" vertical="center"/>
    </xf>
    <xf numFmtId="14" fontId="7" fillId="4" borderId="27" xfId="2" applyNumberFormat="1" applyFont="1" applyFill="1" applyBorder="1" applyAlignment="1">
      <alignment horizontal="center" vertical="center"/>
    </xf>
    <xf numFmtId="14" fontId="7" fillId="0" borderId="27" xfId="2" applyNumberFormat="1" applyFont="1" applyBorder="1" applyAlignment="1">
      <alignment horizontal="center" vertical="center"/>
    </xf>
    <xf numFmtId="14" fontId="7" fillId="0" borderId="36" xfId="2" applyNumberFormat="1" applyFont="1" applyFill="1" applyBorder="1" applyAlignment="1">
      <alignment horizontal="center" vertical="center"/>
    </xf>
    <xf numFmtId="14" fontId="7" fillId="0" borderId="27" xfId="2" applyNumberFormat="1" applyFont="1" applyFill="1" applyBorder="1" applyAlignment="1">
      <alignment horizontal="center" vertical="center"/>
    </xf>
    <xf numFmtId="14" fontId="7" fillId="4" borderId="28" xfId="2" applyNumberFormat="1" applyFont="1" applyFill="1" applyBorder="1" applyAlignment="1">
      <alignment horizontal="center" vertical="center"/>
    </xf>
    <xf numFmtId="14" fontId="7" fillId="0" borderId="35" xfId="2" applyNumberFormat="1" applyFont="1" applyBorder="1" applyAlignment="1">
      <alignment horizontal="center" vertical="center"/>
    </xf>
    <xf numFmtId="14" fontId="7" fillId="0" borderId="19" xfId="2" applyNumberFormat="1" applyFont="1" applyBorder="1" applyAlignment="1">
      <alignment horizontal="center" vertical="center"/>
    </xf>
    <xf numFmtId="14" fontId="7" fillId="0" borderId="65" xfId="2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4" fontId="8" fillId="0" borderId="0" xfId="0" applyNumberFormat="1" applyFont="1">
      <alignment vertical="center"/>
    </xf>
    <xf numFmtId="14" fontId="0" fillId="0" borderId="0" xfId="0" applyNumberFormat="1" applyAlignment="1">
      <alignment horizontal="left" vertical="center" indent="1"/>
    </xf>
    <xf numFmtId="14" fontId="7" fillId="4" borderId="18" xfId="2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4" fontId="7" fillId="5" borderId="27" xfId="2" applyNumberFormat="1" applyFont="1" applyFill="1" applyBorder="1" applyAlignment="1">
      <alignment horizontal="center" vertical="center"/>
    </xf>
    <xf numFmtId="14" fontId="7" fillId="5" borderId="36" xfId="2" applyNumberFormat="1" applyFont="1" applyFill="1" applyBorder="1" applyAlignment="1">
      <alignment horizontal="center" vertical="center"/>
    </xf>
    <xf numFmtId="177" fontId="2" fillId="0" borderId="75" xfId="1" applyNumberFormat="1" applyFont="1" applyFill="1" applyBorder="1" applyAlignment="1">
      <alignment horizontal="center" vertical="center"/>
    </xf>
    <xf numFmtId="177" fontId="2" fillId="0" borderId="77" xfId="1" applyNumberFormat="1" applyFont="1" applyFill="1" applyBorder="1" applyAlignment="1">
      <alignment horizontal="center" vertical="center"/>
    </xf>
    <xf numFmtId="177" fontId="2" fillId="0" borderId="79" xfId="1" applyNumberFormat="1" applyFont="1" applyFill="1" applyBorder="1" applyAlignment="1">
      <alignment horizontal="center" vertical="center"/>
    </xf>
    <xf numFmtId="0" fontId="6" fillId="2" borderId="56" xfId="2" applyFont="1" applyFill="1" applyBorder="1" applyAlignment="1">
      <alignment horizontal="center" vertical="center"/>
    </xf>
    <xf numFmtId="0" fontId="7" fillId="3" borderId="80" xfId="2" applyFont="1" applyFill="1" applyBorder="1">
      <alignment vertical="center"/>
    </xf>
    <xf numFmtId="0" fontId="7" fillId="3" borderId="82" xfId="2" applyFont="1" applyFill="1" applyBorder="1">
      <alignment vertical="center"/>
    </xf>
    <xf numFmtId="176" fontId="14" fillId="0" borderId="83" xfId="2" applyNumberFormat="1" applyFont="1" applyBorder="1" applyAlignment="1">
      <alignment vertical="center" wrapText="1"/>
    </xf>
    <xf numFmtId="0" fontId="6" fillId="2" borderId="84" xfId="2" applyFont="1" applyFill="1" applyBorder="1" applyAlignment="1">
      <alignment horizontal="center" vertical="center"/>
    </xf>
    <xf numFmtId="0" fontId="6" fillId="2" borderId="86" xfId="2" applyFont="1" applyFill="1" applyBorder="1" applyAlignment="1">
      <alignment horizontal="center" vertical="center"/>
    </xf>
    <xf numFmtId="0" fontId="6" fillId="2" borderId="85" xfId="2" applyFont="1" applyFill="1" applyBorder="1" applyAlignment="1">
      <alignment horizontal="center" vertical="center"/>
    </xf>
    <xf numFmtId="0" fontId="6" fillId="2" borderId="90" xfId="2" applyFont="1" applyFill="1" applyBorder="1" applyAlignment="1">
      <alignment horizontal="center" vertical="center"/>
    </xf>
    <xf numFmtId="0" fontId="7" fillId="4" borderId="28" xfId="2" applyFont="1" applyFill="1" applyBorder="1" applyAlignment="1">
      <alignment horizontal="center" vertical="center"/>
    </xf>
    <xf numFmtId="14" fontId="7" fillId="4" borderId="66" xfId="2" applyNumberFormat="1" applyFont="1" applyFill="1" applyBorder="1" applyAlignment="1">
      <alignment horizontal="center" vertical="center"/>
    </xf>
    <xf numFmtId="191" fontId="7" fillId="3" borderId="17" xfId="2" applyNumberFormat="1" applyFont="1" applyFill="1" applyBorder="1" applyAlignment="1">
      <alignment horizontal="center" vertical="center"/>
    </xf>
    <xf numFmtId="191" fontId="7" fillId="3" borderId="2" xfId="2" applyNumberFormat="1" applyFont="1" applyFill="1" applyBorder="1" applyAlignment="1">
      <alignment horizontal="center" vertical="center"/>
    </xf>
    <xf numFmtId="191" fontId="7" fillId="3" borderId="1" xfId="2" applyNumberFormat="1" applyFont="1" applyFill="1" applyBorder="1" applyAlignment="1">
      <alignment horizontal="center" vertical="center"/>
    </xf>
    <xf numFmtId="191" fontId="7" fillId="3" borderId="42" xfId="2" applyNumberFormat="1" applyFont="1" applyFill="1" applyBorder="1" applyAlignment="1">
      <alignment horizontal="center" vertical="center"/>
    </xf>
    <xf numFmtId="191" fontId="7" fillId="3" borderId="87" xfId="2" applyNumberFormat="1" applyFont="1" applyFill="1" applyBorder="1" applyAlignment="1">
      <alignment horizontal="center" vertical="center"/>
    </xf>
    <xf numFmtId="191" fontId="7" fillId="3" borderId="12" xfId="2" applyNumberFormat="1" applyFont="1" applyFill="1" applyBorder="1" applyAlignment="1">
      <alignment horizontal="center" vertical="center"/>
    </xf>
    <xf numFmtId="191" fontId="2" fillId="0" borderId="2" xfId="1" applyNumberFormat="1" applyFont="1" applyBorder="1">
      <alignment vertical="center"/>
    </xf>
    <xf numFmtId="191" fontId="2" fillId="0" borderId="24" xfId="1" applyNumberFormat="1" applyFont="1" applyBorder="1">
      <alignment vertical="center"/>
    </xf>
    <xf numFmtId="191" fontId="7" fillId="3" borderId="5" xfId="2" applyNumberFormat="1" applyFont="1" applyFill="1" applyBorder="1" applyAlignment="1">
      <alignment horizontal="center" vertical="center"/>
    </xf>
    <xf numFmtId="191" fontId="7" fillId="3" borderId="43" xfId="2" applyNumberFormat="1" applyFont="1" applyFill="1" applyBorder="1" applyAlignment="1">
      <alignment horizontal="center" vertical="center"/>
    </xf>
    <xf numFmtId="191" fontId="7" fillId="3" borderId="39" xfId="2" applyNumberFormat="1" applyFont="1" applyFill="1" applyBorder="1" applyAlignment="1">
      <alignment horizontal="center" vertical="center"/>
    </xf>
    <xf numFmtId="191" fontId="7" fillId="8" borderId="39" xfId="2" applyNumberFormat="1" applyFont="1" applyFill="1" applyBorder="1" applyAlignment="1">
      <alignment horizontal="center" vertical="center"/>
    </xf>
    <xf numFmtId="191" fontId="7" fillId="8" borderId="5" xfId="2" applyNumberFormat="1" applyFont="1" applyFill="1" applyBorder="1" applyAlignment="1">
      <alignment horizontal="center" vertical="center"/>
    </xf>
    <xf numFmtId="191" fontId="7" fillId="8" borderId="1" xfId="2" applyNumberFormat="1" applyFont="1" applyFill="1" applyBorder="1" applyAlignment="1">
      <alignment horizontal="center" vertical="center"/>
    </xf>
    <xf numFmtId="191" fontId="7" fillId="8" borderId="4" xfId="2" applyNumberFormat="1" applyFont="1" applyFill="1" applyBorder="1" applyAlignment="1">
      <alignment horizontal="center" vertical="center"/>
    </xf>
    <xf numFmtId="191" fontId="7" fillId="0" borderId="5" xfId="2" applyNumberFormat="1" applyFont="1" applyBorder="1" applyAlignment="1">
      <alignment horizontal="center" vertical="center"/>
    </xf>
    <xf numFmtId="191" fontId="7" fillId="0" borderId="1" xfId="2" applyNumberFormat="1" applyFont="1" applyBorder="1" applyAlignment="1">
      <alignment horizontal="center" vertical="center"/>
    </xf>
    <xf numFmtId="191" fontId="7" fillId="6" borderId="1" xfId="2" applyNumberFormat="1" applyFont="1" applyFill="1" applyBorder="1" applyAlignment="1">
      <alignment horizontal="center" vertical="center"/>
    </xf>
    <xf numFmtId="191" fontId="7" fillId="8" borderId="43" xfId="2" applyNumberFormat="1" applyFont="1" applyFill="1" applyBorder="1" applyAlignment="1">
      <alignment horizontal="center" vertical="center"/>
    </xf>
    <xf numFmtId="191" fontId="7" fillId="3" borderId="3" xfId="2" applyNumberFormat="1" applyFont="1" applyFill="1" applyBorder="1" applyAlignment="1">
      <alignment horizontal="center" vertical="center"/>
    </xf>
    <xf numFmtId="191" fontId="7" fillId="3" borderId="68" xfId="2" applyNumberFormat="1" applyFont="1" applyFill="1" applyBorder="1" applyAlignment="1">
      <alignment horizontal="center" vertical="center"/>
    </xf>
    <xf numFmtId="191" fontId="7" fillId="3" borderId="40" xfId="2" applyNumberFormat="1" applyFont="1" applyFill="1" applyBorder="1" applyAlignment="1">
      <alignment horizontal="center" vertical="center"/>
    </xf>
    <xf numFmtId="191" fontId="7" fillId="0" borderId="43" xfId="2" applyNumberFormat="1" applyFont="1" applyFill="1" applyBorder="1" applyAlignment="1">
      <alignment horizontal="center" vertical="center"/>
    </xf>
    <xf numFmtId="191" fontId="7" fillId="0" borderId="42" xfId="2" applyNumberFormat="1" applyFont="1" applyFill="1" applyBorder="1" applyAlignment="1">
      <alignment horizontal="center" vertical="center"/>
    </xf>
    <xf numFmtId="191" fontId="7" fillId="3" borderId="6" xfId="2" applyNumberFormat="1" applyFont="1" applyFill="1" applyBorder="1" applyAlignment="1">
      <alignment horizontal="center" vertical="center"/>
    </xf>
    <xf numFmtId="191" fontId="7" fillId="8" borderId="22" xfId="2" applyNumberFormat="1" applyFont="1" applyFill="1" applyBorder="1" applyAlignment="1">
      <alignment horizontal="center" vertical="center"/>
    </xf>
    <xf numFmtId="191" fontId="7" fillId="0" borderId="1" xfId="2" applyNumberFormat="1" applyFont="1" applyFill="1" applyBorder="1" applyAlignment="1">
      <alignment horizontal="center" vertical="center"/>
    </xf>
    <xf numFmtId="191" fontId="7" fillId="0" borderId="5" xfId="2" applyNumberFormat="1" applyFont="1" applyFill="1" applyBorder="1" applyAlignment="1">
      <alignment horizontal="center" vertical="center"/>
    </xf>
    <xf numFmtId="191" fontId="2" fillId="0" borderId="11" xfId="1" applyNumberFormat="1" applyFont="1" applyFill="1" applyBorder="1">
      <alignment vertical="center"/>
    </xf>
    <xf numFmtId="191" fontId="7" fillId="0" borderId="2" xfId="2" applyNumberFormat="1" applyFont="1" applyBorder="1" applyAlignment="1">
      <alignment horizontal="center" vertical="center"/>
    </xf>
    <xf numFmtId="191" fontId="7" fillId="0" borderId="9" xfId="2" applyNumberFormat="1" applyFont="1" applyBorder="1" applyAlignment="1">
      <alignment horizontal="center" vertical="center"/>
    </xf>
    <xf numFmtId="191" fontId="7" fillId="3" borderId="9" xfId="2" applyNumberFormat="1" applyFont="1" applyFill="1" applyBorder="1" applyAlignment="1">
      <alignment horizontal="center" vertical="center"/>
    </xf>
    <xf numFmtId="191" fontId="7" fillId="3" borderId="41" xfId="2" applyNumberFormat="1" applyFont="1" applyFill="1" applyBorder="1" applyAlignment="1">
      <alignment horizontal="center" vertical="center"/>
    </xf>
    <xf numFmtId="191" fontId="7" fillId="3" borderId="13" xfId="2" applyNumberFormat="1" applyFont="1" applyFill="1" applyBorder="1" applyAlignment="1">
      <alignment horizontal="center" vertical="center"/>
    </xf>
    <xf numFmtId="191" fontId="7" fillId="3" borderId="34" xfId="2" applyNumberFormat="1" applyFont="1" applyFill="1" applyBorder="1" applyAlignment="1">
      <alignment horizontal="center" vertical="center"/>
    </xf>
    <xf numFmtId="191" fontId="7" fillId="0" borderId="6" xfId="2" applyNumberFormat="1" applyFont="1" applyBorder="1" applyAlignment="1">
      <alignment horizontal="center" vertical="center"/>
    </xf>
    <xf numFmtId="191" fontId="7" fillId="8" borderId="6" xfId="2" applyNumberFormat="1" applyFont="1" applyFill="1" applyBorder="1" applyAlignment="1">
      <alignment horizontal="center" vertical="center"/>
    </xf>
    <xf numFmtId="191" fontId="7" fillId="8" borderId="44" xfId="2" applyNumberFormat="1" applyFont="1" applyFill="1" applyBorder="1" applyAlignment="1">
      <alignment horizontal="center" vertical="center"/>
    </xf>
    <xf numFmtId="191" fontId="7" fillId="8" borderId="34" xfId="2" applyNumberFormat="1" applyFont="1" applyFill="1" applyBorder="1" applyAlignment="1">
      <alignment horizontal="center" vertical="center"/>
    </xf>
    <xf numFmtId="191" fontId="7" fillId="8" borderId="2" xfId="2" applyNumberFormat="1" applyFont="1" applyFill="1" applyBorder="1" applyAlignment="1">
      <alignment horizontal="center" vertical="center"/>
    </xf>
    <xf numFmtId="191" fontId="7" fillId="8" borderId="42" xfId="2" applyNumberFormat="1" applyFont="1" applyFill="1" applyBorder="1" applyAlignment="1">
      <alignment horizontal="center" vertical="center"/>
    </xf>
    <xf numFmtId="191" fontId="7" fillId="8" borderId="17" xfId="2" applyNumberFormat="1" applyFont="1" applyFill="1" applyBorder="1" applyAlignment="1">
      <alignment horizontal="center" vertical="center"/>
    </xf>
    <xf numFmtId="191" fontId="7" fillId="8" borderId="12" xfId="2" applyNumberFormat="1" applyFont="1" applyFill="1" applyBorder="1" applyAlignment="1">
      <alignment horizontal="center" vertical="center"/>
    </xf>
    <xf numFmtId="191" fontId="7" fillId="0" borderId="39" xfId="2" applyNumberFormat="1" applyFont="1" applyFill="1" applyBorder="1" applyAlignment="1">
      <alignment horizontal="center" vertical="center"/>
    </xf>
    <xf numFmtId="191" fontId="7" fillId="0" borderId="45" xfId="2" applyNumberFormat="1" applyFont="1" applyFill="1" applyBorder="1" applyAlignment="1">
      <alignment horizontal="center" vertical="center"/>
    </xf>
    <xf numFmtId="191" fontId="7" fillId="8" borderId="9" xfId="2" applyNumberFormat="1" applyFont="1" applyFill="1" applyBorder="1" applyAlignment="1">
      <alignment horizontal="center" vertical="center"/>
    </xf>
    <xf numFmtId="191" fontId="7" fillId="8" borderId="64" xfId="2" applyNumberFormat="1" applyFont="1" applyFill="1" applyBorder="1" applyAlignment="1">
      <alignment horizontal="center" vertical="center"/>
    </xf>
    <xf numFmtId="191" fontId="7" fillId="8" borderId="41" xfId="2" applyNumberFormat="1" applyFont="1" applyFill="1" applyBorder="1" applyAlignment="1">
      <alignment horizontal="center" vertical="center"/>
    </xf>
    <xf numFmtId="191" fontId="2" fillId="0" borderId="9" xfId="1" applyNumberFormat="1" applyFont="1" applyBorder="1">
      <alignment vertical="center"/>
    </xf>
    <xf numFmtId="191" fontId="2" fillId="0" borderId="10" xfId="1" applyNumberFormat="1" applyFont="1" applyBorder="1">
      <alignment vertical="center"/>
    </xf>
    <xf numFmtId="191" fontId="7" fillId="0" borderId="17" xfId="2" applyNumberFormat="1" applyFont="1" applyBorder="1" applyAlignment="1">
      <alignment horizontal="center" vertical="center"/>
    </xf>
    <xf numFmtId="191" fontId="7" fillId="8" borderId="45" xfId="2" applyNumberFormat="1" applyFont="1" applyFill="1" applyBorder="1" applyAlignment="1">
      <alignment horizontal="center" vertical="center"/>
    </xf>
    <xf numFmtId="191" fontId="7" fillId="8" borderId="24" xfId="2" applyNumberFormat="1" applyFont="1" applyFill="1" applyBorder="1" applyAlignment="1">
      <alignment horizontal="center" vertical="center"/>
    </xf>
    <xf numFmtId="191" fontId="7" fillId="8" borderId="16" xfId="2" applyNumberFormat="1" applyFont="1" applyFill="1" applyBorder="1" applyAlignment="1">
      <alignment horizontal="center" vertical="center"/>
    </xf>
    <xf numFmtId="191" fontId="7" fillId="8" borderId="15" xfId="2" applyNumberFormat="1" applyFont="1" applyFill="1" applyBorder="1" applyAlignment="1">
      <alignment horizontal="center" vertical="center"/>
    </xf>
    <xf numFmtId="191" fontId="7" fillId="8" borderId="10" xfId="2" applyNumberFormat="1" applyFont="1" applyFill="1" applyBorder="1" applyAlignment="1">
      <alignment horizontal="center" vertical="center"/>
    </xf>
    <xf numFmtId="191" fontId="7" fillId="8" borderId="87" xfId="2" applyNumberFormat="1" applyFont="1" applyFill="1" applyBorder="1" applyAlignment="1">
      <alignment horizontal="center" vertical="center"/>
    </xf>
    <xf numFmtId="191" fontId="7" fillId="0" borderId="87" xfId="2" applyNumberFormat="1" applyFont="1" applyFill="1" applyBorder="1" applyAlignment="1">
      <alignment horizontal="center" vertical="center"/>
    </xf>
    <xf numFmtId="191" fontId="7" fillId="0" borderId="17" xfId="2" applyNumberFormat="1" applyFont="1" applyFill="1" applyBorder="1" applyAlignment="1">
      <alignment horizontal="center" vertical="center"/>
    </xf>
    <xf numFmtId="191" fontId="10" fillId="0" borderId="1" xfId="2" applyNumberFormat="1" applyFont="1" applyBorder="1" applyAlignment="1">
      <alignment horizontal="center" vertical="center"/>
    </xf>
    <xf numFmtId="191" fontId="7" fillId="8" borderId="63" xfId="2" applyNumberFormat="1" applyFont="1" applyFill="1" applyBorder="1" applyAlignment="1">
      <alignment horizontal="center" vertical="center"/>
    </xf>
    <xf numFmtId="191" fontId="10" fillId="8" borderId="4" xfId="2" applyNumberFormat="1" applyFont="1" applyFill="1" applyBorder="1" applyAlignment="1">
      <alignment horizontal="center" vertical="center"/>
    </xf>
    <xf numFmtId="191" fontId="10" fillId="8" borderId="1" xfId="2" applyNumberFormat="1" applyFont="1" applyFill="1" applyBorder="1" applyAlignment="1">
      <alignment horizontal="center" vertical="center"/>
    </xf>
    <xf numFmtId="191" fontId="2" fillId="0" borderId="1" xfId="1" applyNumberFormat="1" applyFont="1" applyBorder="1">
      <alignment vertical="center"/>
    </xf>
    <xf numFmtId="191" fontId="2" fillId="0" borderId="22" xfId="1" applyNumberFormat="1" applyFont="1" applyBorder="1">
      <alignment vertical="center"/>
    </xf>
    <xf numFmtId="191" fontId="7" fillId="8" borderId="71" xfId="2" applyNumberFormat="1" applyFont="1" applyFill="1" applyBorder="1" applyAlignment="1">
      <alignment horizontal="center" vertical="center"/>
    </xf>
    <xf numFmtId="191" fontId="2" fillId="0" borderId="73" xfId="1" applyNumberFormat="1" applyFont="1" applyBorder="1">
      <alignment vertical="center"/>
    </xf>
    <xf numFmtId="191" fontId="2" fillId="0" borderId="74" xfId="1" applyNumberFormat="1" applyFont="1" applyBorder="1">
      <alignment vertical="center"/>
    </xf>
    <xf numFmtId="191" fontId="7" fillId="8" borderId="33" xfId="2" applyNumberFormat="1" applyFont="1" applyFill="1" applyBorder="1" applyAlignment="1">
      <alignment horizontal="center" vertical="center"/>
    </xf>
    <xf numFmtId="191" fontId="7" fillId="8" borderId="78" xfId="2" applyNumberFormat="1" applyFont="1" applyFill="1" applyBorder="1" applyAlignment="1">
      <alignment horizontal="center" vertical="center"/>
    </xf>
    <xf numFmtId="191" fontId="7" fillId="0" borderId="69" xfId="2" applyNumberFormat="1" applyFont="1" applyBorder="1" applyAlignment="1">
      <alignment horizontal="center" vertical="center"/>
    </xf>
    <xf numFmtId="191" fontId="7" fillId="0" borderId="29" xfId="2" applyNumberFormat="1" applyFont="1" applyBorder="1" applyAlignment="1">
      <alignment horizontal="center" vertical="center"/>
    </xf>
    <xf numFmtId="191" fontId="7" fillId="6" borderId="21" xfId="2" applyNumberFormat="1" applyFont="1" applyFill="1" applyBorder="1" applyAlignment="1">
      <alignment horizontal="center" vertical="center"/>
    </xf>
    <xf numFmtId="191" fontId="7" fillId="3" borderId="64" xfId="2" applyNumberFormat="1" applyFont="1" applyFill="1" applyBorder="1" applyAlignment="1">
      <alignment horizontal="center" vertical="center"/>
    </xf>
    <xf numFmtId="191" fontId="10" fillId="0" borderId="2" xfId="2" applyNumberFormat="1" applyFont="1" applyBorder="1" applyAlignment="1">
      <alignment horizontal="center" vertical="center"/>
    </xf>
    <xf numFmtId="191" fontId="10" fillId="8" borderId="5" xfId="2" applyNumberFormat="1" applyFont="1" applyFill="1" applyBorder="1" applyAlignment="1">
      <alignment horizontal="center" vertical="center"/>
    </xf>
    <xf numFmtId="191" fontId="7" fillId="3" borderId="7" xfId="2" applyNumberFormat="1" applyFont="1" applyFill="1" applyBorder="1" applyAlignment="1">
      <alignment horizontal="center" vertical="center"/>
    </xf>
    <xf numFmtId="191" fontId="7" fillId="3" borderId="8" xfId="2" applyNumberFormat="1" applyFont="1" applyFill="1" applyBorder="1" applyAlignment="1">
      <alignment horizontal="center" vertical="center"/>
    </xf>
    <xf numFmtId="191" fontId="7" fillId="0" borderId="9" xfId="2" applyNumberFormat="1" applyFont="1" applyFill="1" applyBorder="1" applyAlignment="1">
      <alignment horizontal="center" vertical="center"/>
    </xf>
    <xf numFmtId="191" fontId="7" fillId="8" borderId="20" xfId="2" applyNumberFormat="1" applyFont="1" applyFill="1" applyBorder="1" applyAlignment="1">
      <alignment horizontal="center" vertical="center"/>
    </xf>
    <xf numFmtId="191" fontId="7" fillId="8" borderId="21" xfId="2" applyNumberFormat="1" applyFont="1" applyFill="1" applyBorder="1" applyAlignment="1">
      <alignment horizontal="center" vertical="center"/>
    </xf>
    <xf numFmtId="191" fontId="7" fillId="8" borderId="32" xfId="2" applyNumberFormat="1" applyFont="1" applyFill="1" applyBorder="1" applyAlignment="1">
      <alignment horizontal="center" vertical="center"/>
    </xf>
    <xf numFmtId="191" fontId="7" fillId="3" borderId="23" xfId="2" applyNumberFormat="1" applyFont="1" applyFill="1" applyBorder="1" applyAlignment="1">
      <alignment horizontal="center" vertical="center"/>
    </xf>
    <xf numFmtId="191" fontId="7" fillId="3" borderId="25" xfId="2" applyNumberFormat="1" applyFont="1" applyFill="1" applyBorder="1" applyAlignment="1">
      <alignment horizontal="center" vertical="center"/>
    </xf>
    <xf numFmtId="191" fontId="7" fillId="6" borderId="43" xfId="2" applyNumberFormat="1" applyFont="1" applyFill="1" applyBorder="1" applyAlignment="1">
      <alignment horizontal="center" vertical="center"/>
    </xf>
    <xf numFmtId="0" fontId="7" fillId="4" borderId="18" xfId="2" applyFont="1" applyFill="1" applyBorder="1" applyAlignment="1">
      <alignment horizontal="center" vertical="center"/>
    </xf>
    <xf numFmtId="14" fontId="7" fillId="4" borderId="35" xfId="2" applyNumberFormat="1" applyFont="1" applyFill="1" applyBorder="1" applyAlignment="1">
      <alignment horizontal="center" vertical="center"/>
    </xf>
    <xf numFmtId="191" fontId="7" fillId="7" borderId="42" xfId="2" applyNumberFormat="1" applyFont="1" applyFill="1" applyBorder="1" applyAlignment="1">
      <alignment horizontal="center" vertical="center"/>
    </xf>
    <xf numFmtId="191" fontId="2" fillId="0" borderId="8" xfId="1" applyNumberFormat="1" applyFont="1" applyFill="1" applyBorder="1">
      <alignment vertical="center"/>
    </xf>
    <xf numFmtId="191" fontId="2" fillId="0" borderId="7" xfId="1" applyNumberFormat="1" applyFont="1" applyFill="1" applyBorder="1">
      <alignment vertical="center"/>
    </xf>
    <xf numFmtId="0" fontId="6" fillId="2" borderId="51" xfId="2" applyFont="1" applyFill="1" applyBorder="1" applyAlignment="1">
      <alignment horizontal="center" vertical="center"/>
    </xf>
    <xf numFmtId="0" fontId="7" fillId="0" borderId="36" xfId="2" applyFont="1" applyFill="1" applyBorder="1" applyAlignment="1">
      <alignment horizontal="center" vertical="center"/>
    </xf>
    <xf numFmtId="0" fontId="6" fillId="2" borderId="52" xfId="2" applyFont="1" applyFill="1" applyBorder="1" applyAlignment="1">
      <alignment vertical="center"/>
    </xf>
    <xf numFmtId="191" fontId="2" fillId="0" borderId="72" xfId="1" applyNumberFormat="1" applyFont="1" applyFill="1" applyBorder="1">
      <alignment vertical="center"/>
    </xf>
    <xf numFmtId="191" fontId="2" fillId="0" borderId="76" xfId="1" applyNumberFormat="1" applyFont="1" applyFill="1" applyBorder="1">
      <alignment vertical="center"/>
    </xf>
    <xf numFmtId="191" fontId="10" fillId="0" borderId="9" xfId="2" applyNumberFormat="1" applyFont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191" fontId="7" fillId="6" borderId="2" xfId="2" applyNumberFormat="1" applyFont="1" applyFill="1" applyBorder="1" applyAlignment="1">
      <alignment horizontal="center" vertical="center"/>
    </xf>
    <xf numFmtId="191" fontId="7" fillId="6" borderId="39" xfId="2" applyNumberFormat="1" applyFont="1" applyFill="1" applyBorder="1" applyAlignment="1">
      <alignment horizontal="center" vertical="center"/>
    </xf>
    <xf numFmtId="191" fontId="7" fillId="6" borderId="42" xfId="2" applyNumberFormat="1" applyFont="1" applyFill="1" applyBorder="1" applyAlignment="1">
      <alignment horizontal="center" vertical="center"/>
    </xf>
    <xf numFmtId="191" fontId="7" fillId="6" borderId="68" xfId="2" applyNumberFormat="1" applyFont="1" applyFill="1" applyBorder="1" applyAlignment="1">
      <alignment horizontal="center" vertical="center"/>
    </xf>
    <xf numFmtId="191" fontId="7" fillId="6" borderId="41" xfId="2" applyNumberFormat="1" applyFont="1" applyFill="1" applyBorder="1" applyAlignment="1">
      <alignment horizontal="center" vertical="center"/>
    </xf>
    <xf numFmtId="191" fontId="7" fillId="6" borderId="40" xfId="2" applyNumberFormat="1" applyFont="1" applyFill="1" applyBorder="1" applyAlignment="1">
      <alignment horizontal="center" vertical="center"/>
    </xf>
    <xf numFmtId="191" fontId="7" fillId="9" borderId="42" xfId="2" applyNumberFormat="1" applyFont="1" applyFill="1" applyBorder="1" applyAlignment="1">
      <alignment horizontal="center" vertical="center"/>
    </xf>
    <xf numFmtId="191" fontId="7" fillId="6" borderId="5" xfId="2" applyNumberFormat="1" applyFont="1" applyFill="1" applyBorder="1" applyAlignment="1">
      <alignment horizontal="center" vertical="center"/>
    </xf>
    <xf numFmtId="191" fontId="7" fillId="6" borderId="16" xfId="2" applyNumberFormat="1" applyFont="1" applyFill="1" applyBorder="1" applyAlignment="1">
      <alignment horizontal="center" vertical="center"/>
    </xf>
    <xf numFmtId="191" fontId="7" fillId="6" borderId="9" xfId="2" applyNumberFormat="1" applyFont="1" applyFill="1" applyBorder="1" applyAlignment="1">
      <alignment horizontal="center" vertical="center"/>
    </xf>
    <xf numFmtId="191" fontId="17" fillId="6" borderId="1" xfId="1" applyNumberFormat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66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192" fontId="0" fillId="0" borderId="0" xfId="0" applyNumberFormat="1">
      <alignment vertical="center"/>
    </xf>
    <xf numFmtId="191" fontId="7" fillId="3" borderId="88" xfId="2" applyNumberFormat="1" applyFont="1" applyFill="1" applyBorder="1" applyAlignment="1">
      <alignment horizontal="center" vertical="center"/>
    </xf>
    <xf numFmtId="0" fontId="7" fillId="4" borderId="19" xfId="2" applyFont="1" applyFill="1" applyBorder="1" applyAlignment="1">
      <alignment horizontal="center" vertical="center"/>
    </xf>
    <xf numFmtId="14" fontId="7" fillId="4" borderId="19" xfId="2" applyNumberFormat="1" applyFont="1" applyFill="1" applyBorder="1" applyAlignment="1">
      <alignment horizontal="center" vertical="center"/>
    </xf>
    <xf numFmtId="14" fontId="7" fillId="4" borderId="65" xfId="2" applyNumberFormat="1" applyFont="1" applyFill="1" applyBorder="1" applyAlignment="1">
      <alignment horizontal="center" vertical="center"/>
    </xf>
    <xf numFmtId="191" fontId="7" fillId="6" borderId="92" xfId="2" applyNumberFormat="1" applyFont="1" applyFill="1" applyBorder="1" applyAlignment="1">
      <alignment horizontal="center" vertical="center"/>
    </xf>
    <xf numFmtId="0" fontId="6" fillId="2" borderId="60" xfId="2" applyFont="1" applyFill="1" applyBorder="1" applyAlignment="1">
      <alignment horizontal="center" vertical="center" wrapText="1"/>
    </xf>
    <xf numFmtId="0" fontId="6" fillId="2" borderId="61" xfId="2" applyFont="1" applyFill="1" applyBorder="1" applyAlignment="1">
      <alignment horizontal="center" vertical="center" wrapText="1"/>
    </xf>
    <xf numFmtId="0" fontId="6" fillId="2" borderId="60" xfId="2" applyFont="1" applyFill="1" applyBorder="1" applyAlignment="1">
      <alignment horizontal="center" vertical="center"/>
    </xf>
    <xf numFmtId="0" fontId="6" fillId="2" borderId="61" xfId="2" applyFont="1" applyFill="1" applyBorder="1" applyAlignment="1">
      <alignment horizontal="center" vertical="center"/>
    </xf>
    <xf numFmtId="0" fontId="6" fillId="2" borderId="67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6" fillId="2" borderId="91" xfId="2" applyFont="1" applyFill="1" applyBorder="1" applyAlignment="1">
      <alignment horizontal="center" vertical="center"/>
    </xf>
    <xf numFmtId="176" fontId="14" fillId="0" borderId="81" xfId="2" applyNumberFormat="1" applyFont="1" applyBorder="1" applyAlignment="1">
      <alignment horizontal="center" vertical="center" wrapText="1"/>
    </xf>
    <xf numFmtId="176" fontId="14" fillId="0" borderId="80" xfId="2" applyNumberFormat="1" applyFont="1" applyBorder="1" applyAlignment="1">
      <alignment horizontal="center" vertical="center" wrapText="1"/>
    </xf>
    <xf numFmtId="176" fontId="14" fillId="3" borderId="80" xfId="2" applyNumberFormat="1" applyFont="1" applyFill="1" applyBorder="1" applyAlignment="1">
      <alignment horizontal="center" vertical="center" wrapText="1"/>
    </xf>
    <xf numFmtId="176" fontId="14" fillId="3" borderId="83" xfId="2" applyNumberFormat="1" applyFont="1" applyFill="1" applyBorder="1" applyAlignment="1">
      <alignment horizontal="center" vertical="center" wrapText="1"/>
    </xf>
    <xf numFmtId="0" fontId="6" fillId="2" borderId="50" xfId="2" applyFont="1" applyFill="1" applyBorder="1" applyAlignment="1">
      <alignment horizontal="center" vertical="center"/>
    </xf>
    <xf numFmtId="0" fontId="6" fillId="2" borderId="54" xfId="2" applyFont="1" applyFill="1" applyBorder="1" applyAlignment="1">
      <alignment horizontal="center" vertical="center"/>
    </xf>
    <xf numFmtId="0" fontId="6" fillId="2" borderId="55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0" fontId="7" fillId="3" borderId="31" xfId="2" applyFont="1" applyFill="1" applyBorder="1" applyAlignment="1">
      <alignment horizontal="center" vertical="center"/>
    </xf>
    <xf numFmtId="0" fontId="7" fillId="3" borderId="30" xfId="2" applyFont="1" applyFill="1" applyBorder="1" applyAlignment="1">
      <alignment horizontal="center" vertical="center"/>
    </xf>
    <xf numFmtId="0" fontId="7" fillId="3" borderId="26" xfId="2" applyFont="1" applyFill="1" applyBorder="1" applyAlignment="1">
      <alignment horizontal="center" vertical="center"/>
    </xf>
    <xf numFmtId="0" fontId="6" fillId="2" borderId="53" xfId="2" applyFont="1" applyFill="1" applyBorder="1" applyAlignment="1">
      <alignment horizontal="center" vertical="center"/>
    </xf>
    <xf numFmtId="0" fontId="6" fillId="2" borderId="47" xfId="2" applyFont="1" applyFill="1" applyBorder="1" applyAlignment="1">
      <alignment horizontal="center" vertical="center"/>
    </xf>
    <xf numFmtId="0" fontId="6" fillId="2" borderId="57" xfId="2" applyFont="1" applyFill="1" applyBorder="1" applyAlignment="1">
      <alignment horizontal="center" vertical="center"/>
    </xf>
    <xf numFmtId="14" fontId="6" fillId="2" borderId="51" xfId="2" applyNumberFormat="1" applyFont="1" applyFill="1" applyBorder="1" applyAlignment="1">
      <alignment horizontal="center" vertical="center"/>
    </xf>
    <xf numFmtId="14" fontId="6" fillId="2" borderId="37" xfId="2" applyNumberFormat="1" applyFont="1" applyFill="1" applyBorder="1" applyAlignment="1">
      <alignment horizontal="center" vertical="center"/>
    </xf>
    <xf numFmtId="14" fontId="6" fillId="2" borderId="67" xfId="2" applyNumberFormat="1" applyFont="1" applyFill="1" applyBorder="1" applyAlignment="1">
      <alignment horizontal="center" vertical="center"/>
    </xf>
    <xf numFmtId="0" fontId="6" fillId="2" borderId="89" xfId="2" applyFont="1" applyFill="1" applyBorder="1" applyAlignment="1">
      <alignment horizontal="center" vertical="center"/>
    </xf>
    <xf numFmtId="0" fontId="6" fillId="2" borderId="51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85" xfId="2" applyFont="1" applyFill="1" applyBorder="1" applyAlignment="1">
      <alignment horizontal="center" vertical="center"/>
    </xf>
    <xf numFmtId="0" fontId="6" fillId="2" borderId="62" xfId="2" applyFont="1" applyFill="1" applyBorder="1" applyAlignment="1">
      <alignment horizontal="center" vertical="center"/>
    </xf>
    <xf numFmtId="0" fontId="6" fillId="2" borderId="52" xfId="2" applyFont="1" applyFill="1" applyBorder="1" applyAlignment="1">
      <alignment horizontal="center" vertical="center"/>
    </xf>
    <xf numFmtId="14" fontId="6" fillId="2" borderId="56" xfId="2" applyNumberFormat="1" applyFont="1" applyFill="1" applyBorder="1" applyAlignment="1">
      <alignment horizontal="center" vertical="center"/>
    </xf>
    <xf numFmtId="176" fontId="14" fillId="0" borderId="81" xfId="2" applyNumberFormat="1" applyFont="1" applyBorder="1" applyAlignment="1">
      <alignment horizontal="left" vertical="center" wrapText="1"/>
    </xf>
    <xf numFmtId="176" fontId="14" fillId="0" borderId="80" xfId="2" applyNumberFormat="1" applyFont="1" applyBorder="1" applyAlignment="1">
      <alignment horizontal="left" vertical="center" wrapText="1"/>
    </xf>
    <xf numFmtId="176" fontId="14" fillId="3" borderId="80" xfId="2" applyNumberFormat="1" applyFont="1" applyFill="1" applyBorder="1" applyAlignment="1">
      <alignment horizontal="left" vertical="center" wrapText="1"/>
    </xf>
    <xf numFmtId="176" fontId="14" fillId="0" borderId="83" xfId="2" applyNumberFormat="1" applyFont="1" applyBorder="1" applyAlignment="1">
      <alignment horizontal="left" vertical="center" wrapText="1"/>
    </xf>
    <xf numFmtId="0" fontId="6" fillId="2" borderId="56" xfId="2" applyFont="1" applyFill="1" applyBorder="1" applyAlignment="1">
      <alignment horizontal="center" vertical="center"/>
    </xf>
  </cellXfs>
  <cellStyles count="6">
    <cellStyle name="쉼표 [0]" xfId="1" builtinId="6"/>
    <cellStyle name="쉼표 [0] 2" xfId="3"/>
    <cellStyle name="쉼표 [0] 2 2" xfId="5"/>
    <cellStyle name="쉼표 [0] 3" xfId="4"/>
    <cellStyle name="표준" xfId="0" builtinId="0"/>
    <cellStyle name="표준 2" xfId="2"/>
  </cellStyles>
  <dxfs count="0"/>
  <tableStyles count="0" defaultTableStyle="TableStyleMedium2" defaultPivotStyle="PivotStyleLight16"/>
  <colors>
    <mruColors>
      <color rgb="FFFF00FF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9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장영진(전략AX BD팀)" id="{AC2CD93D-B9E2-419A-9DCF-3D2B3F586C78}" userId="S::82243096@ktds.co.kr::31d3b635-8936-42aa-b97c-da12820e5cb7" providerId="AD"/>
  <person displayName="박순영(전략BD팀)" id="{C70DA62C-2F73-439C-9B53-27503E1A7AD3}" userId="S::82292524@ktds.co.kr::8a0f6409-8667-4824-a1d0-68fa4d66a27d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4" dT="2025-01-01T07:44:14.19" personId="{C70DA62C-2F73-439C-9B53-27503E1A7AD3}" id="{87C85122-0094-40BE-B266-2E84153F275A}">
    <text>2026.02.14~18 구정연휴</text>
  </threadedComment>
  <threadedComment ref="L12" dT="2025-02-11T04:42:45.71" personId="{AC2CD93D-B9E2-419A-9DCF-3D2B3F586C78}" id="{CB2E7991-4375-49D9-8892-9C5A6A1D46C0}">
    <text>2/4(화),2/5 (수)</text>
  </threadedComment>
  <threadedComment ref="L13" dT="2025-02-11T04:42:59.42" personId="{AC2CD93D-B9E2-419A-9DCF-3D2B3F586C78}" id="{C83385FB-199A-482B-B7ED-1B78E40A64EB}">
    <text>2/4, 2/5, 2/10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AHV42"/>
  <sheetViews>
    <sheetView showGridLines="0" tabSelected="1" topLeftCell="B1" zoomScale="80" zoomScaleNormal="80" workbookViewId="0">
      <pane xSplit="9" topLeftCell="K1" activePane="topRight" state="frozen"/>
      <selection activeCell="B1" sqref="B1"/>
      <selection pane="topRight" activeCell="AL44" sqref="AL44"/>
    </sheetView>
  </sheetViews>
  <sheetFormatPr defaultRowHeight="17.399999999999999" outlineLevelCol="1" x14ac:dyDescent="0.4"/>
  <cols>
    <col min="1" max="1" width="3.19921875" customWidth="1"/>
    <col min="2" max="2" width="14" customWidth="1"/>
    <col min="3" max="3" width="51.09765625" customWidth="1"/>
    <col min="4" max="5" width="9" customWidth="1"/>
    <col min="6" max="6" width="14.5" customWidth="1"/>
    <col min="7" max="7" width="12.8984375" customWidth="1"/>
    <col min="8" max="8" width="29" customWidth="1"/>
    <col min="9" max="9" width="12.8984375" style="53" customWidth="1"/>
    <col min="10" max="10" width="13.5" style="53" customWidth="1"/>
    <col min="11" max="11" width="10" style="6" hidden="1" customWidth="1"/>
    <col min="12" max="12" width="11.19921875" style="6" hidden="1" customWidth="1"/>
    <col min="13" max="15" width="9.59765625" style="6" hidden="1" customWidth="1"/>
    <col min="16" max="16" width="10.09765625" style="6" hidden="1" customWidth="1"/>
    <col min="17" max="17" width="9.3984375" style="6" hidden="1" customWidth="1"/>
    <col min="18" max="19" width="9.59765625" style="6" hidden="1" customWidth="1"/>
    <col min="20" max="20" width="9.59765625" style="6" hidden="1" customWidth="1" outlineLevel="1"/>
    <col min="21" max="21" width="9.19921875" style="6" hidden="1" customWidth="1" outlineLevel="1"/>
    <col min="22" max="22" width="6.59765625" style="6" hidden="1" customWidth="1" outlineLevel="1"/>
    <col min="23" max="26" width="8.69921875" style="6" hidden="1" customWidth="1" outlineLevel="1"/>
    <col min="27" max="27" width="8.19921875" style="6" hidden="1" customWidth="1" outlineLevel="1"/>
    <col min="28" max="28" width="8.69921875" style="6" hidden="1" customWidth="1" outlineLevel="1"/>
    <col min="29" max="29" width="9.69921875" style="6" hidden="1" customWidth="1" outlineLevel="1"/>
    <col min="30" max="30" width="9.19921875" style="6" hidden="1" customWidth="1" outlineLevel="1"/>
    <col min="31" max="31" width="9.69921875" style="6" hidden="1" customWidth="1" outlineLevel="1"/>
    <col min="32" max="32" width="9.19921875" style="6" customWidth="1" outlineLevel="1"/>
    <col min="33" max="33" width="9.69921875" style="6" bestFit="1" customWidth="1" outlineLevel="1"/>
    <col min="34" max="34" width="8.69921875" style="6" customWidth="1" outlineLevel="1"/>
    <col min="35" max="35" width="1.69921875" style="6" customWidth="1" outlineLevel="1"/>
    <col min="36" max="36" width="8.69921875" style="6" customWidth="1" outlineLevel="1"/>
    <col min="37" max="37" width="1.19921875" style="6" customWidth="1" outlineLevel="1"/>
    <col min="38" max="38" width="8.69921875" style="6" customWidth="1" outlineLevel="1"/>
    <col min="39" max="39" width="1.19921875" style="6" customWidth="1" outlineLevel="1"/>
    <col min="40" max="40" width="8.69921875" style="6" customWidth="1" outlineLevel="1"/>
    <col min="41" max="41" width="2.09765625" style="6" customWidth="1" outlineLevel="1"/>
    <col min="42" max="42" width="10.59765625" bestFit="1" customWidth="1"/>
    <col min="43" max="44" width="10.59765625" customWidth="1"/>
    <col min="45" max="45" width="14.69921875" style="6" customWidth="1"/>
  </cols>
  <sheetData>
    <row r="1" spans="2:45" ht="22.95" customHeight="1" thickBot="1" x14ac:dyDescent="0.5">
      <c r="F1" s="2"/>
      <c r="G1" s="2"/>
      <c r="H1" s="2"/>
      <c r="I1" s="42"/>
      <c r="J1" s="42"/>
      <c r="L1" s="34" t="s">
        <v>69</v>
      </c>
      <c r="M1" s="21">
        <v>1</v>
      </c>
      <c r="N1" s="6">
        <v>1</v>
      </c>
      <c r="O1" s="20">
        <v>1</v>
      </c>
      <c r="P1" s="6">
        <v>1</v>
      </c>
      <c r="Q1" s="20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57">
        <f>(1/31)*31</f>
        <v>1</v>
      </c>
      <c r="X1" s="6">
        <v>1</v>
      </c>
      <c r="Y1" s="57">
        <v>1</v>
      </c>
      <c r="Z1" s="6">
        <v>1</v>
      </c>
      <c r="AA1" s="184">
        <f>((1/22)*22)</f>
        <v>1</v>
      </c>
      <c r="AB1" s="6">
        <v>1</v>
      </c>
      <c r="AC1" s="184">
        <f>((1/18)*18)</f>
        <v>1</v>
      </c>
      <c r="AD1" s="6">
        <v>1</v>
      </c>
      <c r="AE1" s="6">
        <f>((1/20)*20)</f>
        <v>1</v>
      </c>
      <c r="AF1" s="6">
        <v>1</v>
      </c>
      <c r="AG1" s="57">
        <f>((1/22)*17)</f>
        <v>0.77272727272727271</v>
      </c>
    </row>
    <row r="2" spans="2:45" ht="17.399999999999999" hidden="1" customHeight="1" thickBot="1" x14ac:dyDescent="0.45">
      <c r="B2" s="201" t="s">
        <v>42</v>
      </c>
      <c r="C2" s="215" t="s">
        <v>5</v>
      </c>
      <c r="D2" s="215" t="s">
        <v>12</v>
      </c>
      <c r="E2" s="163"/>
      <c r="F2" s="165" t="s">
        <v>40</v>
      </c>
      <c r="G2" s="215" t="s">
        <v>45</v>
      </c>
      <c r="H2" s="219" t="s">
        <v>68</v>
      </c>
      <c r="I2" s="211" t="s">
        <v>48</v>
      </c>
      <c r="J2" s="211" t="s">
        <v>63</v>
      </c>
      <c r="K2" s="32" t="s">
        <v>43</v>
      </c>
      <c r="L2" s="192" t="s">
        <v>0</v>
      </c>
      <c r="M2" s="193"/>
      <c r="N2" s="192" t="s">
        <v>1</v>
      </c>
      <c r="O2" s="193"/>
      <c r="P2" s="192" t="s">
        <v>2</v>
      </c>
      <c r="Q2" s="193"/>
      <c r="R2" s="192" t="s">
        <v>3</v>
      </c>
      <c r="S2" s="193"/>
      <c r="T2" s="190" t="s">
        <v>6</v>
      </c>
      <c r="U2" s="191"/>
      <c r="V2" s="190" t="s">
        <v>7</v>
      </c>
      <c r="W2" s="191"/>
      <c r="X2" s="190" t="s">
        <v>8</v>
      </c>
      <c r="Y2" s="191"/>
      <c r="Z2" s="190" t="s">
        <v>9</v>
      </c>
      <c r="AA2" s="191"/>
      <c r="AB2" s="190" t="s">
        <v>10</v>
      </c>
      <c r="AC2" s="191"/>
      <c r="AD2" s="190" t="s">
        <v>11</v>
      </c>
      <c r="AE2" s="191"/>
      <c r="AF2" s="190" t="s">
        <v>14</v>
      </c>
      <c r="AG2" s="191"/>
      <c r="AH2" s="192" t="s">
        <v>15</v>
      </c>
      <c r="AI2" s="193"/>
      <c r="AJ2" s="190" t="s">
        <v>20</v>
      </c>
      <c r="AK2" s="191"/>
      <c r="AL2" s="190" t="s">
        <v>21</v>
      </c>
      <c r="AM2" s="191"/>
      <c r="AN2" s="190" t="s">
        <v>22</v>
      </c>
      <c r="AO2" s="191"/>
      <c r="AP2" s="215" t="s">
        <v>4</v>
      </c>
      <c r="AQ2" s="215"/>
      <c r="AR2" s="215"/>
      <c r="AS2" s="208" t="s">
        <v>109</v>
      </c>
    </row>
    <row r="3" spans="2:45" ht="17.399999999999999" customHeight="1" thickBot="1" x14ac:dyDescent="0.45">
      <c r="B3" s="202"/>
      <c r="C3" s="216"/>
      <c r="D3" s="216"/>
      <c r="E3" s="194" t="s">
        <v>102</v>
      </c>
      <c r="F3" s="195" t="s">
        <v>108</v>
      </c>
      <c r="G3" s="216"/>
      <c r="H3" s="195"/>
      <c r="I3" s="212"/>
      <c r="J3" s="212" t="s">
        <v>49</v>
      </c>
      <c r="K3" s="217" t="s">
        <v>78</v>
      </c>
      <c r="L3" s="214"/>
      <c r="M3" s="214"/>
      <c r="N3" s="214"/>
      <c r="O3" s="214"/>
      <c r="P3" s="214"/>
      <c r="Q3" s="214"/>
      <c r="R3" s="214"/>
      <c r="S3" s="214"/>
      <c r="T3" s="218" t="s">
        <v>28</v>
      </c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 t="s">
        <v>29</v>
      </c>
      <c r="AG3" s="216"/>
      <c r="AH3" s="216"/>
      <c r="AI3" s="216"/>
      <c r="AJ3" s="216"/>
      <c r="AK3" s="216"/>
      <c r="AL3" s="216" t="s">
        <v>41</v>
      </c>
      <c r="AM3" s="216"/>
      <c r="AN3" s="216"/>
      <c r="AO3" s="216"/>
      <c r="AP3" s="216"/>
      <c r="AQ3" s="216"/>
      <c r="AR3" s="216"/>
      <c r="AS3" s="209"/>
    </row>
    <row r="4" spans="2:45" ht="17.399999999999999" customHeight="1" thickBot="1" x14ac:dyDescent="0.45">
      <c r="B4" s="202"/>
      <c r="C4" s="216"/>
      <c r="D4" s="216"/>
      <c r="E4" s="195"/>
      <c r="F4" s="195"/>
      <c r="G4" s="216"/>
      <c r="H4" s="195"/>
      <c r="I4" s="212"/>
      <c r="J4" s="212"/>
      <c r="K4" s="69"/>
      <c r="L4" s="214" t="s">
        <v>25</v>
      </c>
      <c r="M4" s="214"/>
      <c r="N4" s="214" t="s">
        <v>30</v>
      </c>
      <c r="O4" s="214"/>
      <c r="P4" s="214" t="s">
        <v>31</v>
      </c>
      <c r="Q4" s="214"/>
      <c r="R4" s="214" t="s">
        <v>32</v>
      </c>
      <c r="S4" s="214"/>
      <c r="T4" s="218" t="s">
        <v>33</v>
      </c>
      <c r="U4" s="216"/>
      <c r="V4" s="216" t="s">
        <v>34</v>
      </c>
      <c r="W4" s="216"/>
      <c r="X4" s="216" t="s">
        <v>35</v>
      </c>
      <c r="Y4" s="216"/>
      <c r="Z4" s="216" t="s">
        <v>36</v>
      </c>
      <c r="AA4" s="216"/>
      <c r="AB4" s="216" t="s">
        <v>37</v>
      </c>
      <c r="AC4" s="216"/>
      <c r="AD4" s="216" t="s">
        <v>38</v>
      </c>
      <c r="AE4" s="217"/>
      <c r="AF4" s="218" t="s">
        <v>23</v>
      </c>
      <c r="AG4" s="216"/>
      <c r="AH4" s="216" t="s">
        <v>24</v>
      </c>
      <c r="AI4" s="216"/>
      <c r="AJ4" s="216" t="s">
        <v>25</v>
      </c>
      <c r="AK4" s="217"/>
      <c r="AL4" s="218" t="s">
        <v>26</v>
      </c>
      <c r="AM4" s="216"/>
      <c r="AN4" s="216" t="s">
        <v>27</v>
      </c>
      <c r="AO4" s="216"/>
      <c r="AP4" s="216"/>
      <c r="AQ4" s="216"/>
      <c r="AR4" s="216"/>
      <c r="AS4" s="209"/>
    </row>
    <row r="5" spans="2:45" ht="18" customHeight="1" thickBot="1" x14ac:dyDescent="0.45">
      <c r="B5" s="203"/>
      <c r="C5" s="225"/>
      <c r="D5" s="225"/>
      <c r="E5" s="196"/>
      <c r="F5" s="196"/>
      <c r="G5" s="225"/>
      <c r="H5" s="195"/>
      <c r="I5" s="220"/>
      <c r="J5" s="213"/>
      <c r="K5" s="68" t="s">
        <v>24</v>
      </c>
      <c r="L5" s="70" t="s">
        <v>44</v>
      </c>
      <c r="M5" s="70" t="s">
        <v>66</v>
      </c>
      <c r="N5" s="70" t="s">
        <v>44</v>
      </c>
      <c r="O5" s="70" t="s">
        <v>66</v>
      </c>
      <c r="P5" s="70" t="s">
        <v>44</v>
      </c>
      <c r="Q5" s="70" t="s">
        <v>66</v>
      </c>
      <c r="R5" s="70" t="s">
        <v>44</v>
      </c>
      <c r="S5" s="70" t="s">
        <v>66</v>
      </c>
      <c r="T5" s="67" t="s">
        <v>44</v>
      </c>
      <c r="U5" s="33" t="s">
        <v>66</v>
      </c>
      <c r="V5" s="33" t="s">
        <v>44</v>
      </c>
      <c r="W5" s="33" t="s">
        <v>66</v>
      </c>
      <c r="X5" s="33" t="s">
        <v>44</v>
      </c>
      <c r="Y5" s="33" t="s">
        <v>66</v>
      </c>
      <c r="Z5" s="33" t="s">
        <v>44</v>
      </c>
      <c r="AA5" s="33" t="s">
        <v>66</v>
      </c>
      <c r="AB5" s="33" t="s">
        <v>44</v>
      </c>
      <c r="AC5" s="33" t="s">
        <v>66</v>
      </c>
      <c r="AD5" s="63" t="s">
        <v>44</v>
      </c>
      <c r="AE5" s="68" t="s">
        <v>66</v>
      </c>
      <c r="AF5" s="67" t="s">
        <v>44</v>
      </c>
      <c r="AG5" s="33" t="s">
        <v>66</v>
      </c>
      <c r="AH5" s="33" t="s">
        <v>44</v>
      </c>
      <c r="AI5" s="33" t="s">
        <v>66</v>
      </c>
      <c r="AJ5" s="63" t="s">
        <v>44</v>
      </c>
      <c r="AK5" s="68" t="s">
        <v>66</v>
      </c>
      <c r="AL5" s="67" t="s">
        <v>44</v>
      </c>
      <c r="AM5" s="33" t="s">
        <v>66</v>
      </c>
      <c r="AN5" s="33" t="s">
        <v>44</v>
      </c>
      <c r="AO5" s="33" t="s">
        <v>66</v>
      </c>
      <c r="AP5" s="10" t="s">
        <v>44</v>
      </c>
      <c r="AQ5" s="10" t="s">
        <v>66</v>
      </c>
      <c r="AR5" s="10" t="s">
        <v>65</v>
      </c>
      <c r="AS5" s="210"/>
    </row>
    <row r="6" spans="2:45" s="3" customFormat="1" ht="16.95" customHeight="1" x14ac:dyDescent="0.4">
      <c r="B6" s="205" t="s">
        <v>17</v>
      </c>
      <c r="C6" s="65" t="s">
        <v>67</v>
      </c>
      <c r="D6" s="181" t="s">
        <v>13</v>
      </c>
      <c r="E6" s="182" t="s">
        <v>98</v>
      </c>
      <c r="F6" s="183" t="s">
        <v>39</v>
      </c>
      <c r="G6" s="71" t="s">
        <v>47</v>
      </c>
      <c r="H6" s="71" t="s">
        <v>77</v>
      </c>
      <c r="I6" s="49">
        <v>45691</v>
      </c>
      <c r="J6" s="72">
        <v>45831</v>
      </c>
      <c r="K6" s="107"/>
      <c r="L6" s="108">
        <v>1</v>
      </c>
      <c r="M6" s="97">
        <f t="shared" ref="M6:M10" si="0">L6*$M$1</f>
        <v>1</v>
      </c>
      <c r="N6" s="108">
        <v>1</v>
      </c>
      <c r="O6" s="97">
        <f t="shared" ref="O6:O13" si="1">N6*O$1</f>
        <v>1</v>
      </c>
      <c r="P6" s="108">
        <v>1</v>
      </c>
      <c r="Q6" s="97">
        <f t="shared" ref="Q6:Q16" si="2">$Q$1*P6</f>
        <v>1</v>
      </c>
      <c r="R6" s="109">
        <v>1</v>
      </c>
      <c r="S6" s="97">
        <f t="shared" ref="S6:S30" si="3">$R$1*R6</f>
        <v>1</v>
      </c>
      <c r="T6" s="110">
        <v>0.75</v>
      </c>
      <c r="U6" s="76">
        <v>0.75</v>
      </c>
      <c r="V6" s="113"/>
      <c r="W6" s="76"/>
      <c r="X6" s="113"/>
      <c r="Y6" s="113"/>
      <c r="Z6" s="113"/>
      <c r="AA6" s="113"/>
      <c r="AB6" s="113"/>
      <c r="AC6" s="113"/>
      <c r="AD6" s="113"/>
      <c r="AE6" s="129"/>
      <c r="AF6" s="114"/>
      <c r="AG6" s="114"/>
      <c r="AH6" s="112"/>
      <c r="AI6" s="115"/>
      <c r="AJ6" s="115"/>
      <c r="AK6" s="112"/>
      <c r="AL6" s="114"/>
      <c r="AM6" s="112"/>
      <c r="AN6" s="112"/>
      <c r="AO6" s="125"/>
      <c r="AP6" s="101">
        <f t="shared" ref="AP6:AP30" si="4">+L6+N6+P6+R6+T6+V6+X6+Z6+AB6+AD6+AF6+AH6+AJ6+AL6+AN6</f>
        <v>4.75</v>
      </c>
      <c r="AQ6" s="79">
        <f t="shared" ref="AQ6:AQ30" si="5">+M6+O6+Q6+S6+U6+W6+Y6+AA6+AC6+AE6+AG6+AI6+AK6+AM6+AO6</f>
        <v>4.75</v>
      </c>
      <c r="AR6" s="80">
        <f t="shared" ref="AR6:AR30" si="6">AP6-AQ6</f>
        <v>0</v>
      </c>
      <c r="AS6" s="8"/>
    </row>
    <row r="7" spans="2:45" s="3" customFormat="1" ht="16.95" customHeight="1" x14ac:dyDescent="0.4">
      <c r="B7" s="206"/>
      <c r="C7" s="64" t="s">
        <v>85</v>
      </c>
      <c r="D7" s="24" t="s">
        <v>13</v>
      </c>
      <c r="E7" s="164" t="s">
        <v>98</v>
      </c>
      <c r="F7" s="40" t="s">
        <v>39</v>
      </c>
      <c r="G7" s="26" t="s">
        <v>86</v>
      </c>
      <c r="H7" s="26" t="s">
        <v>64</v>
      </c>
      <c r="I7" s="58">
        <v>45824</v>
      </c>
      <c r="J7" s="59">
        <v>46127</v>
      </c>
      <c r="K7" s="73"/>
      <c r="L7" s="102"/>
      <c r="M7" s="74"/>
      <c r="N7" s="102"/>
      <c r="O7" s="74"/>
      <c r="P7" s="102"/>
      <c r="Q7" s="74"/>
      <c r="R7" s="112"/>
      <c r="S7" s="74"/>
      <c r="T7" s="95"/>
      <c r="U7" s="99"/>
      <c r="V7" s="116"/>
      <c r="W7" s="96"/>
      <c r="X7" s="116"/>
      <c r="Y7" s="96"/>
      <c r="Z7" s="116"/>
      <c r="AA7" s="96"/>
      <c r="AB7" s="116"/>
      <c r="AC7" s="96"/>
      <c r="AD7" s="116"/>
      <c r="AE7" s="130"/>
      <c r="AF7" s="95"/>
      <c r="AG7" s="96"/>
      <c r="AH7" s="116"/>
      <c r="AI7" s="96"/>
      <c r="AJ7" s="116"/>
      <c r="AK7" s="117"/>
      <c r="AL7" s="95"/>
      <c r="AM7" s="116"/>
      <c r="AN7" s="95"/>
      <c r="AO7" s="131"/>
      <c r="AP7" s="101">
        <f t="shared" ref="AP7" si="7">+L7+N7+P7+R7+T7+V7+X7+Z7+AB7+AD7+AF7+AH7+AJ7+AL7+AN7</f>
        <v>0</v>
      </c>
      <c r="AQ7" s="79">
        <f t="shared" ref="AQ7" si="8">+M7+O7+Q7+S7+U7+W7+Y7+AA7+AC7+AE7+AG7+AI7+AK7+AM7+AO7</f>
        <v>0</v>
      </c>
      <c r="AR7" s="80">
        <f t="shared" ref="AR7" si="9">AP7-AQ7</f>
        <v>0</v>
      </c>
      <c r="AS7" s="8"/>
    </row>
    <row r="8" spans="2:45" s="3" customFormat="1" ht="16.95" customHeight="1" thickBot="1" x14ac:dyDescent="0.45">
      <c r="B8" s="206"/>
      <c r="C8" s="66" t="s">
        <v>50</v>
      </c>
      <c r="D8" s="169" t="s">
        <v>16</v>
      </c>
      <c r="E8" s="30" t="s">
        <v>98</v>
      </c>
      <c r="F8" s="23" t="s">
        <v>39</v>
      </c>
      <c r="G8" s="27" t="s">
        <v>51</v>
      </c>
      <c r="H8" s="27"/>
      <c r="I8" s="51">
        <v>45705</v>
      </c>
      <c r="J8" s="52">
        <v>46127</v>
      </c>
      <c r="K8" s="150"/>
      <c r="L8" s="168">
        <v>0.5</v>
      </c>
      <c r="M8" s="104">
        <f t="shared" si="0"/>
        <v>0.5</v>
      </c>
      <c r="N8" s="103">
        <v>1</v>
      </c>
      <c r="O8" s="104">
        <f t="shared" si="1"/>
        <v>1</v>
      </c>
      <c r="P8" s="103">
        <v>1</v>
      </c>
      <c r="Q8" s="104">
        <f t="shared" si="2"/>
        <v>1</v>
      </c>
      <c r="R8" s="118">
        <v>1</v>
      </c>
      <c r="S8" s="104">
        <f t="shared" si="3"/>
        <v>1</v>
      </c>
      <c r="T8" s="119">
        <v>1</v>
      </c>
      <c r="U8" s="105">
        <f t="shared" ref="U8:U16" si="10">$U$1*T8</f>
        <v>1</v>
      </c>
      <c r="V8" s="120">
        <v>1</v>
      </c>
      <c r="W8" s="105">
        <f>$W$1*V8</f>
        <v>1</v>
      </c>
      <c r="X8" s="120">
        <v>1</v>
      </c>
      <c r="Y8" s="105">
        <f t="shared" ref="Y8:Y23" si="11">$Y$1*X8</f>
        <v>1</v>
      </c>
      <c r="Z8" s="120">
        <v>1</v>
      </c>
      <c r="AA8" s="105">
        <f>$Z$1*$AA$1</f>
        <v>1</v>
      </c>
      <c r="AB8" s="120">
        <v>1</v>
      </c>
      <c r="AC8" s="120">
        <f>$AB$1*$AC$1</f>
        <v>1</v>
      </c>
      <c r="AD8" s="120">
        <v>1</v>
      </c>
      <c r="AE8" s="185">
        <f>$AD$1*$AE$1</f>
        <v>1</v>
      </c>
      <c r="AF8" s="126">
        <v>1</v>
      </c>
      <c r="AG8" s="104">
        <f>$AF$1*$AG$1</f>
        <v>0.77272727272727271</v>
      </c>
      <c r="AH8" s="118">
        <v>1</v>
      </c>
      <c r="AI8" s="127"/>
      <c r="AJ8" s="127">
        <v>1</v>
      </c>
      <c r="AK8" s="118"/>
      <c r="AL8" s="126">
        <v>1</v>
      </c>
      <c r="AM8" s="118"/>
      <c r="AN8" s="118">
        <v>0.5</v>
      </c>
      <c r="AO8" s="128"/>
      <c r="AP8" s="161">
        <f t="shared" si="4"/>
        <v>14</v>
      </c>
      <c r="AQ8" s="121">
        <f t="shared" si="5"/>
        <v>10.272727272727273</v>
      </c>
      <c r="AR8" s="122">
        <f t="shared" si="6"/>
        <v>3.7272727272727266</v>
      </c>
      <c r="AS8" s="37"/>
    </row>
    <row r="9" spans="2:45" s="3" customFormat="1" ht="16.95" customHeight="1" x14ac:dyDescent="0.4">
      <c r="B9" s="206"/>
      <c r="C9" s="221" t="s">
        <v>70</v>
      </c>
      <c r="D9" s="181" t="s">
        <v>16</v>
      </c>
      <c r="E9" s="29" t="s">
        <v>96</v>
      </c>
      <c r="F9" s="28" t="s">
        <v>39</v>
      </c>
      <c r="G9" s="158" t="s">
        <v>52</v>
      </c>
      <c r="H9" s="39" t="s">
        <v>77</v>
      </c>
      <c r="I9" s="56">
        <v>45691</v>
      </c>
      <c r="J9" s="159">
        <v>45898</v>
      </c>
      <c r="K9" s="73"/>
      <c r="L9" s="102">
        <v>1</v>
      </c>
      <c r="M9" s="74">
        <f t="shared" si="0"/>
        <v>1</v>
      </c>
      <c r="N9" s="102">
        <v>1</v>
      </c>
      <c r="O9" s="74">
        <f t="shared" si="1"/>
        <v>1</v>
      </c>
      <c r="P9" s="102">
        <v>1</v>
      </c>
      <c r="Q9" s="74">
        <f t="shared" si="2"/>
        <v>1</v>
      </c>
      <c r="R9" s="112">
        <v>1</v>
      </c>
      <c r="S9" s="74">
        <f t="shared" si="3"/>
        <v>1</v>
      </c>
      <c r="T9" s="133">
        <v>1</v>
      </c>
      <c r="U9" s="76">
        <f t="shared" si="10"/>
        <v>1</v>
      </c>
      <c r="V9" s="113">
        <v>1</v>
      </c>
      <c r="W9" s="76">
        <f t="shared" ref="W9:W16" si="12">$W$1*V9</f>
        <v>1</v>
      </c>
      <c r="X9" s="113">
        <v>0.75</v>
      </c>
      <c r="Y9" s="160">
        <f>$Y$1*$X$1</f>
        <v>1</v>
      </c>
      <c r="Z9" s="113"/>
      <c r="AA9" s="113"/>
      <c r="AB9" s="113"/>
      <c r="AC9" s="113"/>
      <c r="AD9" s="113"/>
      <c r="AE9" s="129"/>
      <c r="AF9" s="114"/>
      <c r="AG9" s="114"/>
      <c r="AH9" s="112"/>
      <c r="AI9" s="115"/>
      <c r="AJ9" s="115"/>
      <c r="AK9" s="112"/>
      <c r="AL9" s="114"/>
      <c r="AM9" s="112"/>
      <c r="AN9" s="112"/>
      <c r="AO9" s="125"/>
      <c r="AP9" s="101">
        <f t="shared" si="4"/>
        <v>6.75</v>
      </c>
      <c r="AQ9" s="79">
        <f t="shared" si="5"/>
        <v>7</v>
      </c>
      <c r="AR9" s="80">
        <f t="shared" si="6"/>
        <v>-0.25</v>
      </c>
      <c r="AS9" s="8"/>
    </row>
    <row r="10" spans="2:45" s="3" customFormat="1" ht="16.95" customHeight="1" thickBot="1" x14ac:dyDescent="0.45">
      <c r="B10" s="207"/>
      <c r="C10" s="222"/>
      <c r="D10" s="24" t="s">
        <v>16</v>
      </c>
      <c r="E10" s="164" t="s">
        <v>79</v>
      </c>
      <c r="F10" s="40" t="s">
        <v>39</v>
      </c>
      <c r="G10" s="39" t="s">
        <v>53</v>
      </c>
      <c r="H10" s="39" t="s">
        <v>113</v>
      </c>
      <c r="I10" s="45">
        <v>45691</v>
      </c>
      <c r="J10" s="44">
        <v>46022</v>
      </c>
      <c r="K10" s="81"/>
      <c r="L10" s="89">
        <v>1</v>
      </c>
      <c r="M10" s="75">
        <f t="shared" si="0"/>
        <v>1</v>
      </c>
      <c r="N10" s="89">
        <v>1</v>
      </c>
      <c r="O10" s="74">
        <f t="shared" si="1"/>
        <v>1</v>
      </c>
      <c r="P10" s="89">
        <v>1</v>
      </c>
      <c r="Q10" s="75">
        <f t="shared" si="2"/>
        <v>1</v>
      </c>
      <c r="R10" s="86">
        <v>1</v>
      </c>
      <c r="S10" s="74">
        <f t="shared" si="3"/>
        <v>1</v>
      </c>
      <c r="T10" s="91">
        <v>1</v>
      </c>
      <c r="U10" s="76">
        <f t="shared" si="10"/>
        <v>1</v>
      </c>
      <c r="V10" s="84">
        <v>1</v>
      </c>
      <c r="W10" s="76">
        <f t="shared" si="12"/>
        <v>1</v>
      </c>
      <c r="X10" s="84">
        <v>1</v>
      </c>
      <c r="Y10" s="76">
        <f t="shared" si="11"/>
        <v>1</v>
      </c>
      <c r="Z10" s="84">
        <v>1</v>
      </c>
      <c r="AA10" s="76">
        <f t="shared" ref="AA10:AA12" si="13">$Z$1*$AA$1</f>
        <v>1</v>
      </c>
      <c r="AB10" s="84">
        <v>1</v>
      </c>
      <c r="AC10" s="84">
        <f>$AB$1*$AC$1</f>
        <v>1</v>
      </c>
      <c r="AD10" s="84">
        <v>1</v>
      </c>
      <c r="AE10" s="77">
        <f>$AD$1*$AE$1</f>
        <v>1</v>
      </c>
      <c r="AF10" s="90">
        <v>0</v>
      </c>
      <c r="AG10" s="90">
        <f>$AF$1*$AG$1</f>
        <v>0.77272727272727271</v>
      </c>
      <c r="AH10" s="86"/>
      <c r="AI10" s="87"/>
      <c r="AJ10" s="134"/>
      <c r="AK10" s="135"/>
      <c r="AL10" s="85"/>
      <c r="AM10" s="86"/>
      <c r="AN10" s="86"/>
      <c r="AO10" s="98"/>
      <c r="AP10" s="162">
        <f t="shared" si="4"/>
        <v>10</v>
      </c>
      <c r="AQ10" s="136">
        <f t="shared" si="5"/>
        <v>10.772727272727273</v>
      </c>
      <c r="AR10" s="137">
        <f t="shared" si="6"/>
        <v>-0.77272727272727337</v>
      </c>
      <c r="AS10" s="7"/>
    </row>
    <row r="11" spans="2:45" s="3" customFormat="1" ht="16.95" customHeight="1" thickBot="1" x14ac:dyDescent="0.45">
      <c r="B11" s="204"/>
      <c r="C11" s="222"/>
      <c r="D11" s="24" t="s">
        <v>18</v>
      </c>
      <c r="E11" s="164" t="s">
        <v>101</v>
      </c>
      <c r="F11" s="40" t="s">
        <v>39</v>
      </c>
      <c r="G11" s="22" t="s">
        <v>74</v>
      </c>
      <c r="H11" s="22"/>
      <c r="I11" s="46">
        <v>45733</v>
      </c>
      <c r="J11" s="47">
        <v>46112</v>
      </c>
      <c r="K11" s="81"/>
      <c r="L11" s="132"/>
      <c r="M11" s="132"/>
      <c r="N11" s="132">
        <v>0.5</v>
      </c>
      <c r="O11" s="74">
        <f t="shared" si="1"/>
        <v>0.5</v>
      </c>
      <c r="P11" s="89">
        <v>1</v>
      </c>
      <c r="Q11" s="75">
        <f t="shared" si="2"/>
        <v>1</v>
      </c>
      <c r="R11" s="86">
        <v>1</v>
      </c>
      <c r="S11" s="74">
        <f t="shared" si="3"/>
        <v>1</v>
      </c>
      <c r="T11" s="91">
        <v>1</v>
      </c>
      <c r="U11" s="76">
        <f t="shared" si="10"/>
        <v>1</v>
      </c>
      <c r="V11" s="84">
        <v>1</v>
      </c>
      <c r="W11" s="76">
        <f t="shared" si="12"/>
        <v>1</v>
      </c>
      <c r="X11" s="84">
        <v>1</v>
      </c>
      <c r="Y11" s="76">
        <f t="shared" si="11"/>
        <v>1</v>
      </c>
      <c r="Z11" s="84">
        <v>1</v>
      </c>
      <c r="AA11" s="76">
        <f t="shared" si="13"/>
        <v>1</v>
      </c>
      <c r="AB11" s="84">
        <v>1</v>
      </c>
      <c r="AC11" s="84">
        <f>$AB$1*$AC$1</f>
        <v>1</v>
      </c>
      <c r="AD11" s="84">
        <v>1</v>
      </c>
      <c r="AE11" s="77">
        <f>$AD$1*$AE$1</f>
        <v>1</v>
      </c>
      <c r="AF11" s="85">
        <v>1</v>
      </c>
      <c r="AG11" s="77">
        <f>$AF$1*$AG$1</f>
        <v>0.77272727272727271</v>
      </c>
      <c r="AH11" s="86">
        <v>1</v>
      </c>
      <c r="AI11" s="87"/>
      <c r="AJ11" s="87">
        <v>1</v>
      </c>
      <c r="AK11" s="86"/>
      <c r="AL11" s="85">
        <v>1</v>
      </c>
      <c r="AM11" s="86"/>
      <c r="AN11" s="86"/>
      <c r="AO11" s="98"/>
      <c r="AP11" s="162">
        <f t="shared" si="4"/>
        <v>12.5</v>
      </c>
      <c r="AQ11" s="136">
        <f t="shared" si="5"/>
        <v>9.2727272727272734</v>
      </c>
      <c r="AR11" s="137">
        <f t="shared" si="6"/>
        <v>3.2272727272727266</v>
      </c>
      <c r="AS11" s="9"/>
    </row>
    <row r="12" spans="2:45" s="3" customFormat="1" ht="16.95" customHeight="1" x14ac:dyDescent="0.4">
      <c r="B12" s="205"/>
      <c r="C12" s="222"/>
      <c r="D12" s="24" t="s">
        <v>18</v>
      </c>
      <c r="E12" s="164" t="s">
        <v>95</v>
      </c>
      <c r="F12" s="40" t="s">
        <v>39</v>
      </c>
      <c r="G12" s="39" t="s">
        <v>54</v>
      </c>
      <c r="H12" s="41" t="s">
        <v>77</v>
      </c>
      <c r="I12" s="45">
        <v>45691</v>
      </c>
      <c r="J12" s="44">
        <v>45961</v>
      </c>
      <c r="K12" s="81"/>
      <c r="L12" s="89">
        <v>1</v>
      </c>
      <c r="M12" s="75">
        <f t="shared" ref="M12" si="14">L12*$M$1</f>
        <v>1</v>
      </c>
      <c r="N12" s="89">
        <v>1</v>
      </c>
      <c r="O12" s="74">
        <f t="shared" si="1"/>
        <v>1</v>
      </c>
      <c r="P12" s="89">
        <v>1</v>
      </c>
      <c r="Q12" s="75">
        <f t="shared" si="2"/>
        <v>1</v>
      </c>
      <c r="R12" s="86">
        <v>1</v>
      </c>
      <c r="S12" s="74">
        <f t="shared" si="3"/>
        <v>1</v>
      </c>
      <c r="T12" s="91">
        <v>1</v>
      </c>
      <c r="U12" s="76">
        <f t="shared" si="10"/>
        <v>1</v>
      </c>
      <c r="V12" s="84">
        <v>1</v>
      </c>
      <c r="W12" s="76">
        <f t="shared" si="12"/>
        <v>1</v>
      </c>
      <c r="X12" s="84">
        <v>1</v>
      </c>
      <c r="Y12" s="76">
        <f t="shared" si="11"/>
        <v>1</v>
      </c>
      <c r="Z12" s="84">
        <v>1</v>
      </c>
      <c r="AA12" s="76">
        <f t="shared" si="13"/>
        <v>1</v>
      </c>
      <c r="AB12" s="84">
        <v>1</v>
      </c>
      <c r="AC12" s="84">
        <f>$AB$1*$AC$1</f>
        <v>1</v>
      </c>
      <c r="AD12" s="84"/>
      <c r="AE12" s="124"/>
      <c r="AF12" s="85"/>
      <c r="AG12" s="85"/>
      <c r="AH12" s="86"/>
      <c r="AI12" s="87"/>
      <c r="AJ12" s="87"/>
      <c r="AK12" s="86"/>
      <c r="AL12" s="85"/>
      <c r="AM12" s="86"/>
      <c r="AN12" s="86"/>
      <c r="AO12" s="98"/>
      <c r="AP12" s="162">
        <f t="shared" si="4"/>
        <v>9</v>
      </c>
      <c r="AQ12" s="136">
        <f t="shared" si="5"/>
        <v>9</v>
      </c>
      <c r="AR12" s="137">
        <f t="shared" si="6"/>
        <v>0</v>
      </c>
      <c r="AS12" s="7"/>
    </row>
    <row r="13" spans="2:45" s="3" customFormat="1" ht="16.95" customHeight="1" x14ac:dyDescent="0.4">
      <c r="B13" s="206"/>
      <c r="C13" s="222"/>
      <c r="D13" s="24" t="s">
        <v>18</v>
      </c>
      <c r="E13" s="164" t="s">
        <v>96</v>
      </c>
      <c r="F13" s="40" t="s">
        <v>39</v>
      </c>
      <c r="G13" s="39" t="s">
        <v>71</v>
      </c>
      <c r="H13" s="39" t="s">
        <v>77</v>
      </c>
      <c r="I13" s="45">
        <v>45720</v>
      </c>
      <c r="J13" s="44">
        <v>45898</v>
      </c>
      <c r="K13" s="81"/>
      <c r="L13" s="89"/>
      <c r="M13" s="75"/>
      <c r="N13" s="89">
        <v>1</v>
      </c>
      <c r="O13" s="74">
        <f t="shared" si="1"/>
        <v>1</v>
      </c>
      <c r="P13" s="89">
        <v>1</v>
      </c>
      <c r="Q13" s="75">
        <f t="shared" si="2"/>
        <v>1</v>
      </c>
      <c r="R13" s="86">
        <v>1</v>
      </c>
      <c r="S13" s="74">
        <f t="shared" si="3"/>
        <v>1</v>
      </c>
      <c r="T13" s="91">
        <v>1</v>
      </c>
      <c r="U13" s="76">
        <f t="shared" si="10"/>
        <v>1</v>
      </c>
      <c r="V13" s="84">
        <v>1</v>
      </c>
      <c r="W13" s="76">
        <f t="shared" si="12"/>
        <v>1</v>
      </c>
      <c r="X13" s="84">
        <v>1</v>
      </c>
      <c r="Y13" s="160">
        <f t="shared" si="11"/>
        <v>1</v>
      </c>
      <c r="Z13" s="84"/>
      <c r="AA13" s="84"/>
      <c r="AB13" s="84"/>
      <c r="AC13" s="84"/>
      <c r="AD13" s="84"/>
      <c r="AE13" s="124"/>
      <c r="AF13" s="85"/>
      <c r="AG13" s="85"/>
      <c r="AH13" s="86"/>
      <c r="AI13" s="87"/>
      <c r="AJ13" s="87"/>
      <c r="AK13" s="86"/>
      <c r="AL13" s="85"/>
      <c r="AM13" s="86"/>
      <c r="AN13" s="86"/>
      <c r="AO13" s="98"/>
      <c r="AP13" s="162">
        <f t="shared" ref="AP13:AP16" si="15">+L13+N13+P13+R13+T13+V13+X13+Z13+AB13+AD13+AF13+AH13+AJ13+AL13+AN13</f>
        <v>6</v>
      </c>
      <c r="AQ13" s="136">
        <f t="shared" ref="AQ13:AQ16" si="16">+M13+O13+Q13+S13+U13+W13+Y13+AA13+AC13+AE13+AG13+AI13+AK13+AM13+AO13</f>
        <v>6</v>
      </c>
      <c r="AR13" s="137">
        <f t="shared" ref="AR13:AR16" si="17">AP13-AQ13</f>
        <v>0</v>
      </c>
      <c r="AS13" s="7"/>
    </row>
    <row r="14" spans="2:45" s="3" customFormat="1" ht="16.95" customHeight="1" x14ac:dyDescent="0.4">
      <c r="B14" s="206"/>
      <c r="C14" s="222"/>
      <c r="D14" s="24" t="s">
        <v>18</v>
      </c>
      <c r="E14" s="164" t="s">
        <v>101</v>
      </c>
      <c r="F14" s="40" t="s">
        <v>39</v>
      </c>
      <c r="G14" s="39" t="s">
        <v>72</v>
      </c>
      <c r="H14" s="39"/>
      <c r="I14" s="45">
        <v>45720</v>
      </c>
      <c r="J14" s="44">
        <v>46022</v>
      </c>
      <c r="K14" s="81"/>
      <c r="L14" s="89"/>
      <c r="M14" s="75"/>
      <c r="N14" s="89">
        <v>1</v>
      </c>
      <c r="O14" s="74">
        <f t="shared" ref="O14:O16" si="18">N14*O$1</f>
        <v>1</v>
      </c>
      <c r="P14" s="89">
        <v>1</v>
      </c>
      <c r="Q14" s="75">
        <f t="shared" si="2"/>
        <v>1</v>
      </c>
      <c r="R14" s="86">
        <v>1</v>
      </c>
      <c r="S14" s="74">
        <f t="shared" si="3"/>
        <v>1</v>
      </c>
      <c r="T14" s="91">
        <v>1</v>
      </c>
      <c r="U14" s="76">
        <f t="shared" si="10"/>
        <v>1</v>
      </c>
      <c r="V14" s="84">
        <v>1</v>
      </c>
      <c r="W14" s="76">
        <f t="shared" si="12"/>
        <v>1</v>
      </c>
      <c r="X14" s="84">
        <v>1</v>
      </c>
      <c r="Y14" s="76">
        <f t="shared" si="11"/>
        <v>1</v>
      </c>
      <c r="Z14" s="84">
        <v>1</v>
      </c>
      <c r="AA14" s="76">
        <f>$Z$1*$AA$1</f>
        <v>1</v>
      </c>
      <c r="AB14" s="84">
        <v>1</v>
      </c>
      <c r="AC14" s="84">
        <f>$AB$1*$AC$1</f>
        <v>1</v>
      </c>
      <c r="AD14" s="84">
        <v>1</v>
      </c>
      <c r="AE14" s="77">
        <f>$AD$1*$AE$1</f>
        <v>1</v>
      </c>
      <c r="AF14" s="85">
        <v>1</v>
      </c>
      <c r="AG14" s="77">
        <f>$AF$1*$AG$1</f>
        <v>0.77272727272727271</v>
      </c>
      <c r="AH14" s="86"/>
      <c r="AI14" s="87"/>
      <c r="AJ14" s="87"/>
      <c r="AK14" s="86"/>
      <c r="AL14" s="85"/>
      <c r="AM14" s="86"/>
      <c r="AN14" s="86"/>
      <c r="AO14" s="98"/>
      <c r="AP14" s="162">
        <f t="shared" si="15"/>
        <v>10</v>
      </c>
      <c r="AQ14" s="136">
        <f t="shared" si="16"/>
        <v>9.7727272727272734</v>
      </c>
      <c r="AR14" s="137">
        <f t="shared" si="17"/>
        <v>0.22727272727272663</v>
      </c>
      <c r="AS14" s="7"/>
    </row>
    <row r="15" spans="2:45" s="3" customFormat="1" ht="16.95" customHeight="1" x14ac:dyDescent="0.4">
      <c r="B15" s="206"/>
      <c r="C15" s="222"/>
      <c r="D15" s="24" t="s">
        <v>19</v>
      </c>
      <c r="E15" s="164" t="s">
        <v>105</v>
      </c>
      <c r="F15" s="40" t="s">
        <v>39</v>
      </c>
      <c r="G15" s="39" t="s">
        <v>55</v>
      </c>
      <c r="H15" s="39" t="s">
        <v>77</v>
      </c>
      <c r="I15" s="45">
        <v>45691</v>
      </c>
      <c r="J15" s="44">
        <v>45898</v>
      </c>
      <c r="K15" s="81"/>
      <c r="L15" s="89">
        <v>1</v>
      </c>
      <c r="M15" s="75">
        <f t="shared" ref="M15:M16" si="19">L15*$M$1</f>
        <v>1</v>
      </c>
      <c r="N15" s="89">
        <v>1</v>
      </c>
      <c r="O15" s="74">
        <f t="shared" si="18"/>
        <v>1</v>
      </c>
      <c r="P15" s="89">
        <v>1</v>
      </c>
      <c r="Q15" s="75">
        <f t="shared" si="2"/>
        <v>1</v>
      </c>
      <c r="R15" s="86">
        <v>1</v>
      </c>
      <c r="S15" s="74">
        <f t="shared" si="3"/>
        <v>1</v>
      </c>
      <c r="T15" s="91">
        <v>1</v>
      </c>
      <c r="U15" s="76">
        <f t="shared" si="10"/>
        <v>1</v>
      </c>
      <c r="V15" s="84">
        <v>1</v>
      </c>
      <c r="W15" s="76">
        <f t="shared" si="12"/>
        <v>1</v>
      </c>
      <c r="X15" s="84">
        <v>0.75</v>
      </c>
      <c r="Y15" s="160">
        <f>$Y$1*$X$1</f>
        <v>1</v>
      </c>
      <c r="Z15" s="84"/>
      <c r="AA15" s="84"/>
      <c r="AB15" s="84"/>
      <c r="AC15" s="84"/>
      <c r="AD15" s="84"/>
      <c r="AE15" s="124"/>
      <c r="AF15" s="85"/>
      <c r="AG15" s="85"/>
      <c r="AH15" s="86"/>
      <c r="AI15" s="87"/>
      <c r="AJ15" s="87"/>
      <c r="AK15" s="86"/>
      <c r="AL15" s="85"/>
      <c r="AM15" s="86"/>
      <c r="AN15" s="86"/>
      <c r="AO15" s="98"/>
      <c r="AP15" s="162">
        <f t="shared" si="15"/>
        <v>6.75</v>
      </c>
      <c r="AQ15" s="136">
        <f t="shared" si="16"/>
        <v>7</v>
      </c>
      <c r="AR15" s="137">
        <f t="shared" si="17"/>
        <v>-0.25</v>
      </c>
      <c r="AS15" s="8"/>
    </row>
    <row r="16" spans="2:45" s="3" customFormat="1" ht="16.95" customHeight="1" x14ac:dyDescent="0.4">
      <c r="B16" s="206"/>
      <c r="C16" s="222"/>
      <c r="D16" s="24" t="s">
        <v>19</v>
      </c>
      <c r="E16" s="164" t="s">
        <v>97</v>
      </c>
      <c r="F16" s="40" t="s">
        <v>39</v>
      </c>
      <c r="G16" s="22" t="s">
        <v>56</v>
      </c>
      <c r="H16" s="22"/>
      <c r="I16" s="46">
        <v>45691</v>
      </c>
      <c r="J16" s="47">
        <v>46127</v>
      </c>
      <c r="K16" s="81"/>
      <c r="L16" s="89">
        <v>1</v>
      </c>
      <c r="M16" s="75">
        <f t="shared" si="19"/>
        <v>1</v>
      </c>
      <c r="N16" s="89">
        <v>1</v>
      </c>
      <c r="O16" s="75">
        <f t="shared" si="18"/>
        <v>1</v>
      </c>
      <c r="P16" s="89">
        <v>1</v>
      </c>
      <c r="Q16" s="75">
        <f t="shared" si="2"/>
        <v>1</v>
      </c>
      <c r="R16" s="86">
        <v>1</v>
      </c>
      <c r="S16" s="74">
        <f t="shared" si="3"/>
        <v>1</v>
      </c>
      <c r="T16" s="91">
        <v>1</v>
      </c>
      <c r="U16" s="76">
        <f t="shared" si="10"/>
        <v>1</v>
      </c>
      <c r="V16" s="84">
        <v>1</v>
      </c>
      <c r="W16" s="76">
        <f t="shared" si="12"/>
        <v>1</v>
      </c>
      <c r="X16" s="84">
        <v>1</v>
      </c>
      <c r="Y16" s="76">
        <f t="shared" si="11"/>
        <v>1</v>
      </c>
      <c r="Z16" s="84">
        <v>1</v>
      </c>
      <c r="AA16" s="76">
        <f t="shared" ref="AA16:AA17" si="20">$Z$1*$AA$1</f>
        <v>1</v>
      </c>
      <c r="AB16" s="84">
        <v>1</v>
      </c>
      <c r="AC16" s="84">
        <f>$AB$1*$AC$1</f>
        <v>1</v>
      </c>
      <c r="AD16" s="84">
        <v>1</v>
      </c>
      <c r="AE16" s="77">
        <f>$AD$1*$AE$1</f>
        <v>1</v>
      </c>
      <c r="AF16" s="85">
        <v>1</v>
      </c>
      <c r="AG16" s="77">
        <f>$AF$1*$AG$1</f>
        <v>0.77272727272727271</v>
      </c>
      <c r="AH16" s="86">
        <v>0.75</v>
      </c>
      <c r="AI16" s="87"/>
      <c r="AJ16" s="180">
        <v>0</v>
      </c>
      <c r="AK16" s="180"/>
      <c r="AL16" s="180">
        <v>0</v>
      </c>
      <c r="AM16" s="180"/>
      <c r="AN16" s="180">
        <v>0</v>
      </c>
      <c r="AO16" s="180"/>
      <c r="AP16" s="162">
        <f t="shared" si="15"/>
        <v>11.75</v>
      </c>
      <c r="AQ16" s="136">
        <f t="shared" si="16"/>
        <v>10.772727272727273</v>
      </c>
      <c r="AR16" s="137">
        <f t="shared" si="17"/>
        <v>0.97727272727272663</v>
      </c>
      <c r="AS16" s="38"/>
    </row>
    <row r="17" spans="2:45" s="3" customFormat="1" ht="16.95" customHeight="1" x14ac:dyDescent="0.4">
      <c r="B17" s="206"/>
      <c r="C17" s="222"/>
      <c r="D17" s="24" t="s">
        <v>16</v>
      </c>
      <c r="E17" s="164" t="s">
        <v>96</v>
      </c>
      <c r="F17" s="40" t="s">
        <v>39</v>
      </c>
      <c r="G17" s="40" t="s">
        <v>75</v>
      </c>
      <c r="H17" s="40"/>
      <c r="I17" s="48">
        <v>45748</v>
      </c>
      <c r="J17" s="47">
        <v>46112</v>
      </c>
      <c r="K17" s="123"/>
      <c r="L17" s="102"/>
      <c r="M17" s="102"/>
      <c r="N17" s="102"/>
      <c r="O17" s="102"/>
      <c r="P17" s="90">
        <v>0</v>
      </c>
      <c r="Q17" s="170">
        <f>$P$1*$Q$1</f>
        <v>1</v>
      </c>
      <c r="R17" s="90">
        <v>0</v>
      </c>
      <c r="S17" s="170">
        <f>S$1*R1</f>
        <v>1</v>
      </c>
      <c r="T17" s="157">
        <v>0</v>
      </c>
      <c r="U17" s="90">
        <f t="shared" ref="U17:U21" si="21">$U$1</f>
        <v>1</v>
      </c>
      <c r="V17" s="171">
        <v>0</v>
      </c>
      <c r="W17" s="172">
        <f>$W$1*$V$1</f>
        <v>1</v>
      </c>
      <c r="X17" s="116">
        <v>1</v>
      </c>
      <c r="Y17" s="96">
        <f>$Y$1*$X$1</f>
        <v>1</v>
      </c>
      <c r="Z17" s="116">
        <v>1</v>
      </c>
      <c r="AA17" s="76">
        <f t="shared" si="20"/>
        <v>1</v>
      </c>
      <c r="AB17" s="116">
        <v>1</v>
      </c>
      <c r="AC17" s="96">
        <f>$AB$1*$AC$1</f>
        <v>1</v>
      </c>
      <c r="AD17" s="116">
        <v>1</v>
      </c>
      <c r="AE17" s="77">
        <f>$AD$1*$AE$1</f>
        <v>1</v>
      </c>
      <c r="AF17" s="95">
        <v>1</v>
      </c>
      <c r="AG17" s="77">
        <f>$AF$1*$AG$1</f>
        <v>0.77272727272727271</v>
      </c>
      <c r="AH17" s="83">
        <v>1</v>
      </c>
      <c r="AI17" s="78"/>
      <c r="AJ17" s="83">
        <v>1</v>
      </c>
      <c r="AK17" s="74"/>
      <c r="AL17" s="82">
        <v>1</v>
      </c>
      <c r="AM17" s="74"/>
      <c r="AN17" s="83"/>
      <c r="AO17" s="125"/>
      <c r="AP17" s="101">
        <f>+L17+N17+P17+R17+T17+V17+X17+Z17+AB17+AD17+AF17+AH17+AJ17+AL17+AN17</f>
        <v>8</v>
      </c>
      <c r="AQ17" s="79">
        <f t="shared" si="5"/>
        <v>8.7727272727272734</v>
      </c>
      <c r="AR17" s="80">
        <f t="shared" si="6"/>
        <v>-0.77272727272727337</v>
      </c>
      <c r="AS17" s="8"/>
    </row>
    <row r="18" spans="2:45" s="3" customFormat="1" ht="16.95" customHeight="1" x14ac:dyDescent="0.4">
      <c r="B18" s="204"/>
      <c r="C18" s="223"/>
      <c r="D18" s="24" t="s">
        <v>82</v>
      </c>
      <c r="E18" s="164" t="s">
        <v>94</v>
      </c>
      <c r="F18" s="40" t="s">
        <v>80</v>
      </c>
      <c r="G18" s="39" t="s">
        <v>81</v>
      </c>
      <c r="H18" s="39" t="s">
        <v>87</v>
      </c>
      <c r="I18" s="45">
        <v>45810</v>
      </c>
      <c r="J18" s="44">
        <v>45817</v>
      </c>
      <c r="K18" s="88"/>
      <c r="L18" s="89"/>
      <c r="M18" s="89"/>
      <c r="N18" s="89"/>
      <c r="O18" s="89"/>
      <c r="P18" s="89"/>
      <c r="Q18" s="89"/>
      <c r="R18" s="75"/>
      <c r="S18" s="75"/>
      <c r="T18" s="157">
        <v>0</v>
      </c>
      <c r="U18" s="90">
        <v>0.25</v>
      </c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81"/>
      <c r="AG18" s="75"/>
      <c r="AH18" s="155"/>
      <c r="AI18" s="75"/>
      <c r="AJ18" s="75"/>
      <c r="AK18" s="75"/>
      <c r="AL18" s="75"/>
      <c r="AM18" s="75"/>
      <c r="AN18" s="82"/>
      <c r="AO18" s="138"/>
      <c r="AP18" s="166">
        <f t="shared" ref="AP18:AP20" si="22">+L18+N18+P18+R18+T18+V18+X18+Z18+AB18+AD18+AF18+AH18+AJ18+AL18+AN18</f>
        <v>0</v>
      </c>
      <c r="AQ18" s="139">
        <f t="shared" ref="AQ18:AQ20" si="23">+M18+O18+Q18+S18+U18+W18+Y18+AA18+AC18+AE18+AG18+AI18+AK18+AM18+AO18</f>
        <v>0.25</v>
      </c>
      <c r="AR18" s="140">
        <f t="shared" ref="AR18:AR20" si="24">AP18-AQ18</f>
        <v>-0.25</v>
      </c>
      <c r="AS18" s="60"/>
    </row>
    <row r="19" spans="2:45" s="3" customFormat="1" ht="16.95" customHeight="1" x14ac:dyDescent="0.4">
      <c r="B19" s="204"/>
      <c r="C19" s="222"/>
      <c r="D19" s="24" t="s">
        <v>16</v>
      </c>
      <c r="E19" s="164" t="s">
        <v>101</v>
      </c>
      <c r="F19" s="40" t="s">
        <v>39</v>
      </c>
      <c r="G19" s="39" t="s">
        <v>88</v>
      </c>
      <c r="H19" s="39"/>
      <c r="I19" s="45">
        <v>45824</v>
      </c>
      <c r="J19" s="44">
        <v>46022</v>
      </c>
      <c r="K19" s="88"/>
      <c r="L19" s="89"/>
      <c r="M19" s="89"/>
      <c r="N19" s="89"/>
      <c r="O19" s="89"/>
      <c r="P19" s="89"/>
      <c r="Q19" s="89"/>
      <c r="R19" s="75"/>
      <c r="S19" s="75"/>
      <c r="T19" s="173">
        <v>0</v>
      </c>
      <c r="U19" s="90">
        <v>0.5</v>
      </c>
      <c r="V19" s="90">
        <v>0</v>
      </c>
      <c r="W19" s="172">
        <f>$W$1*$V$1</f>
        <v>1</v>
      </c>
      <c r="X19" s="90">
        <v>0</v>
      </c>
      <c r="Y19" s="172">
        <f>$Y$1*$X$1</f>
        <v>1</v>
      </c>
      <c r="Z19" s="75">
        <v>1</v>
      </c>
      <c r="AA19" s="76">
        <f>$Z$1*$AA$1</f>
        <v>1</v>
      </c>
      <c r="AB19" s="75">
        <v>1</v>
      </c>
      <c r="AC19" s="75">
        <f>$AB$1*$AC$1</f>
        <v>1</v>
      </c>
      <c r="AD19" s="75">
        <v>1</v>
      </c>
      <c r="AE19" s="77">
        <f>$AD$1*$AE$1</f>
        <v>1</v>
      </c>
      <c r="AF19" s="81">
        <v>1</v>
      </c>
      <c r="AG19" s="77">
        <f>$AF$1*$AG$1</f>
        <v>0.77272727272727271</v>
      </c>
      <c r="AH19" s="156"/>
      <c r="AI19" s="75"/>
      <c r="AJ19" s="75"/>
      <c r="AK19" s="75"/>
      <c r="AL19" s="75"/>
      <c r="AM19" s="75"/>
      <c r="AN19" s="93"/>
      <c r="AO19" s="141"/>
      <c r="AP19" s="167">
        <f t="shared" si="22"/>
        <v>4</v>
      </c>
      <c r="AQ19" s="139">
        <f t="shared" si="23"/>
        <v>6.2727272727272725</v>
      </c>
      <c r="AR19" s="140">
        <f t="shared" si="24"/>
        <v>-2.2727272727272725</v>
      </c>
      <c r="AS19" s="61"/>
    </row>
    <row r="20" spans="2:45" s="3" customFormat="1" ht="16.95" customHeight="1" x14ac:dyDescent="0.4">
      <c r="B20" s="204"/>
      <c r="C20" s="222"/>
      <c r="D20" s="24" t="s">
        <v>90</v>
      </c>
      <c r="E20" s="164" t="s">
        <v>106</v>
      </c>
      <c r="F20" s="40" t="s">
        <v>39</v>
      </c>
      <c r="G20" s="39" t="s">
        <v>89</v>
      </c>
      <c r="H20" s="39" t="s">
        <v>91</v>
      </c>
      <c r="I20" s="45">
        <v>45824</v>
      </c>
      <c r="J20" s="44">
        <v>45891</v>
      </c>
      <c r="K20" s="88"/>
      <c r="L20" s="89"/>
      <c r="M20" s="89"/>
      <c r="N20" s="89"/>
      <c r="O20" s="89"/>
      <c r="P20" s="89"/>
      <c r="Q20" s="89"/>
      <c r="R20" s="75"/>
      <c r="S20" s="75"/>
      <c r="T20" s="173">
        <v>0</v>
      </c>
      <c r="U20" s="90">
        <v>0.5</v>
      </c>
      <c r="V20" s="90">
        <v>0</v>
      </c>
      <c r="W20" s="172">
        <f>$W$1*$V$1</f>
        <v>1</v>
      </c>
      <c r="X20" s="90">
        <v>0</v>
      </c>
      <c r="Y20" s="176">
        <f>((1/20)*15)</f>
        <v>0.75</v>
      </c>
      <c r="Z20" s="75"/>
      <c r="AA20" s="75"/>
      <c r="AB20" s="75"/>
      <c r="AC20" s="75"/>
      <c r="AD20" s="75"/>
      <c r="AE20" s="75"/>
      <c r="AF20" s="81"/>
      <c r="AG20" s="75"/>
      <c r="AH20" s="156"/>
      <c r="AI20" s="75"/>
      <c r="AJ20" s="75"/>
      <c r="AK20" s="75"/>
      <c r="AL20" s="75"/>
      <c r="AM20" s="75"/>
      <c r="AN20" s="93"/>
      <c r="AO20" s="142"/>
      <c r="AP20" s="167">
        <f t="shared" si="22"/>
        <v>0</v>
      </c>
      <c r="AQ20" s="139">
        <f t="shared" si="23"/>
        <v>2.25</v>
      </c>
      <c r="AR20" s="140">
        <f t="shared" si="24"/>
        <v>-2.25</v>
      </c>
      <c r="AS20" s="62"/>
    </row>
    <row r="21" spans="2:45" s="3" customFormat="1" ht="16.95" customHeight="1" thickBot="1" x14ac:dyDescent="0.45">
      <c r="B21" s="207"/>
      <c r="C21" s="224"/>
      <c r="D21" s="169" t="s">
        <v>111</v>
      </c>
      <c r="E21" s="30" t="s">
        <v>95</v>
      </c>
      <c r="F21" s="23" t="s">
        <v>39</v>
      </c>
      <c r="G21" s="186" t="s">
        <v>76</v>
      </c>
      <c r="H21" s="186" t="s">
        <v>112</v>
      </c>
      <c r="I21" s="187">
        <v>45748</v>
      </c>
      <c r="J21" s="188">
        <v>46022</v>
      </c>
      <c r="K21" s="143"/>
      <c r="L21" s="144"/>
      <c r="M21" s="144"/>
      <c r="N21" s="144"/>
      <c r="O21" s="144"/>
      <c r="P21" s="145">
        <v>0</v>
      </c>
      <c r="Q21" s="145">
        <f>$P$1*$Q$1</f>
        <v>1</v>
      </c>
      <c r="R21" s="145">
        <v>0</v>
      </c>
      <c r="S21" s="145">
        <f>S$1*R1</f>
        <v>1</v>
      </c>
      <c r="T21" s="173">
        <v>0</v>
      </c>
      <c r="U21" s="174">
        <f t="shared" si="21"/>
        <v>1</v>
      </c>
      <c r="V21" s="175">
        <v>0</v>
      </c>
      <c r="W21" s="174">
        <f>$W$1*$V$1</f>
        <v>1</v>
      </c>
      <c r="X21" s="175">
        <v>0</v>
      </c>
      <c r="Y21" s="174">
        <f>$Y$1*$X$1</f>
        <v>1</v>
      </c>
      <c r="Z21" s="175">
        <v>0</v>
      </c>
      <c r="AA21" s="174">
        <f>$AA$1*$Z$1</f>
        <v>1</v>
      </c>
      <c r="AB21" s="175">
        <v>0.5</v>
      </c>
      <c r="AC21" s="175">
        <f>$AB$1*$AC$1</f>
        <v>1</v>
      </c>
      <c r="AD21" s="175">
        <v>0</v>
      </c>
      <c r="AE21" s="174">
        <f>$AD$1*$AE$1</f>
        <v>1</v>
      </c>
      <c r="AF21" s="175">
        <v>0</v>
      </c>
      <c r="AG21" s="189">
        <f>$AF$1*$AG$1</f>
        <v>0.77272727272727271</v>
      </c>
      <c r="AH21" s="94"/>
      <c r="AI21" s="106"/>
      <c r="AJ21" s="94"/>
      <c r="AK21" s="92"/>
      <c r="AL21" s="146"/>
      <c r="AM21" s="104"/>
      <c r="AN21" s="105"/>
      <c r="AO21" s="128"/>
      <c r="AP21" s="161">
        <f t="shared" si="4"/>
        <v>0.5</v>
      </c>
      <c r="AQ21" s="121">
        <f t="shared" si="5"/>
        <v>8.7727272727272734</v>
      </c>
      <c r="AR21" s="122">
        <f t="shared" si="6"/>
        <v>-8.2727272727272734</v>
      </c>
      <c r="AS21" s="12"/>
    </row>
    <row r="22" spans="2:45" s="3" customFormat="1" ht="16.95" customHeight="1" x14ac:dyDescent="0.4">
      <c r="B22" s="206"/>
      <c r="C22" s="197" t="s">
        <v>62</v>
      </c>
      <c r="D22" s="181" t="s">
        <v>110</v>
      </c>
      <c r="E22" s="29" t="s">
        <v>100</v>
      </c>
      <c r="F22" s="28" t="s">
        <v>39</v>
      </c>
      <c r="G22" s="28" t="s">
        <v>57</v>
      </c>
      <c r="H22" s="25"/>
      <c r="I22" s="43">
        <v>45726</v>
      </c>
      <c r="J22" s="50">
        <v>46127</v>
      </c>
      <c r="K22" s="73"/>
      <c r="L22" s="147"/>
      <c r="M22" s="147"/>
      <c r="N22" s="147">
        <v>0.75</v>
      </c>
      <c r="O22" s="74">
        <f t="shared" ref="O22:O29" si="25">N22*O$1</f>
        <v>0.75</v>
      </c>
      <c r="P22" s="108">
        <v>1</v>
      </c>
      <c r="Q22" s="97">
        <f t="shared" ref="Q22:Q30" si="26">$Q$1*P22</f>
        <v>1</v>
      </c>
      <c r="R22" s="109">
        <v>1</v>
      </c>
      <c r="S22" s="97">
        <f t="shared" si="3"/>
        <v>1</v>
      </c>
      <c r="T22" s="111">
        <v>1</v>
      </c>
      <c r="U22" s="76">
        <f t="shared" ref="U22:U30" si="27">$U$1*T22</f>
        <v>1</v>
      </c>
      <c r="V22" s="109">
        <v>1</v>
      </c>
      <c r="W22" s="76">
        <f t="shared" ref="W22:W30" si="28">$W$1*V22</f>
        <v>1</v>
      </c>
      <c r="X22" s="109">
        <v>1</v>
      </c>
      <c r="Y22" s="76">
        <f t="shared" si="11"/>
        <v>1</v>
      </c>
      <c r="Z22" s="109">
        <v>1</v>
      </c>
      <c r="AA22" s="76">
        <f t="shared" ref="AA22:AA23" si="29">$Z$1*$AA$1</f>
        <v>1</v>
      </c>
      <c r="AB22" s="109">
        <v>1</v>
      </c>
      <c r="AC22" s="109">
        <f>$AB$1*$AC$1</f>
        <v>1</v>
      </c>
      <c r="AD22" s="109">
        <v>1</v>
      </c>
      <c r="AE22" s="77">
        <f>$AD$1*$AE$1</f>
        <v>1</v>
      </c>
      <c r="AF22" s="111">
        <v>1</v>
      </c>
      <c r="AG22" s="77">
        <f>$AF$1*$AG$1</f>
        <v>0.77272727272727271</v>
      </c>
      <c r="AH22" s="109">
        <v>1</v>
      </c>
      <c r="AI22" s="109"/>
      <c r="AJ22" s="109">
        <v>1</v>
      </c>
      <c r="AK22" s="109"/>
      <c r="AL22" s="114">
        <v>1</v>
      </c>
      <c r="AM22" s="112"/>
      <c r="AN22" s="112">
        <v>0.5</v>
      </c>
      <c r="AO22" s="125"/>
      <c r="AP22" s="101">
        <f t="shared" si="4"/>
        <v>13.25</v>
      </c>
      <c r="AQ22" s="79">
        <f t="shared" si="5"/>
        <v>9.5227272727272734</v>
      </c>
      <c r="AR22" s="80">
        <f t="shared" si="6"/>
        <v>3.7272727272727266</v>
      </c>
      <c r="AS22" s="8"/>
    </row>
    <row r="23" spans="2:45" s="3" customFormat="1" ht="16.95" customHeight="1" x14ac:dyDescent="0.4">
      <c r="B23" s="206"/>
      <c r="C23" s="198"/>
      <c r="D23" s="24" t="s">
        <v>18</v>
      </c>
      <c r="E23" s="164" t="s">
        <v>100</v>
      </c>
      <c r="F23" s="40" t="s">
        <v>39</v>
      </c>
      <c r="G23" s="40" t="s">
        <v>73</v>
      </c>
      <c r="H23" s="22"/>
      <c r="I23" s="46">
        <v>45726</v>
      </c>
      <c r="J23" s="47">
        <v>46127</v>
      </c>
      <c r="K23" s="81"/>
      <c r="L23" s="132"/>
      <c r="M23" s="132"/>
      <c r="N23" s="132">
        <v>0.75</v>
      </c>
      <c r="O23" s="74">
        <f t="shared" si="25"/>
        <v>0.75</v>
      </c>
      <c r="P23" s="89">
        <v>1</v>
      </c>
      <c r="Q23" s="75">
        <f t="shared" si="26"/>
        <v>1</v>
      </c>
      <c r="R23" s="86">
        <v>1</v>
      </c>
      <c r="S23" s="75">
        <f t="shared" si="3"/>
        <v>1</v>
      </c>
      <c r="T23" s="85">
        <v>1</v>
      </c>
      <c r="U23" s="76">
        <f t="shared" si="27"/>
        <v>1</v>
      </c>
      <c r="V23" s="86">
        <v>1</v>
      </c>
      <c r="W23" s="76">
        <f t="shared" si="28"/>
        <v>1</v>
      </c>
      <c r="X23" s="86">
        <v>1</v>
      </c>
      <c r="Y23" s="76">
        <f t="shared" si="11"/>
        <v>1</v>
      </c>
      <c r="Z23" s="86">
        <v>1</v>
      </c>
      <c r="AA23" s="76">
        <f t="shared" si="29"/>
        <v>1</v>
      </c>
      <c r="AB23" s="86">
        <v>1</v>
      </c>
      <c r="AC23" s="86">
        <f>$AB$1*$AC$1</f>
        <v>1</v>
      </c>
      <c r="AD23" s="86">
        <v>1</v>
      </c>
      <c r="AE23" s="77">
        <f>$AD$1*$AE$1</f>
        <v>1</v>
      </c>
      <c r="AF23" s="85">
        <v>1</v>
      </c>
      <c r="AG23" s="77">
        <f>$AF$1*$AG$1</f>
        <v>0.77272727272727271</v>
      </c>
      <c r="AH23" s="86">
        <v>1</v>
      </c>
      <c r="AI23" s="86"/>
      <c r="AJ23" s="86">
        <v>1</v>
      </c>
      <c r="AK23" s="135"/>
      <c r="AL23" s="100">
        <v>1</v>
      </c>
      <c r="AM23" s="135"/>
      <c r="AN23" s="86">
        <v>0.5</v>
      </c>
      <c r="AO23" s="98"/>
      <c r="AP23" s="101">
        <f t="shared" si="4"/>
        <v>13.25</v>
      </c>
      <c r="AQ23" s="79">
        <f t="shared" si="5"/>
        <v>9.5227272727272734</v>
      </c>
      <c r="AR23" s="80">
        <f t="shared" si="6"/>
        <v>3.7272727272727266</v>
      </c>
      <c r="AS23" s="7"/>
    </row>
    <row r="24" spans="2:45" s="3" customFormat="1" ht="16.95" customHeight="1" x14ac:dyDescent="0.4">
      <c r="B24" s="206"/>
      <c r="C24" s="198"/>
      <c r="D24" s="24" t="s">
        <v>18</v>
      </c>
      <c r="E24" s="164" t="s">
        <v>101</v>
      </c>
      <c r="F24" s="40" t="s">
        <v>39</v>
      </c>
      <c r="G24" s="39" t="s">
        <v>58</v>
      </c>
      <c r="H24" s="39" t="s">
        <v>77</v>
      </c>
      <c r="I24" s="45">
        <v>45748</v>
      </c>
      <c r="J24" s="44">
        <v>45877</v>
      </c>
      <c r="K24" s="81"/>
      <c r="L24" s="132"/>
      <c r="M24" s="132"/>
      <c r="N24" s="132"/>
      <c r="O24" s="74"/>
      <c r="P24" s="89">
        <v>1</v>
      </c>
      <c r="Q24" s="75">
        <f t="shared" si="26"/>
        <v>1</v>
      </c>
      <c r="R24" s="86">
        <v>1</v>
      </c>
      <c r="S24" s="75">
        <f t="shared" si="3"/>
        <v>1</v>
      </c>
      <c r="T24" s="85">
        <v>1</v>
      </c>
      <c r="U24" s="76">
        <f t="shared" si="27"/>
        <v>1</v>
      </c>
      <c r="V24" s="86">
        <v>1</v>
      </c>
      <c r="W24" s="76">
        <f t="shared" si="28"/>
        <v>1</v>
      </c>
      <c r="X24" s="86">
        <v>0.25</v>
      </c>
      <c r="Y24" s="76">
        <f>((1/20)*6)</f>
        <v>0.30000000000000004</v>
      </c>
      <c r="Z24" s="86"/>
      <c r="AA24" s="86"/>
      <c r="AB24" s="86"/>
      <c r="AC24" s="86"/>
      <c r="AD24" s="86"/>
      <c r="AE24" s="86"/>
      <c r="AF24" s="85"/>
      <c r="AG24" s="86"/>
      <c r="AH24" s="135"/>
      <c r="AI24" s="135"/>
      <c r="AJ24" s="135"/>
      <c r="AK24" s="135"/>
      <c r="AL24" s="148"/>
      <c r="AM24" s="135"/>
      <c r="AN24" s="86"/>
      <c r="AO24" s="98"/>
      <c r="AP24" s="101">
        <f t="shared" si="4"/>
        <v>4.25</v>
      </c>
      <c r="AQ24" s="79">
        <f t="shared" si="5"/>
        <v>4.3</v>
      </c>
      <c r="AR24" s="80">
        <f t="shared" si="6"/>
        <v>-4.9999999999999822E-2</v>
      </c>
      <c r="AS24" s="7"/>
    </row>
    <row r="25" spans="2:45" s="3" customFormat="1" ht="16.95" customHeight="1" x14ac:dyDescent="0.4">
      <c r="B25" s="206"/>
      <c r="C25" s="198"/>
      <c r="D25" s="24" t="s">
        <v>19</v>
      </c>
      <c r="E25" s="164" t="s">
        <v>107</v>
      </c>
      <c r="F25" s="40" t="s">
        <v>39</v>
      </c>
      <c r="G25" s="39" t="s">
        <v>46</v>
      </c>
      <c r="H25" s="39" t="s">
        <v>77</v>
      </c>
      <c r="I25" s="45">
        <v>45726</v>
      </c>
      <c r="J25" s="44">
        <v>45877</v>
      </c>
      <c r="K25" s="81"/>
      <c r="L25" s="132"/>
      <c r="M25" s="132"/>
      <c r="N25" s="132">
        <v>0.75</v>
      </c>
      <c r="O25" s="74">
        <f t="shared" si="25"/>
        <v>0.75</v>
      </c>
      <c r="P25" s="89">
        <v>1</v>
      </c>
      <c r="Q25" s="75">
        <f t="shared" si="26"/>
        <v>1</v>
      </c>
      <c r="R25" s="86">
        <v>1</v>
      </c>
      <c r="S25" s="75">
        <f t="shared" si="3"/>
        <v>1</v>
      </c>
      <c r="T25" s="85">
        <v>1</v>
      </c>
      <c r="U25" s="76">
        <f t="shared" si="27"/>
        <v>1</v>
      </c>
      <c r="V25" s="86">
        <v>1</v>
      </c>
      <c r="W25" s="76">
        <f t="shared" si="28"/>
        <v>1</v>
      </c>
      <c r="X25" s="86">
        <v>0.25</v>
      </c>
      <c r="Y25" s="76">
        <f>((1/20)*6)</f>
        <v>0.30000000000000004</v>
      </c>
      <c r="Z25" s="86"/>
      <c r="AA25" s="86"/>
      <c r="AB25" s="86"/>
      <c r="AC25" s="86"/>
      <c r="AD25" s="86"/>
      <c r="AE25" s="86"/>
      <c r="AF25" s="85"/>
      <c r="AG25" s="86"/>
      <c r="AH25" s="86"/>
      <c r="AI25" s="86"/>
      <c r="AJ25" s="86"/>
      <c r="AK25" s="86"/>
      <c r="AL25" s="85"/>
      <c r="AM25" s="86"/>
      <c r="AN25" s="86"/>
      <c r="AO25" s="98"/>
      <c r="AP25" s="101">
        <f t="shared" si="4"/>
        <v>5</v>
      </c>
      <c r="AQ25" s="79">
        <f t="shared" si="5"/>
        <v>5.05</v>
      </c>
      <c r="AR25" s="80">
        <f t="shared" si="6"/>
        <v>-4.9999999999999822E-2</v>
      </c>
      <c r="AS25" s="7"/>
    </row>
    <row r="26" spans="2:45" s="3" customFormat="1" ht="16.95" customHeight="1" x14ac:dyDescent="0.4">
      <c r="B26" s="206"/>
      <c r="C26" s="198"/>
      <c r="D26" s="24"/>
      <c r="E26" s="164" t="s">
        <v>97</v>
      </c>
      <c r="F26" s="40" t="s">
        <v>39</v>
      </c>
      <c r="G26" s="39" t="s">
        <v>92</v>
      </c>
      <c r="H26" s="36" t="s">
        <v>91</v>
      </c>
      <c r="I26" s="45">
        <v>45880</v>
      </c>
      <c r="J26" s="44">
        <v>45924</v>
      </c>
      <c r="K26" s="81"/>
      <c r="L26" s="132"/>
      <c r="M26" s="132"/>
      <c r="N26" s="132"/>
      <c r="O26" s="74"/>
      <c r="P26" s="89"/>
      <c r="Q26" s="75"/>
      <c r="R26" s="86"/>
      <c r="S26" s="75"/>
      <c r="T26" s="85"/>
      <c r="U26" s="76"/>
      <c r="V26" s="86"/>
      <c r="W26" s="76"/>
      <c r="X26" s="173">
        <v>0</v>
      </c>
      <c r="Y26" s="176">
        <f>((1/20)*14)</f>
        <v>0.70000000000000007</v>
      </c>
      <c r="Z26" s="173">
        <v>0</v>
      </c>
      <c r="AA26" s="90">
        <f>((1/22)*18)</f>
        <v>0.81818181818181823</v>
      </c>
      <c r="AB26" s="86"/>
      <c r="AC26" s="86"/>
      <c r="AD26" s="86"/>
      <c r="AE26" s="86"/>
      <c r="AF26" s="85"/>
      <c r="AG26" s="86"/>
      <c r="AH26" s="135"/>
      <c r="AI26" s="135"/>
      <c r="AJ26" s="135"/>
      <c r="AK26" s="135"/>
      <c r="AL26" s="148"/>
      <c r="AM26" s="135"/>
      <c r="AN26" s="86"/>
      <c r="AO26" s="98"/>
      <c r="AP26" s="101">
        <f t="shared" ref="AP26:AP27" si="30">+L26+N26+P26+R26+T26+V26+X26+Z26+AB26+AD26+AF26+AH26+AJ26+AL26+AN26</f>
        <v>0</v>
      </c>
      <c r="AQ26" s="79">
        <f t="shared" ref="AQ26:AQ27" si="31">+M26+O26+Q26+S26+U26+W26+Y26+AA26+AC26+AE26+AG26+AI26+AK26+AM26+AO26</f>
        <v>1.5181818181818183</v>
      </c>
      <c r="AR26" s="80">
        <f t="shared" ref="AR26:AR27" si="32">AP26-AQ26</f>
        <v>-1.5181818181818183</v>
      </c>
      <c r="AS26" s="1"/>
    </row>
    <row r="27" spans="2:45" s="3" customFormat="1" ht="16.95" customHeight="1" x14ac:dyDescent="0.4">
      <c r="B27" s="206"/>
      <c r="C27" s="198"/>
      <c r="D27" s="24"/>
      <c r="E27" s="164" t="s">
        <v>99</v>
      </c>
      <c r="F27" s="40" t="s">
        <v>39</v>
      </c>
      <c r="G27" s="39" t="s">
        <v>93</v>
      </c>
      <c r="H27" s="36" t="s">
        <v>91</v>
      </c>
      <c r="I27" s="45">
        <v>45880</v>
      </c>
      <c r="J27" s="44">
        <v>45924</v>
      </c>
      <c r="K27" s="81"/>
      <c r="L27" s="132"/>
      <c r="M27" s="132"/>
      <c r="N27" s="132"/>
      <c r="O27" s="74"/>
      <c r="P27" s="89"/>
      <c r="Q27" s="75"/>
      <c r="R27" s="86"/>
      <c r="S27" s="75"/>
      <c r="T27" s="85"/>
      <c r="U27" s="76"/>
      <c r="V27" s="86"/>
      <c r="W27" s="76"/>
      <c r="X27" s="173">
        <v>0</v>
      </c>
      <c r="Y27" s="176">
        <f>((1/20)*14)</f>
        <v>0.70000000000000007</v>
      </c>
      <c r="Z27" s="173">
        <v>0</v>
      </c>
      <c r="AA27" s="90">
        <f>((1/22)*18)</f>
        <v>0.81818181818181823</v>
      </c>
      <c r="AB27" s="86"/>
      <c r="AC27" s="86"/>
      <c r="AD27" s="86"/>
      <c r="AE27" s="86"/>
      <c r="AF27" s="85"/>
      <c r="AG27" s="86"/>
      <c r="AH27" s="86"/>
      <c r="AI27" s="86"/>
      <c r="AJ27" s="86"/>
      <c r="AK27" s="86"/>
      <c r="AL27" s="85"/>
      <c r="AM27" s="86"/>
      <c r="AN27" s="86"/>
      <c r="AO27" s="98"/>
      <c r="AP27" s="101">
        <f t="shared" si="30"/>
        <v>0</v>
      </c>
      <c r="AQ27" s="79">
        <f t="shared" si="31"/>
        <v>1.5181818181818183</v>
      </c>
      <c r="AR27" s="80">
        <f t="shared" si="32"/>
        <v>-1.5181818181818183</v>
      </c>
      <c r="AS27" s="1"/>
    </row>
    <row r="28" spans="2:45" s="3" customFormat="1" ht="16.95" customHeight="1" x14ac:dyDescent="0.4">
      <c r="B28" s="206"/>
      <c r="C28" s="198"/>
      <c r="D28" s="24" t="s">
        <v>19</v>
      </c>
      <c r="E28" s="164" t="s">
        <v>104</v>
      </c>
      <c r="F28" s="40" t="s">
        <v>39</v>
      </c>
      <c r="G28" s="39" t="s">
        <v>59</v>
      </c>
      <c r="H28" s="41" t="s">
        <v>77</v>
      </c>
      <c r="I28" s="45">
        <v>45748</v>
      </c>
      <c r="J28" s="44">
        <v>45961</v>
      </c>
      <c r="K28" s="81"/>
      <c r="L28" s="132"/>
      <c r="M28" s="132"/>
      <c r="N28" s="132"/>
      <c r="O28" s="74"/>
      <c r="P28" s="89">
        <v>1</v>
      </c>
      <c r="Q28" s="75">
        <f t="shared" si="26"/>
        <v>1</v>
      </c>
      <c r="R28" s="86">
        <v>1</v>
      </c>
      <c r="S28" s="75">
        <f t="shared" si="3"/>
        <v>1</v>
      </c>
      <c r="T28" s="85">
        <v>1</v>
      </c>
      <c r="U28" s="76">
        <f t="shared" si="27"/>
        <v>1</v>
      </c>
      <c r="V28" s="86">
        <v>1</v>
      </c>
      <c r="W28" s="76">
        <f t="shared" si="28"/>
        <v>1</v>
      </c>
      <c r="X28" s="86">
        <v>1</v>
      </c>
      <c r="Y28" s="76">
        <f t="shared" ref="Y28:Y30" si="33">$Y$1*X28</f>
        <v>1</v>
      </c>
      <c r="Z28" s="86">
        <v>1</v>
      </c>
      <c r="AA28" s="76">
        <f t="shared" ref="AA28:AA32" si="34">$Z$1*$AA$1</f>
        <v>1</v>
      </c>
      <c r="AB28" s="86">
        <v>1</v>
      </c>
      <c r="AC28" s="86">
        <f t="shared" ref="AC28:AC32" si="35">$AB$1*$AC$1</f>
        <v>1</v>
      </c>
      <c r="AD28" s="99"/>
      <c r="AE28" s="86"/>
      <c r="AF28" s="99"/>
      <c r="AG28" s="86"/>
      <c r="AH28" s="86"/>
      <c r="AI28" s="86"/>
      <c r="AJ28" s="86"/>
      <c r="AK28" s="86"/>
      <c r="AL28" s="85"/>
      <c r="AM28" s="86"/>
      <c r="AN28" s="86"/>
      <c r="AO28" s="98"/>
      <c r="AP28" s="101">
        <f t="shared" si="4"/>
        <v>7</v>
      </c>
      <c r="AQ28" s="79">
        <f t="shared" si="5"/>
        <v>7</v>
      </c>
      <c r="AR28" s="80">
        <f t="shared" si="6"/>
        <v>0</v>
      </c>
      <c r="AS28" s="7"/>
    </row>
    <row r="29" spans="2:45" s="3" customFormat="1" ht="16.95" customHeight="1" x14ac:dyDescent="0.4">
      <c r="B29" s="206"/>
      <c r="C29" s="198"/>
      <c r="D29" s="24" t="s">
        <v>19</v>
      </c>
      <c r="E29" s="164" t="s">
        <v>103</v>
      </c>
      <c r="F29" s="40" t="s">
        <v>39</v>
      </c>
      <c r="G29" s="40" t="s">
        <v>60</v>
      </c>
      <c r="H29" s="22"/>
      <c r="I29" s="46">
        <v>45726</v>
      </c>
      <c r="J29" s="47">
        <v>46097</v>
      </c>
      <c r="K29" s="81"/>
      <c r="L29" s="132"/>
      <c r="M29" s="132"/>
      <c r="N29" s="132">
        <v>0.75</v>
      </c>
      <c r="O29" s="74">
        <f t="shared" si="25"/>
        <v>0.75</v>
      </c>
      <c r="P29" s="89">
        <v>1</v>
      </c>
      <c r="Q29" s="75">
        <f t="shared" si="26"/>
        <v>1</v>
      </c>
      <c r="R29" s="86">
        <v>1</v>
      </c>
      <c r="S29" s="75">
        <f t="shared" si="3"/>
        <v>1</v>
      </c>
      <c r="T29" s="85">
        <v>1</v>
      </c>
      <c r="U29" s="76">
        <f t="shared" si="27"/>
        <v>1</v>
      </c>
      <c r="V29" s="86">
        <v>1</v>
      </c>
      <c r="W29" s="76">
        <f t="shared" si="28"/>
        <v>1</v>
      </c>
      <c r="X29" s="86">
        <v>1</v>
      </c>
      <c r="Y29" s="76">
        <f t="shared" si="33"/>
        <v>1</v>
      </c>
      <c r="Z29" s="86">
        <v>1</v>
      </c>
      <c r="AA29" s="76">
        <f t="shared" si="34"/>
        <v>1</v>
      </c>
      <c r="AB29" s="86">
        <v>1</v>
      </c>
      <c r="AC29" s="86">
        <f t="shared" si="35"/>
        <v>1</v>
      </c>
      <c r="AD29" s="112">
        <v>1</v>
      </c>
      <c r="AE29" s="77">
        <f>$AD$1*$AE$1</f>
        <v>1</v>
      </c>
      <c r="AF29" s="114">
        <v>1</v>
      </c>
      <c r="AG29" s="77">
        <f>$AF$1*$AG$1</f>
        <v>0.77272727272727271</v>
      </c>
      <c r="AH29" s="86">
        <v>1</v>
      </c>
      <c r="AI29" s="86"/>
      <c r="AJ29" s="86">
        <v>1</v>
      </c>
      <c r="AK29" s="86"/>
      <c r="AL29" s="85">
        <v>0.5</v>
      </c>
      <c r="AM29" s="86"/>
      <c r="AN29" s="86"/>
      <c r="AO29" s="98"/>
      <c r="AP29" s="101">
        <f t="shared" si="4"/>
        <v>12.25</v>
      </c>
      <c r="AQ29" s="79">
        <f t="shared" si="5"/>
        <v>9.5227272727272734</v>
      </c>
      <c r="AR29" s="80">
        <f t="shared" si="6"/>
        <v>2.7272727272727266</v>
      </c>
      <c r="AS29" s="7"/>
    </row>
    <row r="30" spans="2:45" s="3" customFormat="1" ht="16.95" customHeight="1" x14ac:dyDescent="0.4">
      <c r="B30" s="204"/>
      <c r="C30" s="198"/>
      <c r="D30" s="24" t="s">
        <v>19</v>
      </c>
      <c r="E30" s="164" t="s">
        <v>100</v>
      </c>
      <c r="F30" s="40" t="s">
        <v>39</v>
      </c>
      <c r="G30" s="39" t="s">
        <v>61</v>
      </c>
      <c r="H30" s="41" t="s">
        <v>77</v>
      </c>
      <c r="I30" s="45">
        <v>45748</v>
      </c>
      <c r="J30" s="44">
        <v>45961</v>
      </c>
      <c r="K30" s="149"/>
      <c r="L30" s="89"/>
      <c r="M30" s="89"/>
      <c r="N30" s="89"/>
      <c r="O30" s="75"/>
      <c r="P30" s="89">
        <v>1</v>
      </c>
      <c r="Q30" s="75">
        <f t="shared" si="26"/>
        <v>1</v>
      </c>
      <c r="R30" s="86">
        <v>1</v>
      </c>
      <c r="S30" s="75">
        <f t="shared" si="3"/>
        <v>1</v>
      </c>
      <c r="T30" s="85">
        <v>1</v>
      </c>
      <c r="U30" s="76">
        <f t="shared" si="27"/>
        <v>1</v>
      </c>
      <c r="V30" s="86">
        <v>1</v>
      </c>
      <c r="W30" s="76">
        <f t="shared" si="28"/>
        <v>1</v>
      </c>
      <c r="X30" s="86">
        <v>1</v>
      </c>
      <c r="Y30" s="76">
        <f t="shared" si="33"/>
        <v>1</v>
      </c>
      <c r="Z30" s="86">
        <v>1</v>
      </c>
      <c r="AA30" s="76">
        <f t="shared" si="34"/>
        <v>1</v>
      </c>
      <c r="AB30" s="86">
        <v>1</v>
      </c>
      <c r="AC30" s="86">
        <f t="shared" si="35"/>
        <v>1</v>
      </c>
      <c r="AD30" s="86"/>
      <c r="AE30" s="135"/>
      <c r="AF30" s="85"/>
      <c r="AG30" s="86"/>
      <c r="AH30" s="86"/>
      <c r="AI30" s="86"/>
      <c r="AJ30" s="86"/>
      <c r="AK30" s="86"/>
      <c r="AL30" s="85"/>
      <c r="AM30" s="86"/>
      <c r="AN30" s="86"/>
      <c r="AO30" s="98"/>
      <c r="AP30" s="162">
        <f t="shared" si="4"/>
        <v>7</v>
      </c>
      <c r="AQ30" s="136">
        <f t="shared" si="5"/>
        <v>7</v>
      </c>
      <c r="AR30" s="137">
        <f t="shared" si="6"/>
        <v>0</v>
      </c>
      <c r="AS30" s="7"/>
    </row>
    <row r="31" spans="2:45" s="3" customFormat="1" ht="16.95" customHeight="1" x14ac:dyDescent="0.4">
      <c r="B31" s="204"/>
      <c r="C31" s="199"/>
      <c r="D31" s="24" t="s">
        <v>19</v>
      </c>
      <c r="E31" s="164" t="s">
        <v>97</v>
      </c>
      <c r="F31" s="40" t="s">
        <v>39</v>
      </c>
      <c r="G31" s="39" t="s">
        <v>83</v>
      </c>
      <c r="H31" s="41" t="s">
        <v>77</v>
      </c>
      <c r="I31" s="45">
        <v>45810</v>
      </c>
      <c r="J31" s="44">
        <v>45989</v>
      </c>
      <c r="K31" s="149"/>
      <c r="L31" s="89"/>
      <c r="M31" s="89"/>
      <c r="N31" s="89"/>
      <c r="O31" s="75"/>
      <c r="P31" s="89"/>
      <c r="Q31" s="75"/>
      <c r="R31" s="75"/>
      <c r="S31" s="75"/>
      <c r="T31" s="177">
        <v>0</v>
      </c>
      <c r="U31" s="90">
        <f t="shared" ref="U31:U32" si="36">$U$1</f>
        <v>1</v>
      </c>
      <c r="V31" s="90">
        <v>0</v>
      </c>
      <c r="W31" s="172">
        <f>$W$1*$V$1</f>
        <v>1</v>
      </c>
      <c r="X31" s="90">
        <v>0</v>
      </c>
      <c r="Y31" s="172">
        <f>$Y$1*$X$1</f>
        <v>1</v>
      </c>
      <c r="Z31" s="99">
        <v>1</v>
      </c>
      <c r="AA31" s="76">
        <f t="shared" si="34"/>
        <v>1</v>
      </c>
      <c r="AB31" s="99">
        <v>1</v>
      </c>
      <c r="AC31" s="99">
        <f t="shared" si="35"/>
        <v>1</v>
      </c>
      <c r="AD31" s="99">
        <v>1</v>
      </c>
      <c r="AE31" s="77">
        <f>$AD$1*$AE$1</f>
        <v>1</v>
      </c>
      <c r="AF31" s="86"/>
      <c r="AG31" s="86"/>
      <c r="AH31" s="86"/>
      <c r="AI31" s="86"/>
      <c r="AJ31" s="86"/>
      <c r="AK31" s="86"/>
      <c r="AL31" s="85"/>
      <c r="AM31" s="86"/>
      <c r="AN31" s="86"/>
      <c r="AO31" s="98"/>
      <c r="AP31" s="162">
        <f t="shared" ref="AP31:AP32" si="37">+L31+N31+P31+R31+T31+V31+X31+Z31+AB31+AD31+AF31+AH31+AJ31+AL31+AN31</f>
        <v>3</v>
      </c>
      <c r="AQ31" s="136">
        <f t="shared" ref="AQ31:AQ32" si="38">+M31+O31+Q31+S31+U31+W31+Y31+AA31+AC31+AE31+AG31+AI31+AK31+AM31+AO31</f>
        <v>6</v>
      </c>
      <c r="AR31" s="137">
        <f t="shared" ref="AR31:AR32" si="39">AP31-AQ31</f>
        <v>-3</v>
      </c>
      <c r="AS31" s="7"/>
    </row>
    <row r="32" spans="2:45" s="3" customFormat="1" ht="16.95" customHeight="1" thickBot="1" x14ac:dyDescent="0.45">
      <c r="B32" s="204"/>
      <c r="C32" s="200"/>
      <c r="D32" s="169" t="s">
        <v>19</v>
      </c>
      <c r="E32" s="30" t="s">
        <v>99</v>
      </c>
      <c r="F32" s="23" t="s">
        <v>39</v>
      </c>
      <c r="G32" s="186" t="s">
        <v>84</v>
      </c>
      <c r="H32" s="41" t="s">
        <v>77</v>
      </c>
      <c r="I32" s="187">
        <v>45810</v>
      </c>
      <c r="J32" s="188">
        <v>45989</v>
      </c>
      <c r="K32" s="150"/>
      <c r="L32" s="103"/>
      <c r="M32" s="103"/>
      <c r="N32" s="103"/>
      <c r="O32" s="104"/>
      <c r="P32" s="103"/>
      <c r="Q32" s="104"/>
      <c r="R32" s="104"/>
      <c r="S32" s="104"/>
      <c r="T32" s="178">
        <v>0</v>
      </c>
      <c r="U32" s="179">
        <f t="shared" si="36"/>
        <v>1</v>
      </c>
      <c r="V32" s="179">
        <v>0</v>
      </c>
      <c r="W32" s="179">
        <f>$W$1*$V$1</f>
        <v>1</v>
      </c>
      <c r="X32" s="179">
        <v>0</v>
      </c>
      <c r="Y32" s="179">
        <f>$Y$1*$X$1</f>
        <v>1</v>
      </c>
      <c r="Z32" s="151">
        <v>1</v>
      </c>
      <c r="AA32" s="104">
        <f t="shared" si="34"/>
        <v>1</v>
      </c>
      <c r="AB32" s="151">
        <v>1</v>
      </c>
      <c r="AC32" s="118">
        <f t="shared" si="35"/>
        <v>1</v>
      </c>
      <c r="AD32" s="151">
        <v>1</v>
      </c>
      <c r="AE32" s="104">
        <f>$AD$1*$AE$1</f>
        <v>1</v>
      </c>
      <c r="AF32" s="118"/>
      <c r="AG32" s="118"/>
      <c r="AH32" s="118"/>
      <c r="AI32" s="118"/>
      <c r="AJ32" s="118"/>
      <c r="AK32" s="118"/>
      <c r="AL32" s="152"/>
      <c r="AM32" s="153"/>
      <c r="AN32" s="153"/>
      <c r="AO32" s="154"/>
      <c r="AP32" s="101">
        <f t="shared" si="37"/>
        <v>3</v>
      </c>
      <c r="AQ32" s="79">
        <f t="shared" si="38"/>
        <v>6</v>
      </c>
      <c r="AR32" s="80">
        <f t="shared" si="39"/>
        <v>-3</v>
      </c>
      <c r="AS32" s="11"/>
    </row>
    <row r="33" spans="3:906" x14ac:dyDescent="0.4">
      <c r="C33" s="4"/>
      <c r="M33" s="35"/>
      <c r="O33" s="35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</row>
    <row r="34" spans="3:906" x14ac:dyDescent="0.4">
      <c r="L34" s="31"/>
      <c r="M34" s="35"/>
      <c r="N34" s="31"/>
      <c r="O34" s="35"/>
      <c r="P34" s="31"/>
      <c r="R34" s="31"/>
      <c r="T34" s="31"/>
      <c r="V34" s="31"/>
      <c r="X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5"/>
    </row>
    <row r="36" spans="3:906" x14ac:dyDescent="0.4">
      <c r="J36" s="54"/>
      <c r="P36" s="34"/>
    </row>
    <row r="37" spans="3:906" x14ac:dyDescent="0.4">
      <c r="C37" s="18"/>
      <c r="D37" s="13"/>
      <c r="E37" s="13"/>
      <c r="F37" s="14"/>
    </row>
    <row r="38" spans="3:906" x14ac:dyDescent="0.4">
      <c r="C38" s="18"/>
      <c r="D38" s="13"/>
      <c r="E38" s="13"/>
      <c r="F38" s="14"/>
      <c r="J38" s="55"/>
    </row>
    <row r="39" spans="3:906" x14ac:dyDescent="0.4">
      <c r="C39" s="19"/>
      <c r="D39" s="17"/>
      <c r="E39" s="17"/>
    </row>
    <row r="40" spans="3:906" x14ac:dyDescent="0.4">
      <c r="F40" s="15"/>
      <c r="G40" s="16"/>
      <c r="H40" s="15"/>
      <c r="J40" s="55"/>
    </row>
    <row r="42" spans="3:906" hidden="1" x14ac:dyDescent="0.4"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S42"/>
    </row>
  </sheetData>
  <autoFilter ref="A5:AX41"/>
  <mergeCells count="48">
    <mergeCell ref="H2:H5"/>
    <mergeCell ref="AN4:AO4"/>
    <mergeCell ref="I2:I5"/>
    <mergeCell ref="C9:C21"/>
    <mergeCell ref="Z4:AA4"/>
    <mergeCell ref="AB4:AC4"/>
    <mergeCell ref="K3:S3"/>
    <mergeCell ref="T3:AE3"/>
    <mergeCell ref="AF3:AK3"/>
    <mergeCell ref="C2:C5"/>
    <mergeCell ref="D2:D5"/>
    <mergeCell ref="G2:G5"/>
    <mergeCell ref="X2:Y2"/>
    <mergeCell ref="AJ2:AK2"/>
    <mergeCell ref="AL2:AM2"/>
    <mergeCell ref="AS2:AS5"/>
    <mergeCell ref="J2:J5"/>
    <mergeCell ref="L4:M4"/>
    <mergeCell ref="N4:O4"/>
    <mergeCell ref="R4:S4"/>
    <mergeCell ref="P4:Q4"/>
    <mergeCell ref="AP2:AR4"/>
    <mergeCell ref="AD4:AE4"/>
    <mergeCell ref="AF4:AG4"/>
    <mergeCell ref="AH4:AI4"/>
    <mergeCell ref="AJ4:AK4"/>
    <mergeCell ref="AL4:AM4"/>
    <mergeCell ref="AL3:AO3"/>
    <mergeCell ref="T4:U4"/>
    <mergeCell ref="V4:W4"/>
    <mergeCell ref="X4:Y4"/>
    <mergeCell ref="B2:B5"/>
    <mergeCell ref="B6:B32"/>
    <mergeCell ref="E3:E5"/>
    <mergeCell ref="F3:F5"/>
    <mergeCell ref="C22:C32"/>
    <mergeCell ref="AN2:AO2"/>
    <mergeCell ref="AH2:AI2"/>
    <mergeCell ref="L2:M2"/>
    <mergeCell ref="N2:O2"/>
    <mergeCell ref="P2:Q2"/>
    <mergeCell ref="R2:S2"/>
    <mergeCell ref="T2:U2"/>
    <mergeCell ref="Z2:AA2"/>
    <mergeCell ref="AB2:AC2"/>
    <mergeCell ref="AD2:AE2"/>
    <mergeCell ref="AF2:AG2"/>
    <mergeCell ref="V2:W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인력관리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Metanet</dc:creator>
  <cp:lastModifiedBy>박순복</cp:lastModifiedBy>
  <cp:lastPrinted>2024-10-22T00:08:47Z</cp:lastPrinted>
  <dcterms:created xsi:type="dcterms:W3CDTF">2023-06-22T05:03:01Z</dcterms:created>
  <dcterms:modified xsi:type="dcterms:W3CDTF">2025-12-18T23:59:23Z</dcterms:modified>
</cp:coreProperties>
</file>